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amfam.sharepoint.com/sites/msteams_95da63/Shared Documents/General/Agency Folder/Kendra Wright Agency/Accounts- HOA/Real Property Management/Boulder Landing -880389346/B&amp;A/Apps/2026/"/>
    </mc:Choice>
  </mc:AlternateContent>
  <xr:revisionPtr revIDLastSave="692" documentId="14_{D2132A44-DE61-47A0-8CC3-A5F251223147}" xr6:coauthVersionLast="47" xr6:coauthVersionMax="47" xr10:uidLastSave="{6357160D-9CB1-46C0-94F7-71BB24812655}"/>
  <bookViews>
    <workbookView xWindow="42375" yWindow="1995" windowWidth="28800" windowHeight="15345" activeTab="2" xr2:uid="{B4D18F4E-BF8F-4EAC-91EA-5250CDD85181}"/>
  </bookViews>
  <sheets>
    <sheet name="COA SOV 1" sheetId="2" r:id="rId1"/>
    <sheet name="COA SOV 2" sheetId="4" r:id="rId2"/>
    <sheet name="Arden SOV" sheetId="6" r:id="rId3"/>
    <sheet name="Exact Values" sheetId="7" r:id="rId4"/>
  </sheets>
  <externalReferences>
    <externalReference r:id="rId5"/>
    <externalReference r:id="rId6"/>
  </externalReferences>
  <definedNames>
    <definedName name="construction">[1]List!$A$1:$A$8</definedName>
    <definedName name="percent">[2]List!$D$1:$D$101</definedName>
    <definedName name="_xlnm.Print_Area" localSheetId="1">'COA SOV 2'!$A$1:$U$36</definedName>
    <definedName name="roofmaterial">[1]List!$B$1:$B$9</definedName>
    <definedName name="yesno">[2]List!$C$1:$C$2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6" i="4" l="1"/>
  <c r="K16" i="4"/>
  <c r="L15" i="2"/>
  <c r="H15" i="2"/>
  <c r="X1" i="6" l="1"/>
  <c r="W1" i="6"/>
  <c r="V1" i="6"/>
  <c r="U1" i="6"/>
  <c r="T1" i="6"/>
  <c r="Q1" i="6"/>
  <c r="P1" i="6"/>
  <c r="S15" i="2" l="1"/>
  <c r="P15" i="2"/>
  <c r="O15" i="2"/>
  <c r="N15" i="2"/>
  <c r="K15" i="2"/>
  <c r="J15" i="2"/>
  <c r="I1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A2" authorId="0" shapeId="0" xr:uid="{E0A14188-C268-4C44-922A-ACAA559F6C9D}">
      <text>
        <r>
          <rPr>
            <b/>
            <sz val="8"/>
            <color indexed="81"/>
            <rFont val="Tahoma"/>
            <family val="2"/>
          </rPr>
          <t>Enter the street number or address of the building.</t>
        </r>
      </text>
    </comment>
    <comment ref="B2" authorId="0" shapeId="0" xr:uid="{EE8D70C8-811B-4CF3-AAE4-39861E1FF0DF}">
      <text>
        <r>
          <rPr>
            <b/>
            <sz val="8"/>
            <color indexed="81"/>
            <rFont val="Tahoma"/>
            <family val="2"/>
          </rPr>
          <t>Enter the street name of the building.</t>
        </r>
      </text>
    </comment>
    <comment ref="C2" authorId="0" shapeId="0" xr:uid="{9E8D3CE6-6AD1-4319-809B-4F27436D4CC5}">
      <text>
        <r>
          <rPr>
            <b/>
            <sz val="8"/>
            <color indexed="81"/>
            <rFont val="Tahoma"/>
            <family val="2"/>
          </rPr>
          <t>Select a construction type from the drop-down.  These are the only acceptable values.</t>
        </r>
      </text>
    </comment>
    <comment ref="E2" authorId="0" shapeId="0" xr:uid="{34720695-761A-4377-BF04-ADADCE1F1D71}">
      <text>
        <r>
          <rPr>
            <b/>
            <sz val="8"/>
            <color indexed="81"/>
            <rFont val="Tahoma"/>
            <family val="2"/>
          </rPr>
          <t>Select a roof material from the drop-down.  These are the only acceptable values.</t>
        </r>
      </text>
    </comment>
    <comment ref="H2" authorId="0" shapeId="0" xr:uid="{654D51F5-47E2-45C2-B806-6AE99D6CC8D5}">
      <text>
        <r>
          <rPr>
            <b/>
            <sz val="8"/>
            <color indexed="81"/>
            <rFont val="Tahoma"/>
            <family val="2"/>
          </rPr>
          <t xml:space="preserve">Enter the number of units in the building.  If the number is more than 1, then you must also enter the individual unit numbers in column I.
</t>
        </r>
      </text>
    </comment>
    <comment ref="I2" authorId="0" shapeId="0" xr:uid="{91EB098E-9664-4220-8397-EE9228FBB4FC}">
      <text>
        <r>
          <rPr>
            <b/>
            <sz val="8"/>
            <color indexed="81"/>
            <rFont val="Tahoma"/>
            <family val="2"/>
          </rPr>
          <t>All unit numbers in the building should be entered, separated by commas.  Ranges separated by a single dash are acceptable, if the numbers or letters are sequential without exceptions.  If a range includes only even or odd numbers, append the word "EVEN" or "ODD" immediately after the range.  NO OTHER ABBREVIATIONS OR PUNCTUATION ARE ACCEPTABLE.
Examples:
101, 105, 110-120 EVEN, 131-139 ODD
100A-100G
NOTE: The second example would not be acceptable unless the building included units 100A, 100B, 100C, 100D, 100E, 100F, and 100G.</t>
        </r>
      </text>
    </comment>
    <comment ref="J2" authorId="0" shapeId="0" xr:uid="{FF515F79-8CCC-4D00-85FB-F874CDCFE5E0}">
      <text>
        <r>
          <rPr>
            <b/>
            <sz val="8"/>
            <color indexed="81"/>
            <rFont val="Tahoma"/>
            <family val="2"/>
          </rPr>
          <t>Answer yes only if the building is 100% sprinklered.</t>
        </r>
      </text>
    </comment>
    <comment ref="K2" authorId="0" shapeId="0" xr:uid="{230C06CB-6CA1-4D52-AC9B-356D6D8953D7}">
      <text>
        <r>
          <rPr>
            <b/>
            <sz val="8"/>
            <color indexed="81"/>
            <rFont val="Tahoma"/>
            <family val="2"/>
          </rPr>
          <t>Building square footage does not include garage and basement areas.</t>
        </r>
      </text>
    </comment>
    <comment ref="Q2" authorId="0" shapeId="0" xr:uid="{60E92798-9E3A-462F-B3DD-B1544A47638E}">
      <text>
        <r>
          <rPr>
            <b/>
            <sz val="8"/>
            <color indexed="81"/>
            <rFont val="Tahoma"/>
            <family val="2"/>
          </rPr>
          <t>This item is required only for buildings that are not yet complete.</t>
        </r>
      </text>
    </comment>
    <comment ref="R2" authorId="0" shapeId="0" xr:uid="{13ED22DF-33B4-49E6-BBCD-14A491B3A00E}">
      <text>
        <r>
          <rPr>
            <b/>
            <sz val="8"/>
            <color indexed="81"/>
            <rFont val="Tahoma"/>
            <family val="2"/>
          </rPr>
          <t>This column applies only if the building has a Mid Rise or High Rise Parking Garage</t>
        </r>
      </text>
    </comment>
    <comment ref="S2" authorId="0" shapeId="0" xr:uid="{23AED126-EBA0-47BC-B245-E2FA3F51AEBE}">
      <text>
        <r>
          <rPr>
            <b/>
            <sz val="8"/>
            <color indexed="81"/>
            <rFont val="Tahoma"/>
            <family val="2"/>
          </rPr>
          <t>This column applies only if the building has a Mid Rise or High Rise Parking Garage</t>
        </r>
      </text>
    </comment>
    <comment ref="T2" authorId="0" shapeId="0" xr:uid="{146C9FC2-F7EC-48D4-B9D1-7707CFCC08C1}">
      <text>
        <r>
          <rPr>
            <b/>
            <sz val="8"/>
            <color indexed="81"/>
            <rFont val="Tahoma"/>
            <family val="2"/>
          </rPr>
          <t>This column applies only if the building has a Mid Rise or High Rise Parking Garage</t>
        </r>
      </text>
    </comment>
    <comment ref="U2" authorId="0" shapeId="0" xr:uid="{30A1864C-7BD6-45C0-9734-38B3FD7A363D}">
      <text>
        <r>
          <rPr>
            <b/>
            <sz val="8"/>
            <color indexed="81"/>
            <rFont val="Tahoma"/>
            <family val="2"/>
          </rPr>
          <t>This column applies only if the building has a Mid Rise or High Rise Parking Garage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Brian George</author>
  </authors>
  <commentList>
    <comment ref="L4" authorId="0" shapeId="0" xr:uid="{3D226BAA-4C60-4AD4-8A1C-B2E2E9AE0656}">
      <text>
        <r>
          <rPr>
            <sz val="9"/>
            <color indexed="81"/>
            <rFont val="Tahoma"/>
            <family val="2"/>
          </rPr>
          <t xml:space="preserve">If built before 1972, must be completely rehabbed and remodeled. </t>
        </r>
        <r>
          <rPr>
            <b/>
            <sz val="9"/>
            <color indexed="81"/>
            <rFont val="Tahoma"/>
            <family val="2"/>
          </rPr>
          <t xml:space="preserve">
</t>
        </r>
      </text>
    </comment>
  </commentList>
</comments>
</file>

<file path=xl/sharedStrings.xml><?xml version="1.0" encoding="utf-8"?>
<sst xmlns="http://schemas.openxmlformats.org/spreadsheetml/2006/main" count="608" uniqueCount="180">
  <si>
    <t>Street #</t>
  </si>
  <si>
    <t>Street Name</t>
  </si>
  <si>
    <t>Construction</t>
  </si>
  <si>
    <t>Year Built</t>
  </si>
  <si>
    <t>Roof Material</t>
  </si>
  <si>
    <t>100% Replacement Cost</t>
  </si>
  <si>
    <t># Of Stories</t>
  </si>
  <si>
    <t># Of Units</t>
  </si>
  <si>
    <t>Unit Numbers
(If Applicable)</t>
  </si>
  <si>
    <t>100% Sprinklered?</t>
  </si>
  <si>
    <t>Building Square Footage</t>
  </si>
  <si>
    <t>Basement Square Footage</t>
  </si>
  <si>
    <t>Named Insured:</t>
  </si>
  <si>
    <t>Effective Date:</t>
  </si>
  <si>
    <t>Address:</t>
  </si>
  <si>
    <t>Expiration Date:</t>
  </si>
  <si>
    <t>City:</t>
  </si>
  <si>
    <t>Quote Need By Date:</t>
  </si>
  <si>
    <t>State:</t>
  </si>
  <si>
    <t>Current Property Insurer:</t>
  </si>
  <si>
    <t>Zip Code:</t>
  </si>
  <si>
    <t>Target Deductible:</t>
  </si>
  <si>
    <t>Management Company:</t>
  </si>
  <si>
    <t>Target Premium:</t>
  </si>
  <si>
    <t>Has any Insured been in receivership, debtor in possession, or bankruptcy or filed for bankruptcy or receivership in the past 5 years:</t>
  </si>
  <si>
    <t>Acceptable Submission MUST include(1)Acord 125, (2) Complete Statement of Values (complete this worksheet), (3) Completed Supplemental Page, including 5 years of LOSS HISTORY -Valued within 90 days of EFFECTIVE DATE, (4) an Explanation of EACH LOSS of $50,000 or greater.</t>
  </si>
  <si>
    <t xml:space="preserve">Any person who knowingly, and with intent to defraud any insurance company, submits an application for insurance or statement of claim containing any materially false or misleading information, or conceals for the purpose of misleading information concerning any material fact, commits a fraudulent insurance act, which is a crime and subjects the person to criminal and civil penalties.  In some states insurance benefits may also be denied.  </t>
  </si>
  <si>
    <t xml:space="preserve">By submission of this application, the insured and the producer represent that all information is complete, true and correct to the best of their knowledge, and that they have not concealed any material information, and have not deleted or altered the questions herein.  </t>
  </si>
  <si>
    <t>Insured's Signature</t>
  </si>
  <si>
    <t>Date of Signature</t>
  </si>
  <si>
    <t>TOTALS</t>
  </si>
  <si>
    <t>Location #</t>
  </si>
  <si>
    <t>Location Name</t>
  </si>
  <si>
    <t>Location Address</t>
  </si>
  <si>
    <t>Location City</t>
  </si>
  <si>
    <t>Location State</t>
  </si>
  <si>
    <t>Location Zip Code</t>
  </si>
  <si>
    <t>Acquisition Date</t>
  </si>
  <si>
    <t>Building Value</t>
  </si>
  <si>
    <t>Business Personal Property</t>
  </si>
  <si>
    <t>Business Income</t>
  </si>
  <si>
    <t>Builders Risk Limit</t>
  </si>
  <si>
    <t>Other Property Limit (Fences, Signs, Pools, etc.)</t>
  </si>
  <si>
    <t>Other Property Limit Description</t>
  </si>
  <si>
    <t># of Bldgs</t>
  </si>
  <si>
    <t># of Units</t>
  </si>
  <si>
    <t># of Stories</t>
  </si>
  <si>
    <t>Construction Type</t>
  </si>
  <si>
    <t>Original Year Built</t>
  </si>
  <si>
    <t>Total Square Footage for All Buildings</t>
  </si>
  <si>
    <t>(Calc) Avg Bldg Cost / SF</t>
  </si>
  <si>
    <t>Plumbing Inspected &amp; Maintained Annually</t>
  </si>
  <si>
    <t>Year of Oldest Roof Construction</t>
  </si>
  <si>
    <t>Wiring Type</t>
  </si>
  <si>
    <t>Federal Pacific Electric Box</t>
  </si>
  <si>
    <t>Location of AC Units</t>
  </si>
  <si>
    <t>% Occupied</t>
  </si>
  <si>
    <t>Average Monthly Rent Per Unit</t>
  </si>
  <si>
    <t>Apartment Type</t>
  </si>
  <si>
    <t>Full Time Manager on Premises?</t>
  </si>
  <si>
    <t>Cooking Appliances / Grilling Prohibited on Balcony?</t>
  </si>
  <si>
    <t>Special Occupancy Type</t>
  </si>
  <si>
    <t>Pull Chords / Medical Response</t>
  </si>
  <si>
    <t>% Student Occupied</t>
  </si>
  <si>
    <t>% Section 8 Subsidized Units</t>
  </si>
  <si>
    <t>% Section 42 Subsidized Units</t>
  </si>
  <si>
    <t>% Units With In Unit Washer / Dryer</t>
  </si>
  <si>
    <t>% Wood Burning Fireplace in Units</t>
  </si>
  <si>
    <t>Fire Extinguishing Sprinkler System?</t>
  </si>
  <si>
    <t>Fire Alarms</t>
  </si>
  <si>
    <t>Permanently installed smoke detectors in each unit?</t>
  </si>
  <si>
    <t>Written policy for smoke detector battery maintenance?</t>
  </si>
  <si>
    <t>Visible Distance Between Buildings (Feet)</t>
  </si>
  <si>
    <t>Public Protection Class</t>
  </si>
  <si>
    <t>Secured / Gated Entrance</t>
  </si>
  <si>
    <t>Mid Rise or High Rise Parking Garages</t>
  </si>
  <si>
    <t>% Of Basement Finished</t>
  </si>
  <si>
    <t>Attached Garage Square Footage</t>
  </si>
  <si>
    <t>Attached Carport Square Footage</t>
  </si>
  <si>
    <t># Of Elevators</t>
  </si>
  <si>
    <t>Anticipated Completion Date</t>
  </si>
  <si>
    <t>Above Ground # Of Stories</t>
  </si>
  <si>
    <t>Above Ground Square Footage</t>
  </si>
  <si>
    <t>Below Ground # Of Stories</t>
  </si>
  <si>
    <t>Below Ground Square Footage</t>
  </si>
  <si>
    <t>Required</t>
  </si>
  <si>
    <t>Required  (if blanket)</t>
  </si>
  <si>
    <t xml:space="preserve"> </t>
  </si>
  <si>
    <t>Required if Year Built pre-2005</t>
  </si>
  <si>
    <t>Required if built pre-1973</t>
  </si>
  <si>
    <t>Required for Year Built 1970-1985</t>
  </si>
  <si>
    <t>Valuation</t>
  </si>
  <si>
    <t>Housing</t>
  </si>
  <si>
    <t>Renovations</t>
  </si>
  <si>
    <t>Protection</t>
  </si>
  <si>
    <t>Building #</t>
  </si>
  <si>
    <t>Legal Entity</t>
  </si>
  <si>
    <t>Street Address 1</t>
  </si>
  <si>
    <t>Address Line 2</t>
  </si>
  <si>
    <t>City</t>
  </si>
  <si>
    <t xml:space="preserve">State </t>
  </si>
  <si>
    <t>Zip Code</t>
  </si>
  <si>
    <t>County</t>
  </si>
  <si>
    <t>Year Built (Original)</t>
  </si>
  <si>
    <t>Full Renovation Year (if applicable)</t>
  </si>
  <si>
    <t>No. of Stories</t>
  </si>
  <si>
    <t>No. of Buildings
 (if blanket)</t>
  </si>
  <si>
    <t>No. of Units</t>
  </si>
  <si>
    <t>Square Footage</t>
  </si>
  <si>
    <t>Occupancy Description (e.g. Apartments)</t>
  </si>
  <si>
    <r>
      <t xml:space="preserve">Building </t>
    </r>
    <r>
      <rPr>
        <b/>
        <sz val="8"/>
        <color theme="1"/>
        <rFont val="Arial"/>
        <family val="2"/>
      </rPr>
      <t>Replacement Value</t>
    </r>
  </si>
  <si>
    <t>Contents Replacement Value</t>
  </si>
  <si>
    <t>BI/Rental Income (12 months)</t>
  </si>
  <si>
    <t>Other Structure Value</t>
  </si>
  <si>
    <t>Total Insured Value</t>
  </si>
  <si>
    <t>CPSF</t>
  </si>
  <si>
    <t>% Student</t>
  </si>
  <si>
    <t>% Assisted Living</t>
  </si>
  <si>
    <t>Roof covering last replaced (year)</t>
  </si>
  <si>
    <t>HVAC Update (year)</t>
  </si>
  <si>
    <t>Plumbing Update (year)</t>
  </si>
  <si>
    <t>Electrical Update (year)</t>
  </si>
  <si>
    <t>Federal Pacific or Zinsco  or Challenger Breaker?</t>
  </si>
  <si>
    <t>Type of Wiring</t>
  </si>
  <si>
    <t>Polybutylene or Galvanized Piping (Yes/No)</t>
  </si>
  <si>
    <t>Exterior Cladding</t>
  </si>
  <si>
    <t>Roof Covering</t>
  </si>
  <si>
    <t>% Hardwired Smoke Detector</t>
  </si>
  <si>
    <t>Central Monitored Fire Alarm</t>
  </si>
  <si>
    <t>Sprinklered (Yes if &gt;=70%, otherwise No)</t>
  </si>
  <si>
    <t>Fireplace (Electric, Gas, or Woodburning)</t>
  </si>
  <si>
    <t>Washer/Dryer (In-Unit or Communal)</t>
  </si>
  <si>
    <t>142-146 Blue Water Drive</t>
  </si>
  <si>
    <t>148-150 Blue Water Drive</t>
  </si>
  <si>
    <t>142-144 Tumbleweed Drive</t>
  </si>
  <si>
    <t>146-150 Tumbleweed Drive</t>
  </si>
  <si>
    <t>142-144 Desert Valley Drive</t>
  </si>
  <si>
    <t>146-150 Desert Valley Drive</t>
  </si>
  <si>
    <t>142-146 Rainbow Drive</t>
  </si>
  <si>
    <t>148-150 Rainbow Drive</t>
  </si>
  <si>
    <t>142-146 Lake Mountain Drive</t>
  </si>
  <si>
    <t>148-150 Lake Mountain Drive</t>
  </si>
  <si>
    <t>142-144 River Mountain Drive</t>
  </si>
  <si>
    <t>148-150 River Mountain Drive</t>
  </si>
  <si>
    <t>Buildings</t>
  </si>
  <si>
    <t>Exact Values</t>
  </si>
  <si>
    <t>Boulder City</t>
  </si>
  <si>
    <t>NV</t>
  </si>
  <si>
    <t>Frame</t>
  </si>
  <si>
    <t>Clay/concrete tiles</t>
  </si>
  <si>
    <t>No</t>
  </si>
  <si>
    <t>AC Units on Ground</t>
  </si>
  <si>
    <t>Townhouse</t>
  </si>
  <si>
    <t>Yes</t>
  </si>
  <si>
    <t>Not Applicable</t>
  </si>
  <si>
    <t>Blue Water Drive</t>
  </si>
  <si>
    <t>Tumbleweed Drive</t>
  </si>
  <si>
    <t>142-144</t>
  </si>
  <si>
    <t>Desert Valley Drive</t>
  </si>
  <si>
    <t>146-150</t>
  </si>
  <si>
    <t>148-150</t>
  </si>
  <si>
    <t>Rainbow Drive</t>
  </si>
  <si>
    <t>142-146</t>
  </si>
  <si>
    <t>Lake Mountain Drive</t>
  </si>
  <si>
    <t>River Mountain Drive</t>
  </si>
  <si>
    <t>Concrete Tile</t>
  </si>
  <si>
    <t>Clark</t>
  </si>
  <si>
    <t>Copper</t>
  </si>
  <si>
    <t>Woodburning</t>
  </si>
  <si>
    <t>In-Unit</t>
  </si>
  <si>
    <t>Fence</t>
  </si>
  <si>
    <t>Street Lights</t>
  </si>
  <si>
    <t>Spa</t>
  </si>
  <si>
    <t>Streets, Sidewalks, Curbs</t>
  </si>
  <si>
    <t>Retaining Wall</t>
  </si>
  <si>
    <t>Landscaping Rocks</t>
  </si>
  <si>
    <t>Trees, Shrubs, Plants</t>
  </si>
  <si>
    <t>Irrigation System</t>
  </si>
  <si>
    <t>Monument Sign</t>
  </si>
  <si>
    <t>Pool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</si>
</sst>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5" formatCode="&quot;$&quot;#,##0_);\(&quot;$&quot;#,##0\)"/>
    <numFmt numFmtId="7" formatCode="&quot;$&quot;#,##0.00_);\(&quot;$&quot;#,##0.00\)"/>
    <numFmt numFmtId="44" formatCode="_(&quot;$&quot;* #,##0.00_);_(&quot;$&quot;* \(#,##0.00\);_(&quot;$&quot;* &quot;-&quot;??_);_(@_)"/>
    <numFmt numFmtId="43" formatCode="_(* #,##0.00_);_(* \(#,##0.00\);_(* &quot;-&quot;??_);_(@_)"/>
    <numFmt numFmtId="164" formatCode="&quot;$&quot;#,##0"/>
    <numFmt numFmtId="165" formatCode="[$-409]mmmm\ d\,\ yyyy;@"/>
    <numFmt numFmtId="166" formatCode="_(* #,##0_);_(* \(#,##0\);_(* &quot;-&quot;??_);_(@_)"/>
    <numFmt numFmtId="167" formatCode="&quot;$&quot;#,##0.00"/>
    <numFmt numFmtId="168" formatCode="00000"/>
  </numFmts>
  <fonts count="25" x14ac:knownFonts="1">
    <font>
      <sz val="11"/>
      <color theme="1"/>
      <name val="Aptos Narrow"/>
      <family val="2"/>
      <scheme val="minor"/>
    </font>
    <font>
      <sz val="9"/>
      <color indexed="8"/>
      <name val="Arial"/>
      <family val="2"/>
    </font>
    <font>
      <b/>
      <sz val="9"/>
      <color indexed="9"/>
      <name val="Arial"/>
      <family val="2"/>
    </font>
    <font>
      <b/>
      <sz val="8"/>
      <color indexed="81"/>
      <name val="Tahoma"/>
      <family val="2"/>
    </font>
    <font>
      <sz val="10"/>
      <color theme="1"/>
      <name val="Arial"/>
      <family val="2"/>
    </font>
    <font>
      <sz val="11"/>
      <color theme="1"/>
      <name val="Aptos Narrow"/>
      <family val="2"/>
      <scheme val="minor"/>
    </font>
    <font>
      <b/>
      <sz val="11"/>
      <color theme="1"/>
      <name val="Aptos Narrow"/>
      <family val="2"/>
      <scheme val="minor"/>
    </font>
    <font>
      <b/>
      <sz val="8"/>
      <color theme="1"/>
      <name val="Aptos Narrow"/>
      <family val="2"/>
      <scheme val="minor"/>
    </font>
    <font>
      <sz val="8"/>
      <color theme="1"/>
      <name val="Aptos Narrow"/>
      <family val="2"/>
      <scheme val="minor"/>
    </font>
    <font>
      <b/>
      <sz val="10"/>
      <color theme="1"/>
      <name val="Aptos Narrow"/>
      <family val="2"/>
      <scheme val="minor"/>
    </font>
    <font>
      <sz val="10"/>
      <color theme="1"/>
      <name val="Aptos Narrow"/>
      <family val="2"/>
      <scheme val="minor"/>
    </font>
    <font>
      <sz val="11"/>
      <name val="Aptos Narrow"/>
      <family val="2"/>
      <scheme val="minor"/>
    </font>
    <font>
      <b/>
      <sz val="11"/>
      <name val="Aptos Narrow"/>
      <family val="2"/>
      <scheme val="minor"/>
    </font>
    <font>
      <sz val="10"/>
      <name val="Book Antiqua"/>
      <family val="1"/>
    </font>
    <font>
      <b/>
      <sz val="10"/>
      <name val="Arial"/>
      <family val="2"/>
    </font>
    <font>
      <sz val="10"/>
      <name val="Arial"/>
      <family val="2"/>
    </font>
    <font>
      <b/>
      <sz val="10"/>
      <color theme="5" tint="-0.249977111117893"/>
      <name val="Arial"/>
      <family val="2"/>
    </font>
    <font>
      <b/>
      <sz val="10"/>
      <color theme="1"/>
      <name val="Arial"/>
      <family val="2"/>
    </font>
    <font>
      <sz val="11"/>
      <color indexed="8"/>
      <name val="Calibri"/>
      <family val="2"/>
    </font>
    <font>
      <b/>
      <sz val="8"/>
      <color theme="1"/>
      <name val="Arial"/>
      <family val="2"/>
    </font>
    <font>
      <sz val="9"/>
      <color indexed="81"/>
      <name val="Tahoma"/>
      <family val="2"/>
    </font>
    <font>
      <b/>
      <sz val="9"/>
      <color indexed="81"/>
      <name val="Tahoma"/>
      <family val="2"/>
    </font>
    <font>
      <sz val="8"/>
      <name val="Aptos Narrow"/>
      <family val="2"/>
      <scheme val="minor"/>
    </font>
    <font>
      <sz val="10"/>
      <color rgb="FF000000"/>
      <name val="Aptos Narrow"/>
      <family val="2"/>
      <scheme val="minor"/>
    </font>
    <font>
      <b/>
      <sz val="9"/>
      <color indexed="8"/>
      <name val="Arial"/>
      <family val="2"/>
    </font>
  </fonts>
  <fills count="11">
    <fill>
      <patternFill patternType="none"/>
    </fill>
    <fill>
      <patternFill patternType="gray125"/>
    </fill>
    <fill>
      <patternFill patternType="solid">
        <fgColor indexed="21"/>
        <bgColor indexed="64"/>
      </patternFill>
    </fill>
    <fill>
      <patternFill patternType="solid">
        <fgColor theme="4"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theme="4"/>
      </patternFill>
    </fill>
    <fill>
      <patternFill patternType="solid">
        <fgColor theme="4" tint="0.79998168889431442"/>
        <bgColor theme="4"/>
      </patternFill>
    </fill>
    <fill>
      <patternFill patternType="solid">
        <fgColor rgb="FF05C3DD"/>
        <bgColor indexed="64"/>
      </patternFill>
    </fill>
    <fill>
      <patternFill patternType="solid">
        <fgColor theme="0" tint="-0.249977111117893"/>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bottom style="thin">
        <color indexed="64"/>
      </bottom>
      <diagonal/>
    </border>
    <border>
      <left/>
      <right/>
      <top style="thin">
        <color indexed="64"/>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rgb="FF000000"/>
      </left>
      <right/>
      <top style="medium">
        <color rgb="FF000000"/>
      </top>
      <bottom style="medium">
        <color rgb="FF00000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9">
    <xf numFmtId="0" fontId="0" fillId="0" borderId="0"/>
    <xf numFmtId="43" fontId="5" fillId="0" borderId="0" applyFont="0" applyFill="0" applyBorder="0" applyAlignment="0" applyProtection="0"/>
    <xf numFmtId="9" fontId="5" fillId="0" borderId="0" applyFont="0" applyFill="0" applyBorder="0" applyAlignment="0" applyProtection="0"/>
    <xf numFmtId="0" fontId="13" fillId="0" borderId="0">
      <alignment vertical="top"/>
    </xf>
    <xf numFmtId="44" fontId="5" fillId="0" borderId="0" applyFont="0" applyFill="0" applyBorder="0" applyAlignment="0" applyProtection="0"/>
    <xf numFmtId="0" fontId="5" fillId="0" borderId="0"/>
    <xf numFmtId="43" fontId="18" fillId="0" borderId="0" applyFont="0" applyFill="0" applyBorder="0" applyAlignment="0" applyProtection="0"/>
    <xf numFmtId="0" fontId="5" fillId="0" borderId="0"/>
    <xf numFmtId="0" fontId="15" fillId="0" borderId="0"/>
  </cellStyleXfs>
  <cellXfs count="204">
    <xf numFmtId="0" fontId="0" fillId="0" borderId="0" xfId="0"/>
    <xf numFmtId="49" fontId="1" fillId="0" borderId="0" xfId="0" applyNumberFormat="1" applyFont="1" applyProtection="1">
      <protection locked="0"/>
    </xf>
    <xf numFmtId="0" fontId="1" fillId="0" borderId="0" xfId="0" applyFont="1" applyProtection="1">
      <protection locked="0"/>
    </xf>
    <xf numFmtId="164" fontId="1" fillId="0" borderId="0" xfId="0" applyNumberFormat="1" applyFont="1" applyProtection="1">
      <protection locked="0"/>
    </xf>
    <xf numFmtId="0" fontId="2" fillId="2" borderId="0" xfId="0" applyFont="1" applyFill="1" applyAlignment="1">
      <alignment horizontal="center" vertical="top" wrapText="1"/>
    </xf>
    <xf numFmtId="0" fontId="7" fillId="3" borderId="0" xfId="0" applyFont="1" applyFill="1"/>
    <xf numFmtId="0" fontId="8" fillId="4" borderId="0" xfId="0" applyFont="1" applyFill="1"/>
    <xf numFmtId="0" fontId="8" fillId="4" borderId="0" xfId="0" applyFont="1" applyFill="1" applyAlignment="1">
      <alignment horizontal="center"/>
    </xf>
    <xf numFmtId="0" fontId="7" fillId="5" borderId="1" xfId="0" applyFont="1" applyFill="1" applyBorder="1" applyAlignment="1">
      <alignment vertical="center" wrapText="1"/>
    </xf>
    <xf numFmtId="0" fontId="7" fillId="3" borderId="2" xfId="0" applyFont="1" applyFill="1" applyBorder="1" applyAlignment="1">
      <alignment vertical="center" wrapText="1"/>
    </xf>
    <xf numFmtId="0" fontId="8" fillId="3" borderId="0" xfId="0" applyFont="1" applyFill="1"/>
    <xf numFmtId="0" fontId="8" fillId="4" borderId="0" xfId="0" applyFont="1" applyFill="1" applyAlignment="1">
      <alignment horizontal="right"/>
    </xf>
    <xf numFmtId="0" fontId="7" fillId="0" borderId="0" xfId="0" applyFont="1" applyAlignment="1">
      <alignment horizontal="left" wrapText="1"/>
    </xf>
    <xf numFmtId="0" fontId="7" fillId="0" borderId="0" xfId="0" applyFont="1" applyAlignment="1">
      <alignment wrapText="1"/>
    </xf>
    <xf numFmtId="0" fontId="8" fillId="0" borderId="0" xfId="0" applyFont="1"/>
    <xf numFmtId="0" fontId="7" fillId="4" borderId="0" xfId="0" applyFont="1" applyFill="1" applyAlignment="1">
      <alignment horizontal="left" wrapText="1"/>
    </xf>
    <xf numFmtId="0" fontId="6" fillId="4" borderId="0" xfId="0" applyFont="1" applyFill="1" applyAlignment="1">
      <alignment horizontal="left" wrapText="1"/>
    </xf>
    <xf numFmtId="0" fontId="0" fillId="4" borderId="0" xfId="0" applyFill="1" applyAlignment="1">
      <alignment horizontal="right"/>
    </xf>
    <xf numFmtId="0" fontId="0" fillId="4" borderId="0" xfId="0" applyFill="1"/>
    <xf numFmtId="0" fontId="0" fillId="4" borderId="0" xfId="0" applyFill="1" applyAlignment="1">
      <alignment horizontal="center"/>
    </xf>
    <xf numFmtId="0" fontId="9" fillId="4" borderId="0" xfId="0" applyFont="1" applyFill="1" applyAlignment="1">
      <alignment horizontal="left" wrapText="1"/>
    </xf>
    <xf numFmtId="0" fontId="10" fillId="4" borderId="0" xfId="0" applyFont="1" applyFill="1" applyAlignment="1">
      <alignment horizontal="right"/>
    </xf>
    <xf numFmtId="0" fontId="10" fillId="4" borderId="0" xfId="0" applyFont="1" applyFill="1"/>
    <xf numFmtId="0" fontId="10" fillId="4" borderId="0" xfId="0" applyFont="1" applyFill="1" applyAlignment="1">
      <alignment horizontal="center"/>
    </xf>
    <xf numFmtId="0" fontId="0" fillId="4" borderId="1" xfId="0" applyFill="1" applyBorder="1" applyAlignment="1">
      <alignment horizontal="right"/>
    </xf>
    <xf numFmtId="0" fontId="11" fillId="7" borderId="1" xfId="0" applyFont="1" applyFill="1" applyBorder="1" applyAlignment="1">
      <alignment horizontal="right" wrapText="1"/>
    </xf>
    <xf numFmtId="0" fontId="12" fillId="7" borderId="1" xfId="0" applyFont="1" applyFill="1" applyBorder="1" applyAlignment="1">
      <alignment horizontal="right" wrapText="1"/>
    </xf>
    <xf numFmtId="166" fontId="12" fillId="7" borderId="1" xfId="1" applyNumberFormat="1" applyFont="1" applyFill="1" applyBorder="1" applyAlignment="1">
      <alignment horizontal="right" wrapText="1"/>
    </xf>
    <xf numFmtId="0" fontId="0" fillId="0" borderId="0" xfId="0" applyAlignment="1">
      <alignment horizontal="right"/>
    </xf>
    <xf numFmtId="0" fontId="12" fillId="8" borderId="1" xfId="0" applyFont="1" applyFill="1" applyBorder="1" applyAlignment="1">
      <alignment horizontal="center" wrapText="1"/>
    </xf>
    <xf numFmtId="0" fontId="0" fillId="0" borderId="0" xfId="0" applyAlignment="1">
      <alignment horizontal="center"/>
    </xf>
    <xf numFmtId="0" fontId="0" fillId="0" borderId="1" xfId="0" applyBorder="1" applyAlignment="1">
      <alignment horizontal="center"/>
    </xf>
    <xf numFmtId="3" fontId="11" fillId="0" borderId="1" xfId="3" applyNumberFormat="1" applyFont="1" applyBorder="1" applyAlignment="1">
      <alignment horizontal="center" vertical="center" wrapText="1"/>
    </xf>
    <xf numFmtId="49" fontId="0" fillId="0" borderId="1" xfId="0" applyNumberFormat="1" applyBorder="1" applyAlignment="1">
      <alignment horizontal="center"/>
    </xf>
    <xf numFmtId="14" fontId="0" fillId="0" borderId="1" xfId="0" applyNumberFormat="1" applyBorder="1" applyAlignment="1">
      <alignment horizontal="center"/>
    </xf>
    <xf numFmtId="167" fontId="5" fillId="0" borderId="1" xfId="1" applyNumberFormat="1" applyFont="1" applyBorder="1" applyAlignment="1">
      <alignment horizontal="right"/>
    </xf>
    <xf numFmtId="166" fontId="0" fillId="0" borderId="1" xfId="1" applyNumberFormat="1" applyFont="1" applyBorder="1" applyAlignment="1">
      <alignment horizontal="right"/>
    </xf>
    <xf numFmtId="167" fontId="0" fillId="0" borderId="1" xfId="1" applyNumberFormat="1" applyFont="1" applyBorder="1" applyAlignment="1">
      <alignment horizontal="right"/>
    </xf>
    <xf numFmtId="0" fontId="0" fillId="0" borderId="1" xfId="1" applyNumberFormat="1" applyFont="1" applyBorder="1" applyAlignment="1">
      <alignment horizontal="center"/>
    </xf>
    <xf numFmtId="0" fontId="0" fillId="0" borderId="1" xfId="0" applyBorder="1" applyAlignment="1">
      <alignment horizontal="left"/>
    </xf>
    <xf numFmtId="166" fontId="0" fillId="0" borderId="1" xfId="1" applyNumberFormat="1" applyFont="1" applyBorder="1" applyAlignment="1">
      <alignment horizontal="center"/>
    </xf>
    <xf numFmtId="0" fontId="0" fillId="0" borderId="1" xfId="0" applyBorder="1"/>
    <xf numFmtId="9" fontId="0" fillId="0" borderId="1" xfId="2" applyFont="1" applyBorder="1" applyAlignment="1">
      <alignment horizontal="center"/>
    </xf>
    <xf numFmtId="0" fontId="11" fillId="4" borderId="0" xfId="0" applyFont="1" applyFill="1" applyAlignment="1">
      <alignment wrapText="1"/>
    </xf>
    <xf numFmtId="166" fontId="5" fillId="0" borderId="1" xfId="1" applyNumberFormat="1" applyFont="1" applyBorder="1" applyAlignment="1">
      <alignment horizontal="right"/>
    </xf>
    <xf numFmtId="0" fontId="0" fillId="0" borderId="1" xfId="1" applyNumberFormat="1" applyFont="1" applyBorder="1" applyAlignment="1">
      <alignment horizontal="right"/>
    </xf>
    <xf numFmtId="166" fontId="11" fillId="0" borderId="1" xfId="1" applyNumberFormat="1" applyFont="1" applyBorder="1" applyAlignment="1">
      <alignment horizontal="right"/>
    </xf>
    <xf numFmtId="166" fontId="12" fillId="0" borderId="1" xfId="1" applyNumberFormat="1" applyFont="1" applyBorder="1" applyAlignment="1">
      <alignment horizontal="right" wrapText="1"/>
    </xf>
    <xf numFmtId="166" fontId="0" fillId="0" borderId="1" xfId="1" applyNumberFormat="1" applyFont="1" applyBorder="1" applyAlignment="1">
      <alignment horizontal="right" wrapText="1"/>
    </xf>
    <xf numFmtId="49" fontId="0" fillId="0" borderId="1" xfId="0" applyNumberFormat="1" applyBorder="1"/>
    <xf numFmtId="14" fontId="0" fillId="0" borderId="1" xfId="0" applyNumberFormat="1" applyBorder="1"/>
    <xf numFmtId="166" fontId="0" fillId="0" borderId="1" xfId="1" applyNumberFormat="1" applyFont="1" applyBorder="1"/>
    <xf numFmtId="9" fontId="0" fillId="0" borderId="1" xfId="2" applyFont="1" applyBorder="1"/>
    <xf numFmtId="166" fontId="5" fillId="0" borderId="0" xfId="1" applyNumberFormat="1" applyFont="1" applyAlignment="1">
      <alignment horizontal="right"/>
    </xf>
    <xf numFmtId="9" fontId="0" fillId="0" borderId="0" xfId="2" applyFont="1"/>
    <xf numFmtId="9" fontId="0" fillId="0" borderId="0" xfId="2" applyFont="1" applyAlignment="1">
      <alignment horizontal="center"/>
    </xf>
    <xf numFmtId="0" fontId="1" fillId="2" borderId="0" xfId="0" applyFont="1" applyFill="1"/>
    <xf numFmtId="164" fontId="1" fillId="2" borderId="0" xfId="0" applyNumberFormat="1" applyFont="1" applyFill="1"/>
    <xf numFmtId="0" fontId="1" fillId="2" borderId="0" xfId="0" applyFont="1" applyFill="1" applyAlignment="1">
      <alignment horizontal="center"/>
    </xf>
    <xf numFmtId="3" fontId="1" fillId="2" borderId="0" xfId="0" applyNumberFormat="1" applyFont="1" applyFill="1"/>
    <xf numFmtId="9" fontId="1" fillId="2" borderId="0" xfId="0" applyNumberFormat="1" applyFont="1" applyFill="1"/>
    <xf numFmtId="14" fontId="1" fillId="2" borderId="0" xfId="0" applyNumberFormat="1" applyFont="1" applyFill="1"/>
    <xf numFmtId="9" fontId="2" fillId="2" borderId="0" xfId="0" applyNumberFormat="1" applyFont="1" applyFill="1" applyAlignment="1">
      <alignment horizontal="center" vertical="top" wrapText="1"/>
    </xf>
    <xf numFmtId="14" fontId="2" fillId="2" borderId="0" xfId="0" applyNumberFormat="1" applyFont="1" applyFill="1" applyAlignment="1">
      <alignment horizontal="center" vertical="top" wrapText="1"/>
    </xf>
    <xf numFmtId="0" fontId="2" fillId="2" borderId="8" xfId="0" applyFont="1" applyFill="1" applyBorder="1" applyAlignment="1">
      <alignment horizontal="center" vertical="top" wrapText="1"/>
    </xf>
    <xf numFmtId="0" fontId="2" fillId="2" borderId="9" xfId="0" applyFont="1" applyFill="1" applyBorder="1" applyAlignment="1">
      <alignment horizontal="center" vertical="top" wrapText="1"/>
    </xf>
    <xf numFmtId="0" fontId="2" fillId="2" borderId="10" xfId="0" applyFont="1" applyFill="1" applyBorder="1" applyAlignment="1">
      <alignment horizontal="center" vertical="top" wrapText="1"/>
    </xf>
    <xf numFmtId="0" fontId="2" fillId="2" borderId="0" xfId="0" applyFont="1" applyFill="1" applyAlignment="1">
      <alignment horizontal="center" vertical="top"/>
    </xf>
    <xf numFmtId="0" fontId="1" fillId="0" borderId="0" xfId="0" applyFont="1" applyAlignment="1" applyProtection="1">
      <alignment horizontal="center"/>
      <protection locked="0"/>
    </xf>
    <xf numFmtId="3" fontId="1" fillId="0" borderId="0" xfId="0" applyNumberFormat="1" applyFont="1" applyProtection="1">
      <protection locked="0"/>
    </xf>
    <xf numFmtId="9" fontId="1" fillId="0" borderId="0" xfId="0" applyNumberFormat="1" applyFont="1" applyProtection="1">
      <protection locked="0"/>
    </xf>
    <xf numFmtId="14" fontId="1" fillId="0" borderId="0" xfId="0" applyNumberFormat="1" applyFont="1" applyProtection="1">
      <protection locked="0"/>
    </xf>
    <xf numFmtId="3" fontId="15" fillId="0" borderId="14" xfId="1" applyNumberFormat="1" applyFont="1" applyBorder="1" applyAlignment="1">
      <alignment horizontal="center"/>
    </xf>
    <xf numFmtId="3" fontId="15" fillId="0" borderId="12" xfId="1" applyNumberFormat="1" applyFont="1" applyBorder="1" applyAlignment="1">
      <alignment horizontal="center"/>
    </xf>
    <xf numFmtId="0" fontId="15" fillId="0" borderId="0" xfId="0" applyFont="1"/>
    <xf numFmtId="9" fontId="15" fillId="0" borderId="0" xfId="2" applyFont="1"/>
    <xf numFmtId="44" fontId="15" fillId="0" borderId="14" xfId="4" applyFont="1" applyBorder="1" applyAlignment="1">
      <alignment horizontal="left"/>
    </xf>
    <xf numFmtId="44" fontId="15" fillId="0" borderId="12" xfId="4" applyFont="1" applyBorder="1" applyAlignment="1">
      <alignment horizontal="left"/>
    </xf>
    <xf numFmtId="44" fontId="0" fillId="0" borderId="0" xfId="4" applyFont="1" applyAlignment="1">
      <alignment horizontal="center"/>
    </xf>
    <xf numFmtId="167" fontId="0" fillId="0" borderId="0" xfId="0" applyNumberFormat="1"/>
    <xf numFmtId="0" fontId="16" fillId="0" borderId="0" xfId="0" applyFont="1" applyAlignment="1">
      <alignment horizontal="center"/>
    </xf>
    <xf numFmtId="0" fontId="16" fillId="0" borderId="0" xfId="0" applyFont="1" applyAlignment="1">
      <alignment horizontal="center" wrapText="1"/>
    </xf>
    <xf numFmtId="0" fontId="16" fillId="0" borderId="16" xfId="0" applyFont="1" applyBorder="1" applyAlignment="1">
      <alignment horizontal="center" wrapText="1"/>
    </xf>
    <xf numFmtId="0" fontId="16" fillId="0" borderId="16" xfId="0" applyFont="1" applyBorder="1" applyAlignment="1">
      <alignment horizontal="centerContinuous" wrapText="1"/>
    </xf>
    <xf numFmtId="0" fontId="16" fillId="0" borderId="17" xfId="0" applyFont="1" applyBorder="1" applyAlignment="1">
      <alignment horizontal="centerContinuous" vertical="center" wrapText="1"/>
    </xf>
    <xf numFmtId="0" fontId="16" fillId="0" borderId="18" xfId="0" applyFont="1" applyBorder="1" applyAlignment="1">
      <alignment horizontal="centerContinuous" vertical="center" wrapText="1"/>
    </xf>
    <xf numFmtId="3" fontId="0" fillId="0" borderId="0" xfId="1" applyNumberFormat="1" applyFont="1"/>
    <xf numFmtId="44" fontId="14" fillId="0" borderId="14" xfId="4" applyFont="1" applyBorder="1" applyAlignment="1">
      <alignment horizontal="centerContinuous"/>
    </xf>
    <xf numFmtId="44" fontId="14" fillId="0" borderId="15" xfId="4" applyFont="1" applyBorder="1" applyAlignment="1">
      <alignment horizontal="centerContinuous"/>
    </xf>
    <xf numFmtId="44" fontId="14" fillId="0" borderId="13" xfId="4" applyFont="1" applyBorder="1" applyAlignment="1">
      <alignment horizontal="centerContinuous"/>
    </xf>
    <xf numFmtId="9" fontId="14" fillId="0" borderId="14" xfId="2" applyFont="1" applyBorder="1" applyAlignment="1">
      <alignment horizontal="centerContinuous"/>
    </xf>
    <xf numFmtId="0" fontId="14" fillId="0" borderId="13" xfId="0" applyFont="1" applyBorder="1" applyAlignment="1">
      <alignment horizontal="centerContinuous"/>
    </xf>
    <xf numFmtId="167" fontId="14" fillId="0" borderId="19" xfId="0" applyNumberFormat="1" applyFont="1" applyBorder="1" applyAlignment="1">
      <alignment horizontal="centerContinuous"/>
    </xf>
    <xf numFmtId="167" fontId="14" fillId="0" borderId="20" xfId="0" applyNumberFormat="1" applyFont="1" applyBorder="1" applyAlignment="1">
      <alignment horizontal="centerContinuous"/>
    </xf>
    <xf numFmtId="167" fontId="14" fillId="0" borderId="21" xfId="0" applyNumberFormat="1" applyFont="1" applyBorder="1" applyAlignment="1">
      <alignment horizontal="centerContinuous"/>
    </xf>
    <xf numFmtId="167" fontId="14" fillId="0" borderId="17" xfId="0" applyNumberFormat="1" applyFont="1" applyBorder="1" applyAlignment="1">
      <alignment horizontal="left"/>
    </xf>
    <xf numFmtId="167" fontId="14" fillId="0" borderId="17" xfId="0" applyNumberFormat="1" applyFont="1" applyBorder="1" applyAlignment="1">
      <alignment horizontal="centerContinuous"/>
    </xf>
    <xf numFmtId="167" fontId="14" fillId="0" borderId="22" xfId="0" applyNumberFormat="1" applyFont="1" applyBorder="1" applyAlignment="1">
      <alignment horizontal="centerContinuous"/>
    </xf>
    <xf numFmtId="167" fontId="14" fillId="0" borderId="18" xfId="0" applyNumberFormat="1" applyFont="1" applyBorder="1" applyAlignment="1">
      <alignment horizontal="centerContinuous"/>
    </xf>
    <xf numFmtId="0" fontId="17" fillId="3" borderId="11" xfId="5" applyFont="1" applyFill="1" applyBorder="1" applyAlignment="1">
      <alignment horizontal="center" vertical="center" wrapText="1"/>
    </xf>
    <xf numFmtId="0" fontId="17" fillId="3" borderId="1" xfId="5" applyFont="1" applyFill="1" applyBorder="1" applyAlignment="1">
      <alignment horizontal="center" vertical="center" wrapText="1"/>
    </xf>
    <xf numFmtId="0" fontId="17" fillId="9" borderId="1" xfId="5" applyFont="1" applyFill="1" applyBorder="1" applyAlignment="1">
      <alignment horizontal="left" vertical="center" wrapText="1"/>
    </xf>
    <xf numFmtId="0" fontId="17" fillId="9" borderId="1" xfId="5" applyFont="1" applyFill="1" applyBorder="1" applyAlignment="1">
      <alignment horizontal="left" vertical="center"/>
    </xf>
    <xf numFmtId="0" fontId="17" fillId="9" borderId="1" xfId="5" applyFont="1" applyFill="1" applyBorder="1" applyAlignment="1">
      <alignment horizontal="center" vertical="center" wrapText="1"/>
    </xf>
    <xf numFmtId="1" fontId="17" fillId="9" borderId="1" xfId="5" applyNumberFormat="1" applyFont="1" applyFill="1" applyBorder="1" applyAlignment="1">
      <alignment horizontal="center" vertical="center" wrapText="1"/>
    </xf>
    <xf numFmtId="1" fontId="17" fillId="9" borderId="1" xfId="0" applyNumberFormat="1" applyFont="1" applyFill="1" applyBorder="1" applyAlignment="1">
      <alignment horizontal="center" vertical="center" wrapText="1"/>
    </xf>
    <xf numFmtId="3" fontId="17" fillId="9" borderId="1" xfId="6" applyNumberFormat="1" applyFont="1" applyFill="1" applyBorder="1" applyAlignment="1" applyProtection="1">
      <alignment horizontal="center" vertical="center" wrapText="1"/>
    </xf>
    <xf numFmtId="3" fontId="17" fillId="9" borderId="1" xfId="1" applyNumberFormat="1" applyFont="1" applyFill="1" applyBorder="1" applyAlignment="1" applyProtection="1">
      <alignment horizontal="center" vertical="center" wrapText="1"/>
    </xf>
    <xf numFmtId="9" fontId="17" fillId="9" borderId="1" xfId="2" applyFont="1" applyFill="1" applyBorder="1" applyAlignment="1">
      <alignment horizontal="center" vertical="center" wrapText="1"/>
    </xf>
    <xf numFmtId="44" fontId="17" fillId="9" borderId="23" xfId="4" applyFont="1" applyFill="1" applyBorder="1" applyAlignment="1" applyProtection="1">
      <alignment horizontal="center" vertical="center" wrapText="1"/>
    </xf>
    <xf numFmtId="44" fontId="17" fillId="10" borderId="24" xfId="4" applyFont="1" applyFill="1" applyBorder="1" applyAlignment="1" applyProtection="1">
      <alignment horizontal="center" vertical="center" wrapText="1"/>
    </xf>
    <xf numFmtId="44" fontId="17" fillId="10" borderId="1" xfId="4" applyFont="1" applyFill="1" applyBorder="1" applyAlignment="1" applyProtection="1">
      <alignment horizontal="center" vertical="center" wrapText="1"/>
    </xf>
    <xf numFmtId="9" fontId="17" fillId="9" borderId="23" xfId="2" applyFont="1" applyFill="1" applyBorder="1" applyAlignment="1">
      <alignment horizontal="center" vertical="center" wrapText="1"/>
    </xf>
    <xf numFmtId="9" fontId="17" fillId="9" borderId="24" xfId="2" applyFont="1" applyFill="1" applyBorder="1" applyAlignment="1">
      <alignment horizontal="center" vertical="center" wrapText="1"/>
    </xf>
    <xf numFmtId="1" fontId="17" fillId="9" borderId="23" xfId="0" applyNumberFormat="1" applyFont="1" applyFill="1" applyBorder="1" applyAlignment="1">
      <alignment horizontal="center" vertical="center" wrapText="1"/>
    </xf>
    <xf numFmtId="9" fontId="17" fillId="9" borderId="23" xfId="5" applyNumberFormat="1" applyFont="1" applyFill="1" applyBorder="1" applyAlignment="1">
      <alignment horizontal="center" vertical="center" wrapText="1"/>
    </xf>
    <xf numFmtId="0" fontId="17" fillId="9" borderId="23" xfId="5" applyFont="1" applyFill="1" applyBorder="1" applyAlignment="1">
      <alignment horizontal="center" vertical="center" wrapText="1"/>
    </xf>
    <xf numFmtId="1" fontId="17" fillId="9" borderId="23" xfId="5" applyNumberFormat="1" applyFont="1" applyFill="1" applyBorder="1" applyAlignment="1">
      <alignment horizontal="center" vertical="center" wrapText="1"/>
    </xf>
    <xf numFmtId="0" fontId="4" fillId="0" borderId="0" xfId="0" applyFont="1" applyAlignment="1">
      <alignment vertical="center"/>
    </xf>
    <xf numFmtId="0" fontId="4" fillId="0" borderId="1" xfId="5" applyFont="1" applyBorder="1" applyAlignment="1">
      <alignment horizontal="center"/>
    </xf>
    <xf numFmtId="0" fontId="4" fillId="4" borderId="1" xfId="7" applyFont="1" applyFill="1" applyBorder="1" applyAlignment="1">
      <alignment horizontal="left"/>
    </xf>
    <xf numFmtId="0" fontId="4" fillId="0" borderId="1" xfId="7" applyFont="1" applyBorder="1" applyAlignment="1">
      <alignment horizontal="left"/>
    </xf>
    <xf numFmtId="168" fontId="4" fillId="0" borderId="1" xfId="7" applyNumberFormat="1" applyFont="1" applyBorder="1" applyAlignment="1">
      <alignment horizontal="left"/>
    </xf>
    <xf numFmtId="0" fontId="4" fillId="0" borderId="1" xfId="0" applyFont="1" applyBorder="1" applyAlignment="1">
      <alignment horizontal="center"/>
    </xf>
    <xf numFmtId="0" fontId="4" fillId="0" borderId="1" xfId="0" applyFont="1" applyBorder="1" applyAlignment="1" applyProtection="1">
      <alignment horizontal="center" vertical="center"/>
      <protection locked="0"/>
    </xf>
    <xf numFmtId="1" fontId="4" fillId="0" borderId="1" xfId="0" applyNumberFormat="1" applyFont="1" applyBorder="1" applyAlignment="1">
      <alignment horizontal="center"/>
    </xf>
    <xf numFmtId="3" fontId="4" fillId="0" borderId="1" xfId="1" applyNumberFormat="1" applyFont="1" applyFill="1" applyBorder="1" applyAlignment="1">
      <alignment horizontal="center"/>
    </xf>
    <xf numFmtId="3" fontId="4" fillId="0" borderId="1" xfId="1" applyNumberFormat="1" applyFont="1" applyBorder="1" applyAlignment="1">
      <alignment horizontal="center"/>
    </xf>
    <xf numFmtId="0" fontId="4" fillId="0" borderId="1" xfId="5" applyFont="1" applyBorder="1"/>
    <xf numFmtId="9" fontId="4" fillId="0" borderId="1" xfId="2" applyFont="1" applyBorder="1" applyAlignment="1">
      <alignment horizontal="center"/>
    </xf>
    <xf numFmtId="44" fontId="4" fillId="0" borderId="1" xfId="4" applyFont="1" applyBorder="1" applyAlignment="1">
      <alignment horizontal="left"/>
    </xf>
    <xf numFmtId="44" fontId="4" fillId="0" borderId="1" xfId="4" applyFont="1" applyFill="1" applyBorder="1" applyAlignment="1">
      <alignment horizontal="left"/>
    </xf>
    <xf numFmtId="44" fontId="4" fillId="10" borderId="1" xfId="4" applyFont="1" applyFill="1" applyBorder="1" applyAlignment="1">
      <alignment horizontal="left"/>
    </xf>
    <xf numFmtId="44" fontId="4" fillId="10" borderId="1" xfId="4" applyFont="1" applyFill="1" applyBorder="1" applyAlignment="1">
      <alignment horizontal="center"/>
    </xf>
    <xf numFmtId="9" fontId="4" fillId="0" borderId="1" xfId="2" applyFont="1" applyFill="1" applyBorder="1" applyAlignment="1" applyProtection="1">
      <alignment horizontal="center" vertical="center"/>
      <protection locked="0"/>
    </xf>
    <xf numFmtId="0" fontId="4" fillId="0" borderId="25" xfId="2" applyNumberFormat="1" applyFont="1" applyFill="1" applyBorder="1" applyAlignment="1" applyProtection="1">
      <alignment horizontal="center" vertical="center"/>
      <protection locked="0"/>
    </xf>
    <xf numFmtId="0" fontId="4" fillId="0" borderId="1" xfId="8" applyFont="1" applyBorder="1" applyAlignment="1" applyProtection="1">
      <alignment horizontal="left" vertical="center"/>
      <protection locked="0"/>
    </xf>
    <xf numFmtId="9" fontId="4" fillId="0" borderId="25" xfId="2" applyFont="1" applyBorder="1" applyAlignment="1">
      <alignment horizontal="center"/>
    </xf>
    <xf numFmtId="0" fontId="4" fillId="4" borderId="1" xfId="0" applyFont="1" applyFill="1" applyBorder="1" applyAlignment="1">
      <alignment horizontal="left"/>
    </xf>
    <xf numFmtId="0" fontId="4" fillId="0" borderId="1" xfId="0" applyFont="1" applyBorder="1" applyAlignment="1">
      <alignment horizontal="center" vertical="center"/>
    </xf>
    <xf numFmtId="0" fontId="4" fillId="4" borderId="25" xfId="0" applyFont="1" applyFill="1" applyBorder="1" applyAlignment="1">
      <alignment horizontal="left"/>
    </xf>
    <xf numFmtId="0" fontId="4" fillId="0" borderId="25" xfId="7" applyFont="1" applyBorder="1" applyAlignment="1">
      <alignment horizontal="left"/>
    </xf>
    <xf numFmtId="0" fontId="4" fillId="0" borderId="25" xfId="0" applyFont="1" applyBorder="1" applyAlignment="1" applyProtection="1">
      <alignment horizontal="center" vertical="center"/>
      <protection locked="0"/>
    </xf>
    <xf numFmtId="44" fontId="4" fillId="0" borderId="25" xfId="4" applyFont="1" applyBorder="1" applyAlignment="1">
      <alignment horizontal="left"/>
    </xf>
    <xf numFmtId="44" fontId="4" fillId="0" borderId="25" xfId="4" applyFont="1" applyFill="1" applyBorder="1" applyAlignment="1">
      <alignment horizontal="left"/>
    </xf>
    <xf numFmtId="44" fontId="4" fillId="10" borderId="25" xfId="4" applyFont="1" applyFill="1" applyBorder="1" applyAlignment="1">
      <alignment horizontal="left"/>
    </xf>
    <xf numFmtId="44" fontId="4" fillId="10" borderId="25" xfId="4" applyFont="1" applyFill="1" applyBorder="1" applyAlignment="1">
      <alignment horizontal="center"/>
    </xf>
    <xf numFmtId="0" fontId="4" fillId="0" borderId="25" xfId="5" applyFont="1" applyBorder="1" applyAlignment="1">
      <alignment horizontal="center"/>
    </xf>
    <xf numFmtId="0" fontId="4" fillId="4" borderId="25" xfId="7" applyFont="1" applyFill="1" applyBorder="1" applyAlignment="1">
      <alignment horizontal="left"/>
    </xf>
    <xf numFmtId="0" fontId="4" fillId="0" borderId="25" xfId="0" applyFont="1" applyBorder="1"/>
    <xf numFmtId="168" fontId="4" fillId="0" borderId="25" xfId="7" applyNumberFormat="1" applyFont="1" applyBorder="1" applyAlignment="1">
      <alignment horizontal="left"/>
    </xf>
    <xf numFmtId="0" fontId="4" fillId="0" borderId="25" xfId="0" applyFont="1" applyBorder="1" applyAlignment="1">
      <alignment horizontal="center"/>
    </xf>
    <xf numFmtId="1" fontId="4" fillId="0" borderId="25" xfId="0" applyNumberFormat="1" applyFont="1" applyBorder="1" applyAlignment="1">
      <alignment horizontal="center"/>
    </xf>
    <xf numFmtId="3" fontId="4" fillId="0" borderId="25" xfId="1" applyNumberFormat="1" applyFont="1" applyFill="1" applyBorder="1" applyAlignment="1">
      <alignment horizontal="center"/>
    </xf>
    <xf numFmtId="3" fontId="4" fillId="0" borderId="25" xfId="1" applyNumberFormat="1" applyFont="1" applyBorder="1" applyAlignment="1">
      <alignment horizontal="center"/>
    </xf>
    <xf numFmtId="0" fontId="4" fillId="0" borderId="25" xfId="5" applyFont="1" applyBorder="1"/>
    <xf numFmtId="0" fontId="4" fillId="0" borderId="25" xfId="8" applyFont="1" applyBorder="1" applyAlignment="1" applyProtection="1">
      <alignment horizontal="left" vertical="center"/>
      <protection locked="0"/>
    </xf>
    <xf numFmtId="0" fontId="4" fillId="0" borderId="25" xfId="2" applyNumberFormat="1" applyFont="1" applyBorder="1" applyAlignment="1">
      <alignment horizontal="center" vertical="center"/>
    </xf>
    <xf numFmtId="1" fontId="4" fillId="0" borderId="25" xfId="8" applyNumberFormat="1" applyFont="1" applyBorder="1" applyAlignment="1" applyProtection="1">
      <alignment vertical="center"/>
      <protection locked="0"/>
    </xf>
    <xf numFmtId="0" fontId="4" fillId="0" borderId="25" xfId="8" applyFont="1" applyBorder="1" applyAlignment="1" applyProtection="1">
      <alignment vertical="center"/>
      <protection locked="0"/>
    </xf>
    <xf numFmtId="9" fontId="4" fillId="0" borderId="25" xfId="2" applyFont="1" applyBorder="1" applyAlignment="1" applyProtection="1">
      <alignment horizontal="center" vertical="center"/>
      <protection locked="0"/>
    </xf>
    <xf numFmtId="0" fontId="4" fillId="0" borderId="25" xfId="7" applyFont="1" applyBorder="1" applyAlignment="1">
      <alignment horizontal="center"/>
    </xf>
    <xf numFmtId="167" fontId="4" fillId="0" borderId="25" xfId="0" applyNumberFormat="1" applyFont="1" applyBorder="1" applyAlignment="1" applyProtection="1">
      <alignment horizontal="center" vertical="center"/>
      <protection locked="0"/>
    </xf>
    <xf numFmtId="5" fontId="4" fillId="0" borderId="1" xfId="4" applyNumberFormat="1" applyFont="1" applyBorder="1" applyAlignment="1">
      <alignment horizontal="left"/>
    </xf>
    <xf numFmtId="5" fontId="4" fillId="0" borderId="25" xfId="4" applyNumberFormat="1" applyFont="1" applyBorder="1" applyAlignment="1">
      <alignment horizontal="left"/>
    </xf>
    <xf numFmtId="0" fontId="4" fillId="0" borderId="0" xfId="0" applyFont="1" applyAlignment="1">
      <alignment horizontal="center"/>
    </xf>
    <xf numFmtId="5" fontId="4" fillId="0" borderId="0" xfId="4" applyNumberFormat="1" applyFont="1" applyBorder="1" applyAlignment="1">
      <alignment horizontal="left"/>
    </xf>
    <xf numFmtId="3" fontId="4" fillId="0" borderId="0" xfId="1" applyNumberFormat="1" applyFont="1" applyBorder="1" applyAlignment="1">
      <alignment horizontal="center"/>
    </xf>
    <xf numFmtId="0" fontId="0" fillId="0" borderId="0" xfId="1" applyNumberFormat="1" applyFont="1" applyBorder="1" applyAlignment="1">
      <alignment horizontal="right"/>
    </xf>
    <xf numFmtId="5" fontId="5" fillId="0" borderId="0" xfId="1" applyNumberFormat="1" applyFont="1" applyBorder="1" applyAlignment="1">
      <alignment horizontal="right"/>
    </xf>
    <xf numFmtId="166" fontId="0" fillId="0" borderId="1" xfId="1" applyNumberFormat="1" applyFont="1" applyBorder="1" applyAlignment="1"/>
    <xf numFmtId="5" fontId="4" fillId="10" borderId="1" xfId="4" applyNumberFormat="1" applyFont="1" applyFill="1" applyBorder="1" applyAlignment="1">
      <alignment horizontal="left"/>
    </xf>
    <xf numFmtId="5" fontId="4" fillId="10" borderId="25" xfId="4" applyNumberFormat="1" applyFont="1" applyFill="1" applyBorder="1" applyAlignment="1">
      <alignment horizontal="left"/>
    </xf>
    <xf numFmtId="0" fontId="10" fillId="0" borderId="1" xfId="0" applyFont="1" applyBorder="1"/>
    <xf numFmtId="2" fontId="10" fillId="0" borderId="1" xfId="0" applyNumberFormat="1" applyFont="1" applyBorder="1"/>
    <xf numFmtId="2" fontId="23" fillId="0" borderId="1" xfId="0" applyNumberFormat="1" applyFont="1" applyBorder="1"/>
    <xf numFmtId="3" fontId="11" fillId="0" borderId="0" xfId="3" applyNumberFormat="1" applyFont="1" applyAlignment="1">
      <alignment horizontal="center" vertical="center" wrapText="1"/>
    </xf>
    <xf numFmtId="0" fontId="4" fillId="4" borderId="0" xfId="7" applyFont="1" applyFill="1" applyAlignment="1">
      <alignment horizontal="left"/>
    </xf>
    <xf numFmtId="0" fontId="4" fillId="4" borderId="0" xfId="0" applyFont="1" applyFill="1" applyAlignment="1">
      <alignment horizontal="left"/>
    </xf>
    <xf numFmtId="166" fontId="0" fillId="0" borderId="0" xfId="1" applyNumberFormat="1" applyFont="1" applyBorder="1" applyAlignment="1"/>
    <xf numFmtId="167" fontId="0" fillId="0" borderId="1" xfId="0" applyNumberFormat="1" applyBorder="1" applyAlignment="1">
      <alignment horizontal="center"/>
    </xf>
    <xf numFmtId="167" fontId="0" fillId="10" borderId="1" xfId="0" applyNumberFormat="1" applyFill="1" applyBorder="1" applyAlignment="1">
      <alignment horizontal="center"/>
    </xf>
    <xf numFmtId="9" fontId="4" fillId="0" borderId="23" xfId="2" applyFont="1" applyBorder="1" applyAlignment="1" applyProtection="1">
      <alignment horizontal="center" vertical="center"/>
      <protection locked="0"/>
    </xf>
    <xf numFmtId="5" fontId="5" fillId="0" borderId="1" xfId="1" applyNumberFormat="1" applyFont="1" applyBorder="1" applyAlignment="1">
      <alignment horizontal="right"/>
    </xf>
    <xf numFmtId="5" fontId="12" fillId="7" borderId="1" xfId="1" applyNumberFormat="1" applyFont="1" applyFill="1" applyBorder="1" applyAlignment="1">
      <alignment horizontal="right" wrapText="1"/>
    </xf>
    <xf numFmtId="7" fontId="12" fillId="7" borderId="1" xfId="1" applyNumberFormat="1" applyFont="1" applyFill="1" applyBorder="1" applyAlignment="1">
      <alignment horizontal="right" wrapText="1"/>
    </xf>
    <xf numFmtId="3" fontId="17" fillId="0" borderId="0" xfId="1" applyNumberFormat="1" applyFont="1" applyBorder="1" applyAlignment="1">
      <alignment horizontal="center"/>
    </xf>
    <xf numFmtId="3" fontId="24" fillId="0" borderId="0" xfId="0" applyNumberFormat="1" applyFont="1" applyProtection="1">
      <protection locked="0"/>
    </xf>
    <xf numFmtId="0" fontId="8" fillId="0" borderId="1" xfId="0" applyFont="1" applyBorder="1"/>
    <xf numFmtId="0" fontId="7" fillId="3" borderId="0" xfId="0" applyFont="1" applyFill="1" applyAlignment="1">
      <alignment horizontal="right" wrapText="1"/>
    </xf>
    <xf numFmtId="165" fontId="8" fillId="0" borderId="1" xfId="0" applyNumberFormat="1" applyFont="1" applyBorder="1" applyAlignment="1">
      <alignment horizontal="left"/>
    </xf>
    <xf numFmtId="0" fontId="8" fillId="0" borderId="1" xfId="0" applyFont="1" applyBorder="1" applyAlignment="1">
      <alignment horizontal="left"/>
    </xf>
    <xf numFmtId="49" fontId="8" fillId="0" borderId="1" xfId="0" applyNumberFormat="1" applyFont="1" applyBorder="1" applyAlignment="1">
      <alignment horizontal="left"/>
    </xf>
    <xf numFmtId="166" fontId="8" fillId="0" borderId="1" xfId="1" applyNumberFormat="1" applyFont="1" applyBorder="1" applyAlignment="1">
      <alignment horizontal="left"/>
    </xf>
    <xf numFmtId="0" fontId="7" fillId="3" borderId="0" xfId="0" applyFont="1" applyFill="1" applyAlignment="1">
      <alignment horizontal="right"/>
    </xf>
    <xf numFmtId="0" fontId="6" fillId="4" borderId="4" xfId="0" applyFont="1" applyFill="1" applyBorder="1" applyAlignment="1">
      <alignment horizontal="center" wrapText="1"/>
    </xf>
    <xf numFmtId="0" fontId="7" fillId="3" borderId="0" xfId="0" applyFont="1" applyFill="1" applyAlignment="1">
      <alignment horizontal="center" vertical="center" wrapText="1"/>
    </xf>
    <xf numFmtId="0" fontId="7" fillId="6" borderId="0" xfId="0" applyFont="1" applyFill="1" applyAlignment="1">
      <alignment horizontal="left" wrapText="1"/>
    </xf>
    <xf numFmtId="0" fontId="7" fillId="4" borderId="0" xfId="0" applyFont="1" applyFill="1" applyAlignment="1">
      <alignment horizontal="left" wrapText="1"/>
    </xf>
    <xf numFmtId="0" fontId="7" fillId="4" borderId="0" xfId="0" applyFont="1" applyFill="1" applyAlignment="1">
      <alignment horizontal="left" vertical="top" wrapText="1"/>
    </xf>
    <xf numFmtId="0" fontId="6" fillId="4" borderId="3" xfId="0" applyFont="1" applyFill="1" applyBorder="1" applyAlignment="1">
      <alignment horizontal="center" wrapText="1"/>
    </xf>
    <xf numFmtId="0" fontId="2" fillId="2" borderId="5" xfId="0" applyFont="1" applyFill="1" applyBorder="1" applyAlignment="1">
      <alignment horizontal="center" vertical="top" wrapText="1"/>
    </xf>
    <xf numFmtId="0" fontId="0" fillId="0" borderId="6" xfId="0" applyBorder="1"/>
    <xf numFmtId="0" fontId="0" fillId="0" borderId="7" xfId="0" applyBorder="1"/>
  </cellXfs>
  <cellStyles count="9">
    <cellStyle name="Comma" xfId="1" builtinId="3"/>
    <cellStyle name="Comma 15" xfId="6" xr:uid="{04164F6B-0878-46DC-AC0B-6FD89FE6749F}"/>
    <cellStyle name="Currency" xfId="4" builtinId="4"/>
    <cellStyle name="Normal" xfId="0" builtinId="0"/>
    <cellStyle name="Normal 13" xfId="5" xr:uid="{D6D0ECA3-66B8-4172-B426-C13D8B674643}"/>
    <cellStyle name="Normal 13 2 2" xfId="7" xr:uid="{8B3A3CBD-D429-421A-AD48-09CABDF2ECC3}"/>
    <cellStyle name="Normal 2 2" xfId="3" xr:uid="{7EEA5FE4-44F0-437A-8D3D-353799EF5E86}"/>
    <cellStyle name="Normal 2 3" xfId="8" xr:uid="{1639F5E2-DC70-42F9-A938-E1A13CEDB7EA}"/>
    <cellStyle name="Percent" xfId="2" builtinId="5"/>
  </cellStyles>
  <dxfs count="47">
    <dxf>
      <fill>
        <patternFill>
          <bgColor rgb="FFD9D9D9"/>
        </patternFill>
      </fill>
    </dxf>
    <dxf>
      <fill>
        <patternFill>
          <bgColor rgb="FFAEAAAA"/>
        </patternFill>
      </fill>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protection locked="0" hidden="0"/>
    </dxf>
    <dxf>
      <font>
        <b val="0"/>
        <i val="0"/>
        <strike val="0"/>
        <condense val="0"/>
        <extend val="0"/>
        <outline val="0"/>
        <shadow val="0"/>
        <u val="none"/>
        <vertAlign val="baseline"/>
        <sz val="10"/>
        <color theme="1"/>
        <name val="Arial"/>
        <family val="2"/>
        <scheme val="none"/>
      </font>
      <numFmt numFmtId="1"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protection locked="0" hidden="0"/>
    </dxf>
    <dxf>
      <font>
        <b val="0"/>
        <i val="0"/>
        <strike val="0"/>
        <condense val="0"/>
        <extend val="0"/>
        <outline val="0"/>
        <shadow val="0"/>
        <u val="none"/>
        <vertAlign val="baseline"/>
        <sz val="10"/>
        <color theme="1"/>
        <name val="Arial"/>
        <family val="2"/>
        <scheme val="none"/>
      </font>
      <numFmt numFmtId="1"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0"/>
        <color theme="1"/>
        <name val="Arial"/>
        <family val="2"/>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family val="2"/>
        <scheme val="none"/>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family val="2"/>
        <scheme val="none"/>
      </font>
      <numFmt numFmtId="13"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family val="2"/>
        <scheme val="none"/>
      </font>
      <numFmt numFmtId="34" formatCode="_(&quot;$&quot;* #,##0.00_);_(&quot;$&quot;* \(#,##0.00\);_(&quot;$&quot;* &quot;-&quot;??_);_(@_)"/>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34" formatCode="_(&quot;$&quot;* #,##0.00_);_(&quot;$&quot;* \(#,##0.00\);_(&quot;$&quot;* &quot;-&quot;??_);_(@_)"/>
      <fill>
        <patternFill patternType="solid">
          <fgColor indexed="64"/>
          <bgColor theme="0"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34" formatCode="_(&quot;$&quot;* #,##0.00_);_(&quot;$&quot;* \(#,##0.00\);_(&quot;$&quot;* &quot;-&quot;??_);_(@_)"/>
      <fill>
        <patternFill patternType="none">
          <fgColor indexed="64"/>
          <bgColor indexed="6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34" formatCode="_(&quot;$&quot;* #,##0.00_);_(&quot;$&quot;* \(#,##0.00\);_(&quot;$&quot;* &quot;-&quot;??_);_(@_)"/>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34" formatCode="_(&quot;$&quot;* #,##0.00_);_(&quot;$&quot;* \(#,##0.00\);_(&quot;$&quot;* &quot;-&quot;??_);_(@_)"/>
      <fill>
        <patternFill patternType="none">
          <fgColor indexed="64"/>
          <bgColor indexed="6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34" formatCode="_(&quot;$&quot;* #,##0.00_);_(&quot;$&quot;* \(#,##0.00\);_(&quot;$&quot;* &quot;-&quot;??_);_(@_)"/>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3"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family val="2"/>
        <scheme val="none"/>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00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rgb="FF000000"/>
        <name val="Arial"/>
        <family val="2"/>
        <scheme val="none"/>
      </font>
      <fill>
        <patternFill patternType="none">
          <fgColor rgb="FF000000"/>
          <bgColor rgb="FFFFFFFF"/>
        </patternFill>
      </fill>
      <alignment horizontal="center" vertical="center" textRotation="0" wrapText="0" indent="0" justifyLastLine="0" shrinkToFit="0" readingOrder="0"/>
      <protection locked="0" hidden="0"/>
    </dxf>
    <dxf>
      <border outline="0">
        <bottom style="thin">
          <color rgb="FF000000"/>
        </bottom>
      </border>
    </dxf>
    <dxf>
      <font>
        <b/>
        <i val="0"/>
        <strike val="0"/>
        <condense val="0"/>
        <extend val="0"/>
        <outline val="0"/>
        <shadow val="0"/>
        <u val="none"/>
        <vertAlign val="baseline"/>
        <sz val="10"/>
        <color theme="1"/>
        <name val="Arial"/>
        <family val="2"/>
        <scheme val="none"/>
      </font>
      <fill>
        <patternFill patternType="solid">
          <fgColor indexed="64"/>
          <bgColor rgb="FF05C3DD"/>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amfam-my.sharepoint.com/personal/kwrigh1_amfam_com/Documents/Desktop/Anthem%20Accurate%20SOV%202.5.2025.xls" TargetMode="External"/><Relationship Id="rId2" Type="http://schemas.microsoft.com/office/2019/04/relationships/externalLinkLongPath" Target="Anthem%20Accurate%20SOV%202.5.2025.xls?044F492B" TargetMode="External"/><Relationship Id="rId1" Type="http://schemas.openxmlformats.org/officeDocument/2006/relationships/externalLinkPath" Target="file:///\\044F492B\Anthem%20Accurate%20SOV%202.5.2025.xls"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https://amfam.sharepoint.com/sites/msteams_95da63/Shared%20Documents/General/Agency%20Folder/Kendra%20Wright%20Agency/Accounts-%20HOA/-%20HOA%20Renewals/HOA%20B&amp;A%20Apps/SOV/CAU%20Statement%20of%20Values%20Template.xls" TargetMode="External"/><Relationship Id="rId2" Type="http://schemas.microsoft.com/office/2019/04/relationships/externalLinkLongPath" Target="CAU%20Statement%20of%20Values%20Template.xls?044F492B" TargetMode="External"/><Relationship Id="rId1" Type="http://schemas.openxmlformats.org/officeDocument/2006/relationships/externalLinkPath" Target="file:///\\044F492B\CAU%20Statement%20of%20Values%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Sheet1"/>
      <sheetName val="List"/>
    </sheetNames>
    <sheetDataSet>
      <sheetData sheetId="0"/>
      <sheetData sheetId="1">
        <row r="1">
          <cell r="A1" t="str">
            <v>Frame</v>
          </cell>
          <cell r="B1" t="str">
            <v>Asphalt Shingles</v>
          </cell>
        </row>
        <row r="2">
          <cell r="A2" t="str">
            <v>Stucco Over Frame</v>
          </cell>
          <cell r="B2" t="str">
            <v>Wood Shingles or Shakes</v>
          </cell>
        </row>
        <row r="3">
          <cell r="A3" t="str">
            <v>Brick Veneer Over Frame</v>
          </cell>
          <cell r="B3" t="str">
            <v>Metal</v>
          </cell>
        </row>
        <row r="4">
          <cell r="A4" t="str">
            <v>Joisted Masonry</v>
          </cell>
          <cell r="B4" t="str">
            <v>Tile</v>
          </cell>
        </row>
        <row r="5">
          <cell r="A5" t="str">
            <v>Superior Joisted Masonry</v>
          </cell>
          <cell r="B5" t="str">
            <v>Slate</v>
          </cell>
        </row>
        <row r="6">
          <cell r="A6" t="str">
            <v>Non-combustible</v>
          </cell>
          <cell r="B6" t="str">
            <v>Asphalt &amp; Stone</v>
          </cell>
        </row>
        <row r="7">
          <cell r="A7" t="str">
            <v>Masonry Non-combustible</v>
          </cell>
          <cell r="B7" t="str">
            <v>Rubber or Plastic</v>
          </cell>
        </row>
        <row r="8">
          <cell r="A8" t="str">
            <v>Fire Resistive</v>
          </cell>
          <cell r="B8" t="str">
            <v>Concrete</v>
          </cell>
        </row>
        <row r="9">
          <cell r="B9" t="str">
            <v>Other</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Sheet1"/>
      <sheetName val="List"/>
    </sheetNames>
    <sheetDataSet>
      <sheetData sheetId="0" refreshError="1"/>
      <sheetData sheetId="1">
        <row r="1">
          <cell r="C1" t="str">
            <v>yes</v>
          </cell>
          <cell r="D1">
            <v>0</v>
          </cell>
        </row>
        <row r="2">
          <cell r="C2" t="str">
            <v>no</v>
          </cell>
          <cell r="D2">
            <v>0.01</v>
          </cell>
        </row>
        <row r="3">
          <cell r="D3">
            <v>0.02</v>
          </cell>
        </row>
        <row r="4">
          <cell r="D4">
            <v>0.03</v>
          </cell>
        </row>
        <row r="5">
          <cell r="D5">
            <v>0.04</v>
          </cell>
        </row>
        <row r="6">
          <cell r="D6">
            <v>0.05</v>
          </cell>
        </row>
        <row r="7">
          <cell r="D7">
            <v>0.06</v>
          </cell>
        </row>
        <row r="8">
          <cell r="D8">
            <v>7.0000000000000007E-2</v>
          </cell>
        </row>
        <row r="9">
          <cell r="D9">
            <v>0.08</v>
          </cell>
        </row>
        <row r="10">
          <cell r="D10">
            <v>0.09</v>
          </cell>
        </row>
        <row r="11">
          <cell r="D11">
            <v>0.1</v>
          </cell>
        </row>
        <row r="12">
          <cell r="D12">
            <v>0.11</v>
          </cell>
        </row>
        <row r="13">
          <cell r="D13">
            <v>0.12</v>
          </cell>
        </row>
        <row r="14">
          <cell r="D14">
            <v>0.13</v>
          </cell>
        </row>
        <row r="15">
          <cell r="D15">
            <v>0.14000000000000001</v>
          </cell>
        </row>
        <row r="16">
          <cell r="D16">
            <v>0.15</v>
          </cell>
        </row>
        <row r="17">
          <cell r="D17">
            <v>0.16</v>
          </cell>
        </row>
        <row r="18">
          <cell r="D18">
            <v>0.17</v>
          </cell>
        </row>
        <row r="19">
          <cell r="D19">
            <v>0.18</v>
          </cell>
        </row>
        <row r="20">
          <cell r="D20">
            <v>0.19</v>
          </cell>
        </row>
        <row r="21">
          <cell r="D21">
            <v>0.2</v>
          </cell>
        </row>
        <row r="22">
          <cell r="D22">
            <v>0.21</v>
          </cell>
        </row>
        <row r="23">
          <cell r="D23">
            <v>0.22</v>
          </cell>
        </row>
        <row r="24">
          <cell r="D24">
            <v>0.23</v>
          </cell>
        </row>
        <row r="25">
          <cell r="D25">
            <v>0.24</v>
          </cell>
        </row>
        <row r="26">
          <cell r="D26">
            <v>0.25</v>
          </cell>
        </row>
        <row r="27">
          <cell r="D27">
            <v>0.26</v>
          </cell>
        </row>
        <row r="28">
          <cell r="D28">
            <v>0.27</v>
          </cell>
        </row>
        <row r="29">
          <cell r="D29">
            <v>0.28000000000000003</v>
          </cell>
        </row>
        <row r="30">
          <cell r="D30">
            <v>0.28999999999999998</v>
          </cell>
        </row>
        <row r="31">
          <cell r="D31">
            <v>0.3</v>
          </cell>
        </row>
        <row r="32">
          <cell r="D32">
            <v>0.31</v>
          </cell>
        </row>
        <row r="33">
          <cell r="D33">
            <v>0.32</v>
          </cell>
        </row>
        <row r="34">
          <cell r="D34">
            <v>0.33</v>
          </cell>
        </row>
        <row r="35">
          <cell r="D35">
            <v>0.34</v>
          </cell>
        </row>
        <row r="36">
          <cell r="D36">
            <v>0.35</v>
          </cell>
        </row>
        <row r="37">
          <cell r="D37">
            <v>0.36</v>
          </cell>
        </row>
        <row r="38">
          <cell r="D38">
            <v>0.37</v>
          </cell>
        </row>
        <row r="39">
          <cell r="D39">
            <v>0.38</v>
          </cell>
        </row>
        <row r="40">
          <cell r="D40">
            <v>0.39</v>
          </cell>
        </row>
        <row r="41">
          <cell r="D41">
            <v>0.4</v>
          </cell>
        </row>
        <row r="42">
          <cell r="D42">
            <v>0.41</v>
          </cell>
        </row>
        <row r="43">
          <cell r="D43">
            <v>0.42</v>
          </cell>
        </row>
        <row r="44">
          <cell r="D44">
            <v>0.43</v>
          </cell>
        </row>
        <row r="45">
          <cell r="D45">
            <v>0.44</v>
          </cell>
        </row>
        <row r="46">
          <cell r="D46">
            <v>0.45</v>
          </cell>
        </row>
        <row r="47">
          <cell r="D47">
            <v>0.46</v>
          </cell>
        </row>
        <row r="48">
          <cell r="D48">
            <v>0.47</v>
          </cell>
        </row>
        <row r="49">
          <cell r="D49">
            <v>0.48</v>
          </cell>
        </row>
        <row r="50">
          <cell r="D50">
            <v>0.49</v>
          </cell>
        </row>
        <row r="51">
          <cell r="D51">
            <v>0.5</v>
          </cell>
        </row>
        <row r="52">
          <cell r="D52">
            <v>0.51</v>
          </cell>
        </row>
        <row r="53">
          <cell r="D53">
            <v>0.52</v>
          </cell>
        </row>
        <row r="54">
          <cell r="D54">
            <v>0.53</v>
          </cell>
        </row>
        <row r="55">
          <cell r="D55">
            <v>0.54</v>
          </cell>
        </row>
        <row r="56">
          <cell r="D56">
            <v>0.55000000000000004</v>
          </cell>
        </row>
        <row r="57">
          <cell r="D57">
            <v>0.56000000000000005</v>
          </cell>
        </row>
        <row r="58">
          <cell r="D58">
            <v>0.56999999999999995</v>
          </cell>
        </row>
        <row r="59">
          <cell r="D59">
            <v>0.57999999999999996</v>
          </cell>
        </row>
        <row r="60">
          <cell r="D60">
            <v>0.59</v>
          </cell>
        </row>
        <row r="61">
          <cell r="D61">
            <v>0.6</v>
          </cell>
        </row>
        <row r="62">
          <cell r="D62">
            <v>0.61</v>
          </cell>
        </row>
        <row r="63">
          <cell r="D63">
            <v>0.62</v>
          </cell>
        </row>
        <row r="64">
          <cell r="D64">
            <v>0.63</v>
          </cell>
        </row>
        <row r="65">
          <cell r="D65">
            <v>0.64</v>
          </cell>
        </row>
        <row r="66">
          <cell r="D66">
            <v>0.65</v>
          </cell>
        </row>
        <row r="67">
          <cell r="D67">
            <v>0.66</v>
          </cell>
        </row>
        <row r="68">
          <cell r="D68">
            <v>0.67</v>
          </cell>
        </row>
        <row r="69">
          <cell r="D69">
            <v>0.68</v>
          </cell>
        </row>
        <row r="70">
          <cell r="D70">
            <v>0.69</v>
          </cell>
        </row>
        <row r="71">
          <cell r="D71">
            <v>0.7</v>
          </cell>
        </row>
        <row r="72">
          <cell r="D72">
            <v>0.71</v>
          </cell>
        </row>
        <row r="73">
          <cell r="D73">
            <v>0.72</v>
          </cell>
        </row>
        <row r="74">
          <cell r="D74">
            <v>0.73</v>
          </cell>
        </row>
        <row r="75">
          <cell r="D75">
            <v>0.74</v>
          </cell>
        </row>
        <row r="76">
          <cell r="D76">
            <v>0.75</v>
          </cell>
        </row>
        <row r="77">
          <cell r="D77">
            <v>0.76</v>
          </cell>
        </row>
        <row r="78">
          <cell r="D78">
            <v>0.77</v>
          </cell>
        </row>
        <row r="79">
          <cell r="D79">
            <v>0.78</v>
          </cell>
        </row>
        <row r="80">
          <cell r="D80">
            <v>0.79</v>
          </cell>
        </row>
        <row r="81">
          <cell r="D81">
            <v>0.8</v>
          </cell>
        </row>
        <row r="82">
          <cell r="D82">
            <v>0.81</v>
          </cell>
        </row>
        <row r="83">
          <cell r="D83">
            <v>0.82</v>
          </cell>
        </row>
        <row r="84">
          <cell r="D84">
            <v>0.83</v>
          </cell>
        </row>
        <row r="85">
          <cell r="D85">
            <v>0.84</v>
          </cell>
        </row>
        <row r="86">
          <cell r="D86">
            <v>0.85</v>
          </cell>
        </row>
        <row r="87">
          <cell r="D87">
            <v>0.86</v>
          </cell>
        </row>
        <row r="88">
          <cell r="D88">
            <v>0.87</v>
          </cell>
        </row>
        <row r="89">
          <cell r="D89">
            <v>0.88</v>
          </cell>
        </row>
        <row r="90">
          <cell r="D90">
            <v>0.89</v>
          </cell>
        </row>
        <row r="91">
          <cell r="D91">
            <v>0.9</v>
          </cell>
        </row>
        <row r="92">
          <cell r="D92">
            <v>0.91</v>
          </cell>
        </row>
        <row r="93">
          <cell r="D93">
            <v>0.92</v>
          </cell>
        </row>
        <row r="94">
          <cell r="D94">
            <v>0.93</v>
          </cell>
        </row>
        <row r="95">
          <cell r="D95">
            <v>0.94</v>
          </cell>
        </row>
        <row r="96">
          <cell r="D96">
            <v>0.95</v>
          </cell>
        </row>
        <row r="97">
          <cell r="D97">
            <v>0.96</v>
          </cell>
        </row>
        <row r="98">
          <cell r="D98">
            <v>0.97</v>
          </cell>
        </row>
        <row r="99">
          <cell r="D99">
            <v>0.98</v>
          </cell>
        </row>
        <row r="100">
          <cell r="D100">
            <v>0.99</v>
          </cell>
        </row>
        <row r="101">
          <cell r="D101">
            <v>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EE5018-EBAD-4A84-A637-E5AADB78D273}" name="tbl_SOV" displayName="tbl_SOV" ref="A4:AO47" totalsRowShown="0" headerRowDxfId="46" dataDxfId="44" headerRowBorderDxfId="45" tableBorderDxfId="43" headerRowCellStyle="Percent" dataCellStyle="Percent">
  <autoFilter ref="A4:AO47" xr:uid="{0BEE5018-EBAD-4A84-A637-E5AADB78D273}"/>
  <tableColumns count="41">
    <tableColumn id="1" xr3:uid="{2B6A0E52-1828-4F21-A48D-26E4DD401FDA}" name="Location #" dataDxfId="42" dataCellStyle="Normal 13"/>
    <tableColumn id="2" xr3:uid="{58BCA38F-1CA7-4204-94F5-B89F920AD7AE}" name="Building #" dataDxfId="41" dataCellStyle="Normal 13"/>
    <tableColumn id="3" xr3:uid="{BFDB4387-53B0-40DE-9F97-50179243975B}" name="Location Name" dataDxfId="40" dataCellStyle="Normal 13 2 2"/>
    <tableColumn id="4" xr3:uid="{42D39A7E-45E5-4811-8864-2A0A420379C4}" name="Legal Entity" dataDxfId="39"/>
    <tableColumn id="5" xr3:uid="{68F07965-FD3D-4DC5-A453-C688320CDA10}" name="Street Address 1" dataDxfId="38"/>
    <tableColumn id="6" xr3:uid="{577F7572-0D10-4E4D-B61C-1C836F0D94A7}" name="Address Line 2" dataDxfId="37"/>
    <tableColumn id="7" xr3:uid="{DED76261-5D51-4B5E-BCDF-12986AB14BAC}" name="City" dataDxfId="36" dataCellStyle="Normal 13 2 2"/>
    <tableColumn id="8" xr3:uid="{E0CE93DC-025C-4A46-BD70-20F2AC67A8DE}" name="State " dataDxfId="35" dataCellStyle="Normal 13 2 2"/>
    <tableColumn id="9" xr3:uid="{16A6BACC-0247-4D76-8F7E-54AF7E3D8FC2}" name="Zip Code" dataDxfId="34" dataCellStyle="Normal 13 2 2"/>
    <tableColumn id="51" xr3:uid="{A850C1C4-364E-4B54-94F6-41D2559D6971}" name="County" dataDxfId="33" dataCellStyle="Normal 13 2 2"/>
    <tableColumn id="10" xr3:uid="{692A78C5-AA8A-495D-AF51-35338761D139}" name="Construction" dataDxfId="32"/>
    <tableColumn id="11" xr3:uid="{08994EBB-65DC-4B98-B00E-8F9677AC5A73}" name="Year Built (Original)" dataDxfId="31"/>
    <tableColumn id="12" xr3:uid="{4EA44722-D759-4948-91AD-E91EC1227C22}" name="Full Renovation Year (if applicable)" dataDxfId="30"/>
    <tableColumn id="13" xr3:uid="{D00E0250-B38B-41DE-830E-21EAC60AC91E}" name="No. of Stories" dataDxfId="29"/>
    <tableColumn id="48" xr3:uid="{18238EBB-025B-402C-BE06-3686B7632CF4}" name="No. of Buildings_x000a_ (if blanket)" dataDxfId="28"/>
    <tableColumn id="14" xr3:uid="{7F1A2B1C-3FF8-4A54-8FCC-DF2D2D88B978}" name="No. of Units" dataDxfId="27" dataCellStyle="Comma"/>
    <tableColumn id="15" xr3:uid="{FB184CDF-786E-4B1C-8BDE-8B3ABA32A98B}" name="Square Footage" dataDxfId="26" dataCellStyle="Comma"/>
    <tableColumn id="16" xr3:uid="{07C00283-C972-4306-B588-A79362BCFE46}" name="Occupancy Description (e.g. Apartments)" dataDxfId="25" dataCellStyle="Normal 13"/>
    <tableColumn id="17" xr3:uid="{A9FE548A-5986-41ED-A64A-961B7FE9C542}" name="% Occupied" dataDxfId="24" dataCellStyle="Percent"/>
    <tableColumn id="18" xr3:uid="{E61FDEC8-2AB0-4525-8774-056EBE29ABD6}" name="Building Replacement Value" dataDxfId="23" dataCellStyle="Currency"/>
    <tableColumn id="19" xr3:uid="{68773492-0A5D-4E2B-A3BA-FA7C7A929475}" name="Contents Replacement Value" dataDxfId="22" dataCellStyle="Currency"/>
    <tableColumn id="20" xr3:uid="{A56844A3-3AF7-417C-8857-2F6ACFFFDD88}" name="BI/Rental Income (12 months)" dataDxfId="21" dataCellStyle="Currency"/>
    <tableColumn id="21" xr3:uid="{89AAB56B-10A3-45A4-9590-E6F63B7E39D0}" name="Other Structure Value" dataDxfId="20" dataCellStyle="Currency"/>
    <tableColumn id="22" xr3:uid="{62916175-80E3-4202-B239-4111844F0B4C}" name="Total Insured Value" dataDxfId="19" dataCellStyle="Currency"/>
    <tableColumn id="23" xr3:uid="{5F834F32-0859-447E-A9AB-14EA3742E008}" name="CPSF" dataDxfId="18" dataCellStyle="Currency"/>
    <tableColumn id="44" xr3:uid="{55075B4A-6E95-49A0-92B7-2554854F8FE9}" name="% Student" dataDxfId="17" dataCellStyle="Percent"/>
    <tableColumn id="46" xr3:uid="{490F6455-B215-4202-BBE6-EEBBADB00C92}" name="% Assisted Living" dataDxfId="16" dataCellStyle="Percent"/>
    <tableColumn id="52" xr3:uid="{01E42E74-AD11-477F-8B0B-6D6B607AE51C}" name="Roof covering last replaced (year)" dataDxfId="15" dataCellStyle="Percent"/>
    <tableColumn id="25" xr3:uid="{9E413D22-15C9-4552-B74A-5EB602A09E9F}" name="HVAC Update (year)" dataDxfId="14"/>
    <tableColumn id="26" xr3:uid="{1B791AEF-E1D7-4DC4-B44C-3B740F51FAE2}" name="Plumbing Update (year)" dataDxfId="13" dataCellStyle="Percent"/>
    <tableColumn id="27" xr3:uid="{FE1A3E56-CE91-49A4-AFEE-6D4EAE7FDCC4}" name="Electrical Update (year)" dataDxfId="12" dataCellStyle="Percent"/>
    <tableColumn id="24" xr3:uid="{BACBA909-2FE3-4B9A-8EB1-F5F1279557DD}" name="Federal Pacific or Zinsco  or Challenger Breaker?" dataDxfId="11" dataCellStyle="Normal 2 3"/>
    <tableColumn id="28" xr3:uid="{D183DF89-0090-4967-9BA7-271A811BB76C}" name="Type of Wiring" dataDxfId="10" dataCellStyle="Normal 2 3"/>
    <tableColumn id="29" xr3:uid="{5BB43D02-6863-48EC-8A10-192E931BA682}" name="Polybutylene or Galvanized Piping (Yes/No)" dataDxfId="9" dataCellStyle="Normal 2 3"/>
    <tableColumn id="40" xr3:uid="{69F29B4A-8A70-4CF2-8351-5F1EC2A3DF3C}" name="Exterior Cladding" dataDxfId="8" dataCellStyle="Normal 2 3"/>
    <tableColumn id="45" xr3:uid="{6CD4D65C-F8A4-41B0-947E-E62945BDFC80}" name="Roof Covering" dataDxfId="7" dataCellStyle="Normal 2 3"/>
    <tableColumn id="30" xr3:uid="{AD36C50B-462D-4499-A00A-4A5681F1700D}" name="% Hardwired Smoke Detector" dataDxfId="6" dataCellStyle="Percent"/>
    <tableColumn id="36" xr3:uid="{05BBCB70-5FB8-4488-9222-D46DADB3AF3D}" name="Central Monitored Fire Alarm" dataDxfId="5" dataCellStyle="Percent"/>
    <tableColumn id="33" xr3:uid="{74DCD007-6B46-4F48-A29D-BF35335641FB}" name="Sprinklered (Yes if &gt;=70%, otherwise No)" dataDxfId="4" dataCellStyle="Normal 13 2 2"/>
    <tableColumn id="37" xr3:uid="{FC20231C-F55D-4816-9B4B-44EB0491BF1E}" name="Fireplace (Electric, Gas, or Woodburning)" dataDxfId="3"/>
    <tableColumn id="38" xr3:uid="{5C573B2D-E8DA-4F92-A603-B201AD2BAE53}" name="Washer/Dryer (In-Unit or Communal)" dataDxfId="2"/>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E6521-2D97-49CA-AE73-9F7E4CABFBA7}">
  <dimension ref="A1:AS695"/>
  <sheetViews>
    <sheetView topLeftCell="A11" workbookViewId="0">
      <selection activeCell="M39" sqref="M39"/>
    </sheetView>
  </sheetViews>
  <sheetFormatPr defaultColWidth="9.140625" defaultRowHeight="15" x14ac:dyDescent="0.25"/>
  <cols>
    <col min="1" max="1" width="22.42578125" customWidth="1"/>
    <col min="2" max="2" width="42.85546875" customWidth="1"/>
    <col min="3" max="3" width="26.7109375" bestFit="1" customWidth="1"/>
    <col min="4" max="4" width="15.5703125" customWidth="1"/>
    <col min="5" max="6" width="9.85546875" customWidth="1"/>
    <col min="7" max="7" width="11" customWidth="1"/>
    <col min="8" max="9" width="16.5703125" style="28" customWidth="1"/>
    <col min="10" max="10" width="17.85546875" style="28" customWidth="1"/>
    <col min="11" max="12" width="19.28515625" style="28" customWidth="1"/>
    <col min="13" max="13" width="60.140625" style="28" customWidth="1"/>
    <col min="14" max="16" width="8.5703125" style="28" customWidth="1"/>
    <col min="17" max="17" width="19.140625" customWidth="1"/>
    <col min="18" max="18" width="8.5703125" customWidth="1"/>
    <col min="19" max="20" width="9.7109375" customWidth="1"/>
    <col min="21" max="21" width="12.42578125" customWidth="1"/>
    <col min="22" max="22" width="23.5703125" customWidth="1"/>
    <col min="23" max="23" width="12.140625" customWidth="1"/>
    <col min="24" max="24" width="13" customWidth="1"/>
    <col min="25" max="25" width="13.85546875" customWidth="1"/>
    <col min="26" max="26" width="22.140625" customWidth="1"/>
    <col min="27" max="28" width="12.140625" customWidth="1"/>
    <col min="29" max="29" width="24.140625" customWidth="1"/>
    <col min="30" max="30" width="13.42578125" customWidth="1"/>
    <col min="31" max="31" width="15" customWidth="1"/>
    <col min="32" max="33" width="20.28515625" style="30" customWidth="1"/>
    <col min="34" max="37" width="11.5703125" style="30" customWidth="1"/>
    <col min="38" max="38" width="11.5703125" customWidth="1"/>
    <col min="39" max="39" width="21.140625" customWidth="1"/>
    <col min="40" max="40" width="9.28515625" customWidth="1"/>
    <col min="41" max="43" width="18" customWidth="1"/>
    <col min="44" max="44" width="12.140625" customWidth="1"/>
  </cols>
  <sheetData>
    <row r="1" spans="1:45" s="6" customFormat="1" ht="11.25" customHeight="1" x14ac:dyDescent="0.2">
      <c r="A1" s="5" t="s">
        <v>12</v>
      </c>
      <c r="B1" s="188"/>
      <c r="C1" s="188"/>
      <c r="D1" s="188"/>
      <c r="E1" s="188"/>
      <c r="F1" s="188"/>
      <c r="G1" s="189" t="s">
        <v>13</v>
      </c>
      <c r="H1" s="189"/>
      <c r="I1" s="190"/>
      <c r="J1" s="190"/>
      <c r="AE1" s="7"/>
      <c r="AF1" s="7"/>
      <c r="AG1" s="7"/>
      <c r="AH1" s="7"/>
      <c r="AI1" s="7"/>
      <c r="AJ1" s="7"/>
    </row>
    <row r="2" spans="1:45" s="6" customFormat="1" ht="11.25" customHeight="1" x14ac:dyDescent="0.2">
      <c r="A2" s="5" t="s">
        <v>14</v>
      </c>
      <c r="B2" s="188"/>
      <c r="C2" s="188"/>
      <c r="D2" s="188"/>
      <c r="E2" s="188"/>
      <c r="F2" s="188"/>
      <c r="G2" s="189" t="s">
        <v>15</v>
      </c>
      <c r="H2" s="189"/>
      <c r="I2" s="190"/>
      <c r="J2" s="190"/>
      <c r="AE2" s="7"/>
      <c r="AF2" s="7"/>
      <c r="AG2" s="7"/>
      <c r="AH2" s="7"/>
      <c r="AI2" s="7"/>
      <c r="AJ2" s="7"/>
    </row>
    <row r="3" spans="1:45" s="6" customFormat="1" ht="11.25" customHeight="1" x14ac:dyDescent="0.2">
      <c r="A3" s="5" t="s">
        <v>16</v>
      </c>
      <c r="B3" s="188"/>
      <c r="C3" s="188"/>
      <c r="D3" s="188"/>
      <c r="E3" s="188"/>
      <c r="F3" s="188"/>
      <c r="G3" s="189" t="s">
        <v>17</v>
      </c>
      <c r="H3" s="189"/>
      <c r="I3" s="190"/>
      <c r="J3" s="190"/>
      <c r="AE3" s="7"/>
      <c r="AF3" s="7"/>
      <c r="AG3" s="7"/>
      <c r="AH3" s="7"/>
      <c r="AI3" s="7"/>
      <c r="AJ3" s="7"/>
    </row>
    <row r="4" spans="1:45" s="6" customFormat="1" ht="11.25" customHeight="1" x14ac:dyDescent="0.2">
      <c r="A4" s="5" t="s">
        <v>18</v>
      </c>
      <c r="B4" s="188"/>
      <c r="C4" s="188"/>
      <c r="D4" s="188"/>
      <c r="E4" s="188"/>
      <c r="F4" s="188"/>
      <c r="G4" s="189" t="s">
        <v>19</v>
      </c>
      <c r="H4" s="189"/>
      <c r="I4" s="191"/>
      <c r="J4" s="191"/>
      <c r="AE4" s="7"/>
      <c r="AF4" s="7"/>
      <c r="AG4" s="7"/>
      <c r="AH4" s="7"/>
      <c r="AI4" s="7"/>
      <c r="AJ4" s="7"/>
    </row>
    <row r="5" spans="1:45" s="6" customFormat="1" ht="11.25" customHeight="1" x14ac:dyDescent="0.2">
      <c r="A5" s="5" t="s">
        <v>20</v>
      </c>
      <c r="B5" s="192"/>
      <c r="C5" s="192"/>
      <c r="D5" s="192"/>
      <c r="E5" s="192"/>
      <c r="F5" s="192"/>
      <c r="G5" s="189" t="s">
        <v>21</v>
      </c>
      <c r="H5" s="189"/>
      <c r="I5" s="193"/>
      <c r="J5" s="193"/>
      <c r="AE5" s="7"/>
      <c r="AF5" s="7"/>
      <c r="AG5" s="7"/>
      <c r="AH5" s="7"/>
      <c r="AI5" s="7"/>
      <c r="AJ5" s="7"/>
    </row>
    <row r="6" spans="1:45" s="6" customFormat="1" ht="11.25" customHeight="1" x14ac:dyDescent="0.2">
      <c r="A6" s="5" t="s">
        <v>22</v>
      </c>
      <c r="B6" s="188"/>
      <c r="C6" s="188"/>
      <c r="D6" s="188"/>
      <c r="E6" s="188"/>
      <c r="F6" s="188"/>
      <c r="G6" s="194" t="s">
        <v>23</v>
      </c>
      <c r="H6" s="194"/>
      <c r="I6" s="193"/>
      <c r="J6" s="193"/>
      <c r="AE6" s="7"/>
      <c r="AF6" s="7"/>
      <c r="AG6" s="7"/>
      <c r="AH6" s="7"/>
      <c r="AI6" s="7"/>
      <c r="AJ6" s="7"/>
    </row>
    <row r="7" spans="1:45" s="6" customFormat="1" ht="11.25" customHeight="1" x14ac:dyDescent="0.2">
      <c r="A7" s="196" t="s">
        <v>24</v>
      </c>
      <c r="B7" s="196"/>
      <c r="C7" s="196"/>
      <c r="D7" s="196"/>
      <c r="E7" s="196"/>
      <c r="F7" s="196"/>
      <c r="G7" s="196"/>
      <c r="H7" s="8"/>
      <c r="I7" s="9"/>
      <c r="J7" s="10"/>
      <c r="P7" s="11"/>
      <c r="AF7" s="7"/>
      <c r="AG7" s="7"/>
      <c r="AH7" s="7"/>
      <c r="AI7" s="7"/>
      <c r="AJ7" s="7"/>
      <c r="AK7" s="7"/>
    </row>
    <row r="8" spans="1:45" s="14" customFormat="1" ht="11.25" customHeight="1" x14ac:dyDescent="0.2">
      <c r="A8" s="197" t="s">
        <v>25</v>
      </c>
      <c r="B8" s="197"/>
      <c r="C8" s="197"/>
      <c r="D8" s="197"/>
      <c r="E8" s="197"/>
      <c r="F8" s="197"/>
      <c r="G8" s="197"/>
      <c r="H8" s="197"/>
      <c r="I8" s="197"/>
      <c r="J8" s="197"/>
      <c r="K8" s="197"/>
      <c r="L8" s="197"/>
      <c r="M8" s="12"/>
      <c r="N8" s="13"/>
      <c r="O8" s="13"/>
      <c r="P8" s="11"/>
      <c r="Q8" s="6"/>
      <c r="R8" s="6"/>
      <c r="S8" s="6"/>
      <c r="T8" s="6"/>
      <c r="U8" s="6"/>
      <c r="V8" s="6"/>
      <c r="W8" s="6"/>
      <c r="X8" s="6"/>
      <c r="Y8" s="6"/>
      <c r="Z8" s="6"/>
      <c r="AA8" s="6"/>
      <c r="AB8" s="6"/>
      <c r="AC8" s="6"/>
      <c r="AD8" s="6"/>
      <c r="AE8" s="6"/>
      <c r="AF8" s="7"/>
      <c r="AG8" s="7"/>
      <c r="AH8" s="7"/>
      <c r="AI8" s="7"/>
      <c r="AJ8" s="7"/>
      <c r="AK8" s="7"/>
      <c r="AL8" s="6"/>
      <c r="AM8" s="6"/>
      <c r="AN8" s="6"/>
      <c r="AO8" s="6"/>
      <c r="AP8" s="6"/>
      <c r="AQ8" s="6"/>
      <c r="AR8" s="6"/>
    </row>
    <row r="9" spans="1:45" s="6" customFormat="1" ht="6.75" hidden="1" customHeight="1" x14ac:dyDescent="0.2">
      <c r="A9" s="15"/>
      <c r="B9" s="15"/>
      <c r="C9" s="15"/>
      <c r="D9" s="15"/>
      <c r="E9" s="15"/>
      <c r="F9" s="15"/>
      <c r="G9" s="15"/>
      <c r="H9" s="15"/>
      <c r="I9" s="15"/>
      <c r="J9" s="15"/>
      <c r="K9" s="15"/>
      <c r="L9" s="15"/>
      <c r="M9" s="15"/>
      <c r="N9" s="15"/>
      <c r="O9" s="15"/>
      <c r="P9" s="11"/>
      <c r="AF9" s="7"/>
      <c r="AG9" s="7"/>
      <c r="AH9" s="7"/>
      <c r="AI9" s="7"/>
      <c r="AJ9" s="7"/>
      <c r="AK9" s="7"/>
    </row>
    <row r="10" spans="1:45" s="6" customFormat="1" ht="38.1" customHeight="1" x14ac:dyDescent="0.2">
      <c r="A10" s="198" t="s">
        <v>26</v>
      </c>
      <c r="B10" s="198"/>
      <c r="C10" s="198"/>
      <c r="D10" s="198"/>
      <c r="E10" s="198"/>
      <c r="F10" s="198"/>
      <c r="G10" s="198"/>
      <c r="H10" s="198"/>
      <c r="I10" s="198"/>
      <c r="J10" s="198"/>
      <c r="K10" s="198"/>
      <c r="L10" s="198"/>
      <c r="M10" s="15"/>
      <c r="N10" s="15"/>
      <c r="O10" s="15"/>
      <c r="P10" s="11"/>
      <c r="AF10" s="7"/>
      <c r="AG10" s="7"/>
      <c r="AH10" s="7"/>
      <c r="AI10" s="7"/>
      <c r="AJ10" s="7"/>
      <c r="AK10" s="7"/>
    </row>
    <row r="11" spans="1:45" s="6" customFormat="1" ht="12.75" customHeight="1" x14ac:dyDescent="0.2">
      <c r="A11" s="199" t="s">
        <v>27</v>
      </c>
      <c r="B11" s="199"/>
      <c r="C11" s="199"/>
      <c r="D11" s="199"/>
      <c r="E11" s="199"/>
      <c r="F11" s="199"/>
      <c r="G11" s="199"/>
      <c r="H11" s="199"/>
      <c r="I11" s="199"/>
      <c r="J11" s="199"/>
      <c r="K11" s="199"/>
      <c r="L11" s="199"/>
      <c r="M11" s="15"/>
      <c r="N11" s="15"/>
      <c r="O11" s="15"/>
      <c r="P11" s="11"/>
      <c r="AF11" s="7"/>
      <c r="AG11" s="7"/>
      <c r="AH11" s="7"/>
      <c r="AI11" s="7"/>
      <c r="AJ11" s="7"/>
      <c r="AK11" s="7"/>
    </row>
    <row r="12" spans="1:45" s="18" customFormat="1" ht="13.5" customHeight="1" x14ac:dyDescent="0.25">
      <c r="A12" s="200"/>
      <c r="B12" s="200"/>
      <c r="C12" s="200"/>
      <c r="D12" s="16"/>
      <c r="E12" s="16"/>
      <c r="F12" s="200"/>
      <c r="G12" s="200"/>
      <c r="H12" s="200"/>
      <c r="I12" s="16"/>
      <c r="J12" s="16"/>
      <c r="K12" s="16"/>
      <c r="L12" s="16"/>
      <c r="M12" s="16"/>
      <c r="N12" s="16"/>
      <c r="O12" s="16"/>
      <c r="P12" s="17"/>
      <c r="AF12" s="19"/>
      <c r="AG12" s="19"/>
      <c r="AH12" s="19"/>
      <c r="AI12" s="19"/>
      <c r="AJ12" s="19"/>
      <c r="AK12" s="19"/>
    </row>
    <row r="13" spans="1:45" s="18" customFormat="1" x14ac:dyDescent="0.25">
      <c r="A13" s="195" t="s">
        <v>28</v>
      </c>
      <c r="B13" s="195"/>
      <c r="C13" s="195"/>
      <c r="D13" s="16"/>
      <c r="E13" s="16"/>
      <c r="F13" s="195" t="s">
        <v>29</v>
      </c>
      <c r="G13" s="195"/>
      <c r="H13" s="195"/>
      <c r="I13" s="16"/>
      <c r="J13" s="16"/>
      <c r="K13" s="16"/>
      <c r="L13" s="16"/>
      <c r="M13" s="16"/>
      <c r="N13" s="16"/>
      <c r="O13" s="16"/>
      <c r="P13" s="17"/>
      <c r="AF13" s="19"/>
      <c r="AG13" s="19"/>
      <c r="AH13" s="19"/>
      <c r="AI13" s="19"/>
      <c r="AJ13" s="19"/>
      <c r="AK13" s="19"/>
    </row>
    <row r="14" spans="1:45" s="22" customFormat="1" ht="5.25" customHeight="1" x14ac:dyDescent="0.25">
      <c r="A14" s="20"/>
      <c r="B14" s="20"/>
      <c r="C14" s="20"/>
      <c r="D14" s="20"/>
      <c r="E14" s="20"/>
      <c r="F14" s="20"/>
      <c r="G14" s="20"/>
      <c r="H14" s="20"/>
      <c r="I14" s="20"/>
      <c r="J14" s="20"/>
      <c r="K14" s="20"/>
      <c r="L14" s="20"/>
      <c r="M14" s="20"/>
      <c r="N14" s="20"/>
      <c r="O14" s="20"/>
      <c r="P14" s="21"/>
      <c r="AF14" s="23"/>
      <c r="AG14" s="23"/>
      <c r="AH14" s="23"/>
      <c r="AI14" s="23"/>
      <c r="AJ14" s="23"/>
      <c r="AK14" s="23"/>
    </row>
    <row r="15" spans="1:45" s="28" customFormat="1" x14ac:dyDescent="0.25">
      <c r="A15" s="24"/>
      <c r="B15" s="24"/>
      <c r="C15" s="24"/>
      <c r="D15" s="24"/>
      <c r="E15" s="25"/>
      <c r="F15" s="25"/>
      <c r="G15" s="26" t="s">
        <v>30</v>
      </c>
      <c r="H15" s="184">
        <f>SUM(H17:H28)</f>
        <v>20044000</v>
      </c>
      <c r="I15" s="27">
        <f t="shared" ref="I15:P15" si="0">SUM(I17:I117)</f>
        <v>0</v>
      </c>
      <c r="J15" s="185">
        <f t="shared" si="0"/>
        <v>126141.45</v>
      </c>
      <c r="K15" s="27">
        <f t="shared" si="0"/>
        <v>0</v>
      </c>
      <c r="L15" s="184">
        <f>SUM(L30:L38)</f>
        <v>270000</v>
      </c>
      <c r="M15" s="27"/>
      <c r="N15" s="27">
        <f t="shared" si="0"/>
        <v>12</v>
      </c>
      <c r="O15" s="27">
        <f t="shared" si="0"/>
        <v>29</v>
      </c>
      <c r="P15" s="27">
        <f t="shared" si="0"/>
        <v>24</v>
      </c>
      <c r="Q15" s="26"/>
      <c r="R15" s="26" t="s">
        <v>30</v>
      </c>
      <c r="S15" s="27">
        <f>SUM(S17:S117)</f>
        <v>92681</v>
      </c>
      <c r="T15" s="26"/>
      <c r="U15" s="26"/>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row>
    <row r="16" spans="1:45" s="30" customFormat="1" ht="75" x14ac:dyDescent="0.25">
      <c r="A16" s="29" t="s">
        <v>31</v>
      </c>
      <c r="B16" s="29" t="s">
        <v>32</v>
      </c>
      <c r="C16" s="29" t="s">
        <v>33</v>
      </c>
      <c r="D16" s="29" t="s">
        <v>34</v>
      </c>
      <c r="E16" s="29" t="s">
        <v>35</v>
      </c>
      <c r="F16" s="29" t="s">
        <v>36</v>
      </c>
      <c r="G16" s="29" t="s">
        <v>37</v>
      </c>
      <c r="H16" s="29" t="s">
        <v>38</v>
      </c>
      <c r="I16" s="29" t="s">
        <v>39</v>
      </c>
      <c r="J16" s="29" t="s">
        <v>40</v>
      </c>
      <c r="K16" s="29" t="s">
        <v>41</v>
      </c>
      <c r="L16" s="29" t="s">
        <v>42</v>
      </c>
      <c r="M16" s="29" t="s">
        <v>43</v>
      </c>
      <c r="N16" s="29" t="s">
        <v>44</v>
      </c>
      <c r="O16" s="29" t="s">
        <v>45</v>
      </c>
      <c r="P16" s="29" t="s">
        <v>46</v>
      </c>
      <c r="Q16" s="29" t="s">
        <v>47</v>
      </c>
      <c r="R16" s="29" t="s">
        <v>48</v>
      </c>
      <c r="S16" s="29" t="s">
        <v>49</v>
      </c>
      <c r="T16" s="29" t="s">
        <v>50</v>
      </c>
      <c r="U16" s="29" t="s">
        <v>51</v>
      </c>
      <c r="V16" s="29" t="s">
        <v>4</v>
      </c>
      <c r="W16" s="29" t="s">
        <v>52</v>
      </c>
      <c r="X16" s="29" t="s">
        <v>53</v>
      </c>
      <c r="Y16" s="29" t="s">
        <v>54</v>
      </c>
      <c r="Z16" s="29" t="s">
        <v>55</v>
      </c>
      <c r="AA16" s="29" t="s">
        <v>56</v>
      </c>
      <c r="AB16" s="29" t="s">
        <v>57</v>
      </c>
      <c r="AC16" s="29" t="s">
        <v>58</v>
      </c>
      <c r="AD16" s="29" t="s">
        <v>59</v>
      </c>
      <c r="AE16" s="29" t="s">
        <v>60</v>
      </c>
      <c r="AF16" s="29" t="s">
        <v>61</v>
      </c>
      <c r="AG16" s="29" t="s">
        <v>62</v>
      </c>
      <c r="AH16" s="29" t="s">
        <v>63</v>
      </c>
      <c r="AI16" s="29" t="s">
        <v>64</v>
      </c>
      <c r="AJ16" s="29" t="s">
        <v>65</v>
      </c>
      <c r="AK16" s="29" t="s">
        <v>66</v>
      </c>
      <c r="AL16" s="29" t="s">
        <v>67</v>
      </c>
      <c r="AM16" s="29" t="s">
        <v>68</v>
      </c>
      <c r="AN16" s="29" t="s">
        <v>69</v>
      </c>
      <c r="AO16" s="29" t="s">
        <v>70</v>
      </c>
      <c r="AP16" s="29" t="s">
        <v>71</v>
      </c>
      <c r="AQ16" s="29" t="s">
        <v>72</v>
      </c>
      <c r="AR16" s="29" t="s">
        <v>73</v>
      </c>
      <c r="AS16" s="29" t="s">
        <v>74</v>
      </c>
    </row>
    <row r="17" spans="1:45" s="43" customFormat="1" x14ac:dyDescent="0.25">
      <c r="A17" s="31"/>
      <c r="B17" s="32"/>
      <c r="C17" s="32" t="s">
        <v>132</v>
      </c>
      <c r="D17" s="32" t="s">
        <v>146</v>
      </c>
      <c r="E17" s="31" t="s">
        <v>147</v>
      </c>
      <c r="F17" s="31">
        <v>89005</v>
      </c>
      <c r="G17" s="34"/>
      <c r="H17" s="163">
        <v>1925000</v>
      </c>
      <c r="I17" s="35"/>
      <c r="J17" s="35">
        <v>126141.45</v>
      </c>
      <c r="K17" s="36"/>
      <c r="L17" s="37"/>
      <c r="M17" s="38"/>
      <c r="N17" s="36">
        <v>1</v>
      </c>
      <c r="O17" s="170">
        <v>3</v>
      </c>
      <c r="P17" s="123">
        <v>2</v>
      </c>
      <c r="Q17" s="39" t="s">
        <v>148</v>
      </c>
      <c r="R17" s="123">
        <v>2004</v>
      </c>
      <c r="S17" s="127">
        <v>9277</v>
      </c>
      <c r="T17" s="180">
        <v>207.42</v>
      </c>
      <c r="U17" s="31"/>
      <c r="V17" s="41" t="s">
        <v>149</v>
      </c>
      <c r="W17" s="31">
        <v>2004</v>
      </c>
      <c r="X17" s="41" t="s">
        <v>167</v>
      </c>
      <c r="Y17" s="31" t="s">
        <v>150</v>
      </c>
      <c r="Z17" s="41" t="s">
        <v>151</v>
      </c>
      <c r="AA17" s="42">
        <v>0.99</v>
      </c>
      <c r="AB17" s="40"/>
      <c r="AC17" s="41" t="s">
        <v>152</v>
      </c>
      <c r="AD17" s="41" t="s">
        <v>150</v>
      </c>
      <c r="AE17" s="31" t="s">
        <v>153</v>
      </c>
      <c r="AF17" s="31" t="s">
        <v>154</v>
      </c>
      <c r="AG17" s="31" t="s">
        <v>150</v>
      </c>
      <c r="AH17" s="42">
        <v>0</v>
      </c>
      <c r="AI17" s="42">
        <v>0</v>
      </c>
      <c r="AJ17" s="42">
        <v>0</v>
      </c>
      <c r="AK17" s="42">
        <v>1</v>
      </c>
      <c r="AL17" s="42">
        <v>1</v>
      </c>
      <c r="AM17" s="31" t="s">
        <v>150</v>
      </c>
      <c r="AN17" s="31" t="s">
        <v>150</v>
      </c>
      <c r="AO17" s="31" t="s">
        <v>153</v>
      </c>
      <c r="AP17" s="31" t="s">
        <v>150</v>
      </c>
      <c r="AQ17" s="31">
        <v>10</v>
      </c>
      <c r="AR17" s="31">
        <v>3</v>
      </c>
      <c r="AS17" s="31" t="s">
        <v>150</v>
      </c>
    </row>
    <row r="18" spans="1:45" x14ac:dyDescent="0.25">
      <c r="A18" s="31"/>
      <c r="B18" s="31"/>
      <c r="C18" s="31" t="s">
        <v>133</v>
      </c>
      <c r="D18" s="32" t="s">
        <v>146</v>
      </c>
      <c r="E18" s="31" t="s">
        <v>147</v>
      </c>
      <c r="F18" s="31">
        <v>89005</v>
      </c>
      <c r="G18" s="34"/>
      <c r="H18" s="163">
        <v>1499000</v>
      </c>
      <c r="I18" s="44"/>
      <c r="J18" s="44"/>
      <c r="K18" s="44"/>
      <c r="L18" s="44"/>
      <c r="M18" s="45"/>
      <c r="N18" s="36">
        <v>1</v>
      </c>
      <c r="O18" s="127">
        <v>2</v>
      </c>
      <c r="P18" s="123">
        <v>2</v>
      </c>
      <c r="Q18" s="39" t="s">
        <v>148</v>
      </c>
      <c r="R18" s="123">
        <v>2004</v>
      </c>
      <c r="S18" s="127">
        <v>6692</v>
      </c>
      <c r="T18" s="180">
        <v>223.98</v>
      </c>
      <c r="U18" s="31"/>
      <c r="V18" s="41" t="s">
        <v>149</v>
      </c>
      <c r="W18" s="31">
        <v>2004</v>
      </c>
      <c r="X18" s="41" t="s">
        <v>167</v>
      </c>
      <c r="Y18" s="31" t="s">
        <v>150</v>
      </c>
      <c r="Z18" s="41" t="s">
        <v>151</v>
      </c>
      <c r="AA18" s="42">
        <v>0.99</v>
      </c>
      <c r="AB18" s="40"/>
      <c r="AC18" s="41" t="s">
        <v>152</v>
      </c>
      <c r="AD18" s="41" t="s">
        <v>150</v>
      </c>
      <c r="AE18" s="31" t="s">
        <v>153</v>
      </c>
      <c r="AF18" s="31" t="s">
        <v>154</v>
      </c>
      <c r="AG18" s="31" t="s">
        <v>150</v>
      </c>
      <c r="AH18" s="42">
        <v>0</v>
      </c>
      <c r="AI18" s="42">
        <v>0</v>
      </c>
      <c r="AJ18" s="42">
        <v>0</v>
      </c>
      <c r="AK18" s="42">
        <v>1</v>
      </c>
      <c r="AL18" s="42">
        <v>1</v>
      </c>
      <c r="AM18" s="31" t="s">
        <v>150</v>
      </c>
      <c r="AN18" s="31" t="s">
        <v>150</v>
      </c>
      <c r="AO18" s="31" t="s">
        <v>153</v>
      </c>
      <c r="AP18" s="31" t="s">
        <v>150</v>
      </c>
      <c r="AQ18" s="31">
        <v>10</v>
      </c>
      <c r="AR18" s="31">
        <v>3</v>
      </c>
      <c r="AS18" s="31" t="s">
        <v>150</v>
      </c>
    </row>
    <row r="19" spans="1:45" x14ac:dyDescent="0.25">
      <c r="A19" s="31"/>
      <c r="B19" s="31"/>
      <c r="C19" s="31" t="s">
        <v>134</v>
      </c>
      <c r="D19" s="32" t="s">
        <v>146</v>
      </c>
      <c r="E19" s="31" t="s">
        <v>147</v>
      </c>
      <c r="F19" s="31">
        <v>89005</v>
      </c>
      <c r="G19" s="34"/>
      <c r="H19" s="163">
        <v>1424000</v>
      </c>
      <c r="I19" s="44"/>
      <c r="J19" s="44"/>
      <c r="K19" s="44"/>
      <c r="L19" s="44"/>
      <c r="M19" s="45"/>
      <c r="N19" s="36">
        <v>1</v>
      </c>
      <c r="O19" s="127">
        <v>2</v>
      </c>
      <c r="P19" s="123">
        <v>2</v>
      </c>
      <c r="Q19" s="39" t="s">
        <v>148</v>
      </c>
      <c r="R19" s="123">
        <v>2002</v>
      </c>
      <c r="S19" s="127">
        <v>6164</v>
      </c>
      <c r="T19" s="180">
        <v>230.99</v>
      </c>
      <c r="U19" s="31"/>
      <c r="V19" s="41" t="s">
        <v>149</v>
      </c>
      <c r="W19" s="31">
        <v>2002</v>
      </c>
      <c r="X19" s="41" t="s">
        <v>167</v>
      </c>
      <c r="Y19" s="31" t="s">
        <v>150</v>
      </c>
      <c r="Z19" s="41" t="s">
        <v>151</v>
      </c>
      <c r="AA19" s="42">
        <v>0.99</v>
      </c>
      <c r="AB19" s="40"/>
      <c r="AC19" s="41" t="s">
        <v>152</v>
      </c>
      <c r="AD19" s="41" t="s">
        <v>150</v>
      </c>
      <c r="AE19" s="31" t="s">
        <v>153</v>
      </c>
      <c r="AF19" s="31" t="s">
        <v>154</v>
      </c>
      <c r="AG19" s="31" t="s">
        <v>150</v>
      </c>
      <c r="AH19" s="42">
        <v>0</v>
      </c>
      <c r="AI19" s="42">
        <v>0</v>
      </c>
      <c r="AJ19" s="42">
        <v>0</v>
      </c>
      <c r="AK19" s="42">
        <v>1</v>
      </c>
      <c r="AL19" s="42">
        <v>1</v>
      </c>
      <c r="AM19" s="31" t="s">
        <v>150</v>
      </c>
      <c r="AN19" s="31" t="s">
        <v>150</v>
      </c>
      <c r="AO19" s="31" t="s">
        <v>153</v>
      </c>
      <c r="AP19" s="31" t="s">
        <v>150</v>
      </c>
      <c r="AQ19" s="31">
        <v>10</v>
      </c>
      <c r="AR19" s="31">
        <v>3</v>
      </c>
      <c r="AS19" s="31" t="s">
        <v>150</v>
      </c>
    </row>
    <row r="20" spans="1:45" x14ac:dyDescent="0.25">
      <c r="A20" s="31"/>
      <c r="B20" s="31"/>
      <c r="C20" s="31" t="s">
        <v>135</v>
      </c>
      <c r="D20" s="32" t="s">
        <v>146</v>
      </c>
      <c r="E20" s="31" t="s">
        <v>147</v>
      </c>
      <c r="F20" s="31">
        <v>89005</v>
      </c>
      <c r="G20" s="34"/>
      <c r="H20" s="163">
        <v>1919000</v>
      </c>
      <c r="I20" s="44"/>
      <c r="J20" s="46"/>
      <c r="K20" s="44"/>
      <c r="L20" s="44"/>
      <c r="M20" s="45"/>
      <c r="N20" s="36">
        <v>1</v>
      </c>
      <c r="O20" s="127">
        <v>3</v>
      </c>
      <c r="P20" s="123">
        <v>2</v>
      </c>
      <c r="Q20" s="39" t="s">
        <v>148</v>
      </c>
      <c r="R20" s="123">
        <v>2002</v>
      </c>
      <c r="S20" s="127">
        <v>9218</v>
      </c>
      <c r="T20" s="180">
        <v>208.11</v>
      </c>
      <c r="U20" s="31"/>
      <c r="V20" s="41" t="s">
        <v>149</v>
      </c>
      <c r="W20" s="31">
        <v>2002</v>
      </c>
      <c r="X20" s="41" t="s">
        <v>167</v>
      </c>
      <c r="Y20" s="31" t="s">
        <v>150</v>
      </c>
      <c r="Z20" s="41" t="s">
        <v>151</v>
      </c>
      <c r="AA20" s="42">
        <v>0.99</v>
      </c>
      <c r="AB20" s="40"/>
      <c r="AC20" s="41" t="s">
        <v>152</v>
      </c>
      <c r="AD20" s="41" t="s">
        <v>150</v>
      </c>
      <c r="AE20" s="31" t="s">
        <v>153</v>
      </c>
      <c r="AF20" s="31" t="s">
        <v>154</v>
      </c>
      <c r="AG20" s="31" t="s">
        <v>150</v>
      </c>
      <c r="AH20" s="42">
        <v>0</v>
      </c>
      <c r="AI20" s="42">
        <v>0</v>
      </c>
      <c r="AJ20" s="42">
        <v>0</v>
      </c>
      <c r="AK20" s="42">
        <v>1</v>
      </c>
      <c r="AL20" s="42">
        <v>1</v>
      </c>
      <c r="AM20" s="31" t="s">
        <v>150</v>
      </c>
      <c r="AN20" s="31" t="s">
        <v>150</v>
      </c>
      <c r="AO20" s="31" t="s">
        <v>153</v>
      </c>
      <c r="AP20" s="31" t="s">
        <v>150</v>
      </c>
      <c r="AQ20" s="31">
        <v>10</v>
      </c>
      <c r="AR20" s="31">
        <v>3</v>
      </c>
      <c r="AS20" s="31" t="s">
        <v>150</v>
      </c>
    </row>
    <row r="21" spans="1:45" x14ac:dyDescent="0.25">
      <c r="A21" s="31"/>
      <c r="B21" s="31"/>
      <c r="C21" s="31" t="s">
        <v>136</v>
      </c>
      <c r="D21" s="32" t="s">
        <v>146</v>
      </c>
      <c r="E21" s="31" t="s">
        <v>147</v>
      </c>
      <c r="F21" s="31">
        <v>89005</v>
      </c>
      <c r="G21" s="34"/>
      <c r="H21" s="163">
        <v>1444000</v>
      </c>
      <c r="I21" s="44"/>
      <c r="J21" s="46"/>
      <c r="K21" s="44"/>
      <c r="L21" s="44"/>
      <c r="M21" s="45"/>
      <c r="N21" s="36">
        <v>1</v>
      </c>
      <c r="O21" s="127">
        <v>2</v>
      </c>
      <c r="P21" s="123">
        <v>2</v>
      </c>
      <c r="Q21" s="39" t="s">
        <v>148</v>
      </c>
      <c r="R21" s="123">
        <v>1995</v>
      </c>
      <c r="S21" s="127">
        <v>6302</v>
      </c>
      <c r="T21" s="180">
        <v>229.06</v>
      </c>
      <c r="U21" s="31"/>
      <c r="V21" s="41" t="s">
        <v>149</v>
      </c>
      <c r="W21" s="31">
        <v>1995</v>
      </c>
      <c r="X21" s="41" t="s">
        <v>167</v>
      </c>
      <c r="Y21" s="31" t="s">
        <v>150</v>
      </c>
      <c r="Z21" s="41" t="s">
        <v>151</v>
      </c>
      <c r="AA21" s="42">
        <v>0.99</v>
      </c>
      <c r="AB21" s="40"/>
      <c r="AC21" s="41" t="s">
        <v>152</v>
      </c>
      <c r="AD21" s="41" t="s">
        <v>150</v>
      </c>
      <c r="AE21" s="31" t="s">
        <v>153</v>
      </c>
      <c r="AF21" s="31" t="s">
        <v>154</v>
      </c>
      <c r="AG21" s="31" t="s">
        <v>150</v>
      </c>
      <c r="AH21" s="42">
        <v>0</v>
      </c>
      <c r="AI21" s="42">
        <v>0</v>
      </c>
      <c r="AJ21" s="42">
        <v>0</v>
      </c>
      <c r="AK21" s="42">
        <v>1</v>
      </c>
      <c r="AL21" s="42">
        <v>1</v>
      </c>
      <c r="AM21" s="31" t="s">
        <v>150</v>
      </c>
      <c r="AN21" s="31" t="s">
        <v>150</v>
      </c>
      <c r="AO21" s="31" t="s">
        <v>153</v>
      </c>
      <c r="AP21" s="31" t="s">
        <v>150</v>
      </c>
      <c r="AQ21" s="31">
        <v>10</v>
      </c>
      <c r="AR21" s="31">
        <v>3</v>
      </c>
      <c r="AS21" s="31" t="s">
        <v>150</v>
      </c>
    </row>
    <row r="22" spans="1:45" x14ac:dyDescent="0.25">
      <c r="A22" s="31"/>
      <c r="B22" s="31"/>
      <c r="C22" s="31" t="s">
        <v>137</v>
      </c>
      <c r="D22" s="32" t="s">
        <v>146</v>
      </c>
      <c r="E22" s="31" t="s">
        <v>147</v>
      </c>
      <c r="F22" s="31">
        <v>89005</v>
      </c>
      <c r="G22" s="34"/>
      <c r="H22" s="163">
        <v>1947000</v>
      </c>
      <c r="I22" s="44"/>
      <c r="J22" s="46"/>
      <c r="K22" s="44"/>
      <c r="L22" s="44"/>
      <c r="M22" s="45"/>
      <c r="N22" s="36">
        <v>1</v>
      </c>
      <c r="O22" s="127">
        <v>3</v>
      </c>
      <c r="P22" s="123">
        <v>2</v>
      </c>
      <c r="Q22" s="39" t="s">
        <v>148</v>
      </c>
      <c r="R22" s="123">
        <v>1995</v>
      </c>
      <c r="S22" s="127">
        <v>9453</v>
      </c>
      <c r="T22" s="180">
        <v>205.94</v>
      </c>
      <c r="U22" s="31"/>
      <c r="V22" s="41" t="s">
        <v>149</v>
      </c>
      <c r="W22" s="31">
        <v>1995</v>
      </c>
      <c r="X22" s="41" t="s">
        <v>167</v>
      </c>
      <c r="Y22" s="31" t="s">
        <v>150</v>
      </c>
      <c r="Z22" s="41" t="s">
        <v>151</v>
      </c>
      <c r="AA22" s="42">
        <v>0.99</v>
      </c>
      <c r="AB22" s="40"/>
      <c r="AC22" s="41" t="s">
        <v>152</v>
      </c>
      <c r="AD22" s="41" t="s">
        <v>150</v>
      </c>
      <c r="AE22" s="31" t="s">
        <v>153</v>
      </c>
      <c r="AF22" s="31" t="s">
        <v>154</v>
      </c>
      <c r="AG22" s="31" t="s">
        <v>150</v>
      </c>
      <c r="AH22" s="42">
        <v>0</v>
      </c>
      <c r="AI22" s="42">
        <v>0</v>
      </c>
      <c r="AJ22" s="42">
        <v>0</v>
      </c>
      <c r="AK22" s="42">
        <v>1</v>
      </c>
      <c r="AL22" s="42">
        <v>1</v>
      </c>
      <c r="AM22" s="31" t="s">
        <v>150</v>
      </c>
      <c r="AN22" s="31" t="s">
        <v>150</v>
      </c>
      <c r="AO22" s="31" t="s">
        <v>153</v>
      </c>
      <c r="AP22" s="31" t="s">
        <v>150</v>
      </c>
      <c r="AQ22" s="31">
        <v>10</v>
      </c>
      <c r="AR22" s="31">
        <v>3</v>
      </c>
      <c r="AS22" s="31" t="s">
        <v>150</v>
      </c>
    </row>
    <row r="23" spans="1:45" x14ac:dyDescent="0.25">
      <c r="A23" s="31"/>
      <c r="B23" s="31"/>
      <c r="C23" s="31" t="s">
        <v>138</v>
      </c>
      <c r="D23" s="32" t="s">
        <v>146</v>
      </c>
      <c r="E23" s="31" t="s">
        <v>147</v>
      </c>
      <c r="F23" s="31">
        <v>89005</v>
      </c>
      <c r="G23" s="34"/>
      <c r="H23" s="163">
        <v>1947000</v>
      </c>
      <c r="I23" s="44"/>
      <c r="J23" s="46"/>
      <c r="K23" s="44"/>
      <c r="L23" s="44"/>
      <c r="M23" s="45"/>
      <c r="N23" s="36">
        <v>1</v>
      </c>
      <c r="O23" s="127">
        <v>3</v>
      </c>
      <c r="P23" s="123">
        <v>2</v>
      </c>
      <c r="Q23" s="39" t="s">
        <v>148</v>
      </c>
      <c r="R23" s="123">
        <v>1993</v>
      </c>
      <c r="S23" s="127">
        <v>9453</v>
      </c>
      <c r="T23" s="180">
        <v>205.94</v>
      </c>
      <c r="U23" s="31"/>
      <c r="V23" s="41" t="s">
        <v>149</v>
      </c>
      <c r="W23" s="31">
        <v>1993</v>
      </c>
      <c r="X23" s="41" t="s">
        <v>167</v>
      </c>
      <c r="Y23" s="31" t="s">
        <v>150</v>
      </c>
      <c r="Z23" s="41" t="s">
        <v>151</v>
      </c>
      <c r="AA23" s="42">
        <v>0.99</v>
      </c>
      <c r="AB23" s="40"/>
      <c r="AC23" s="41" t="s">
        <v>152</v>
      </c>
      <c r="AD23" s="41" t="s">
        <v>150</v>
      </c>
      <c r="AE23" s="31" t="s">
        <v>153</v>
      </c>
      <c r="AF23" s="31" t="s">
        <v>154</v>
      </c>
      <c r="AG23" s="31" t="s">
        <v>150</v>
      </c>
      <c r="AH23" s="42">
        <v>0</v>
      </c>
      <c r="AI23" s="42">
        <v>0</v>
      </c>
      <c r="AJ23" s="42">
        <v>0</v>
      </c>
      <c r="AK23" s="42">
        <v>1</v>
      </c>
      <c r="AL23" s="42">
        <v>1</v>
      </c>
      <c r="AM23" s="31" t="s">
        <v>150</v>
      </c>
      <c r="AN23" s="31" t="s">
        <v>150</v>
      </c>
      <c r="AO23" s="31" t="s">
        <v>153</v>
      </c>
      <c r="AP23" s="31" t="s">
        <v>150</v>
      </c>
      <c r="AQ23" s="31">
        <v>10</v>
      </c>
      <c r="AR23" s="31">
        <v>3</v>
      </c>
      <c r="AS23" s="31" t="s">
        <v>150</v>
      </c>
    </row>
    <row r="24" spans="1:45" x14ac:dyDescent="0.25">
      <c r="A24" s="31"/>
      <c r="B24" s="31"/>
      <c r="C24" s="31" t="s">
        <v>139</v>
      </c>
      <c r="D24" s="32" t="s">
        <v>146</v>
      </c>
      <c r="E24" s="31" t="s">
        <v>147</v>
      </c>
      <c r="F24" s="31">
        <v>89005</v>
      </c>
      <c r="G24" s="34"/>
      <c r="H24" s="164">
        <v>1444000</v>
      </c>
      <c r="I24" s="44"/>
      <c r="J24" s="46"/>
      <c r="K24" s="44"/>
      <c r="L24" s="44"/>
      <c r="M24" s="45"/>
      <c r="N24" s="36">
        <v>1</v>
      </c>
      <c r="O24" s="127">
        <v>2</v>
      </c>
      <c r="P24" s="123">
        <v>2</v>
      </c>
      <c r="Q24" s="39" t="s">
        <v>148</v>
      </c>
      <c r="R24" s="123">
        <v>1994</v>
      </c>
      <c r="S24" s="127">
        <v>6302</v>
      </c>
      <c r="T24" s="180">
        <v>229.06</v>
      </c>
      <c r="U24" s="31"/>
      <c r="V24" s="41" t="s">
        <v>149</v>
      </c>
      <c r="W24" s="31">
        <v>1994</v>
      </c>
      <c r="X24" s="41" t="s">
        <v>167</v>
      </c>
      <c r="Y24" s="31" t="s">
        <v>150</v>
      </c>
      <c r="Z24" s="41" t="s">
        <v>151</v>
      </c>
      <c r="AA24" s="42">
        <v>0.99</v>
      </c>
      <c r="AB24" s="40"/>
      <c r="AC24" s="41" t="s">
        <v>152</v>
      </c>
      <c r="AD24" s="41" t="s">
        <v>150</v>
      </c>
      <c r="AE24" s="31" t="s">
        <v>153</v>
      </c>
      <c r="AF24" s="31" t="s">
        <v>154</v>
      </c>
      <c r="AG24" s="31" t="s">
        <v>150</v>
      </c>
      <c r="AH24" s="42">
        <v>0</v>
      </c>
      <c r="AI24" s="42">
        <v>0</v>
      </c>
      <c r="AJ24" s="42">
        <v>0</v>
      </c>
      <c r="AK24" s="42">
        <v>1</v>
      </c>
      <c r="AL24" s="42">
        <v>1</v>
      </c>
      <c r="AM24" s="31" t="s">
        <v>150</v>
      </c>
      <c r="AN24" s="31" t="s">
        <v>150</v>
      </c>
      <c r="AO24" s="31" t="s">
        <v>153</v>
      </c>
      <c r="AP24" s="31" t="s">
        <v>150</v>
      </c>
      <c r="AQ24" s="31">
        <v>10</v>
      </c>
      <c r="AR24" s="31">
        <v>3</v>
      </c>
      <c r="AS24" s="31" t="s">
        <v>150</v>
      </c>
    </row>
    <row r="25" spans="1:45" x14ac:dyDescent="0.25">
      <c r="A25" s="31"/>
      <c r="B25" s="31"/>
      <c r="C25" s="31" t="s">
        <v>140</v>
      </c>
      <c r="D25" s="32" t="s">
        <v>146</v>
      </c>
      <c r="E25" s="31" t="s">
        <v>147</v>
      </c>
      <c r="F25" s="31">
        <v>89005</v>
      </c>
      <c r="G25" s="34"/>
      <c r="H25" s="164">
        <v>2104000</v>
      </c>
      <c r="I25" s="44"/>
      <c r="J25" s="46"/>
      <c r="K25" s="44"/>
      <c r="L25" s="44"/>
      <c r="M25" s="45"/>
      <c r="N25" s="36">
        <v>1</v>
      </c>
      <c r="O25" s="127">
        <v>3</v>
      </c>
      <c r="P25" s="123">
        <v>2</v>
      </c>
      <c r="Q25" s="39" t="s">
        <v>148</v>
      </c>
      <c r="R25" s="123">
        <v>1994</v>
      </c>
      <c r="S25" s="127">
        <v>10495</v>
      </c>
      <c r="T25" s="180">
        <v>200.39</v>
      </c>
      <c r="U25" s="31"/>
      <c r="V25" s="41" t="s">
        <v>149</v>
      </c>
      <c r="W25" s="31">
        <v>1994</v>
      </c>
      <c r="X25" s="41" t="s">
        <v>167</v>
      </c>
      <c r="Y25" s="31" t="s">
        <v>150</v>
      </c>
      <c r="Z25" s="41" t="s">
        <v>151</v>
      </c>
      <c r="AA25" s="42">
        <v>0.99</v>
      </c>
      <c r="AB25" s="40"/>
      <c r="AC25" s="41" t="s">
        <v>152</v>
      </c>
      <c r="AD25" s="41" t="s">
        <v>150</v>
      </c>
      <c r="AE25" s="31" t="s">
        <v>153</v>
      </c>
      <c r="AF25" s="31" t="s">
        <v>154</v>
      </c>
      <c r="AG25" s="31" t="s">
        <v>150</v>
      </c>
      <c r="AH25" s="42">
        <v>0</v>
      </c>
      <c r="AI25" s="42">
        <v>0</v>
      </c>
      <c r="AJ25" s="42">
        <v>0</v>
      </c>
      <c r="AK25" s="42">
        <v>1</v>
      </c>
      <c r="AL25" s="42">
        <v>1</v>
      </c>
      <c r="AM25" s="31" t="s">
        <v>150</v>
      </c>
      <c r="AN25" s="31" t="s">
        <v>150</v>
      </c>
      <c r="AO25" s="31" t="s">
        <v>153</v>
      </c>
      <c r="AP25" s="31" t="s">
        <v>150</v>
      </c>
      <c r="AQ25" s="31">
        <v>10</v>
      </c>
      <c r="AR25" s="31">
        <v>3</v>
      </c>
      <c r="AS25" s="31" t="s">
        <v>150</v>
      </c>
    </row>
    <row r="26" spans="1:45" x14ac:dyDescent="0.25">
      <c r="A26" s="31"/>
      <c r="B26" s="31"/>
      <c r="C26" s="31" t="s">
        <v>141</v>
      </c>
      <c r="D26" s="32" t="s">
        <v>146</v>
      </c>
      <c r="E26" s="31" t="s">
        <v>147</v>
      </c>
      <c r="F26" s="31">
        <v>89005</v>
      </c>
      <c r="G26" s="34"/>
      <c r="H26" s="164">
        <v>1543000</v>
      </c>
      <c r="I26" s="44"/>
      <c r="J26" s="46"/>
      <c r="K26" s="44"/>
      <c r="L26" s="44"/>
      <c r="M26" s="45"/>
      <c r="N26" s="36">
        <v>1</v>
      </c>
      <c r="O26" s="127">
        <v>2</v>
      </c>
      <c r="P26" s="123">
        <v>2</v>
      </c>
      <c r="Q26" s="39" t="s">
        <v>148</v>
      </c>
      <c r="R26" s="123">
        <v>1993</v>
      </c>
      <c r="S26" s="127">
        <v>6997</v>
      </c>
      <c r="T26" s="180">
        <v>220.47</v>
      </c>
      <c r="U26" s="31"/>
      <c r="V26" s="41" t="s">
        <v>149</v>
      </c>
      <c r="W26" s="31">
        <v>1993</v>
      </c>
      <c r="X26" s="41" t="s">
        <v>167</v>
      </c>
      <c r="Y26" s="31" t="s">
        <v>150</v>
      </c>
      <c r="Z26" s="41" t="s">
        <v>151</v>
      </c>
      <c r="AA26" s="42">
        <v>0.99</v>
      </c>
      <c r="AB26" s="40"/>
      <c r="AC26" s="41" t="s">
        <v>152</v>
      </c>
      <c r="AD26" s="41" t="s">
        <v>150</v>
      </c>
      <c r="AE26" s="31" t="s">
        <v>153</v>
      </c>
      <c r="AF26" s="31" t="s">
        <v>154</v>
      </c>
      <c r="AG26" s="31" t="s">
        <v>150</v>
      </c>
      <c r="AH26" s="42">
        <v>0</v>
      </c>
      <c r="AI26" s="42">
        <v>0</v>
      </c>
      <c r="AJ26" s="42">
        <v>0</v>
      </c>
      <c r="AK26" s="42">
        <v>1</v>
      </c>
      <c r="AL26" s="42">
        <v>1</v>
      </c>
      <c r="AM26" s="31" t="s">
        <v>150</v>
      </c>
      <c r="AN26" s="31" t="s">
        <v>150</v>
      </c>
      <c r="AO26" s="31" t="s">
        <v>153</v>
      </c>
      <c r="AP26" s="31" t="s">
        <v>150</v>
      </c>
      <c r="AQ26" s="31">
        <v>10</v>
      </c>
      <c r="AR26" s="31">
        <v>3</v>
      </c>
      <c r="AS26" s="31" t="s">
        <v>150</v>
      </c>
    </row>
    <row r="27" spans="1:45" x14ac:dyDescent="0.25">
      <c r="A27" s="31"/>
      <c r="B27" s="31"/>
      <c r="C27" s="31" t="s">
        <v>142</v>
      </c>
      <c r="D27" s="32" t="s">
        <v>146</v>
      </c>
      <c r="E27" s="31" t="s">
        <v>147</v>
      </c>
      <c r="F27" s="31">
        <v>89005</v>
      </c>
      <c r="G27" s="34"/>
      <c r="H27" s="164">
        <v>1424000</v>
      </c>
      <c r="I27" s="44"/>
      <c r="J27" s="46"/>
      <c r="K27" s="44"/>
      <c r="L27" s="44"/>
      <c r="M27" s="45"/>
      <c r="N27" s="36">
        <v>1</v>
      </c>
      <c r="O27" s="127">
        <v>2</v>
      </c>
      <c r="P27" s="123">
        <v>2</v>
      </c>
      <c r="Q27" s="39" t="s">
        <v>148</v>
      </c>
      <c r="R27" s="123">
        <v>1997</v>
      </c>
      <c r="S27" s="127">
        <v>6164</v>
      </c>
      <c r="T27" s="180">
        <v>230.99</v>
      </c>
      <c r="U27" s="31"/>
      <c r="V27" s="41" t="s">
        <v>149</v>
      </c>
      <c r="W27" s="31">
        <v>1997</v>
      </c>
      <c r="X27" s="41" t="s">
        <v>167</v>
      </c>
      <c r="Y27" s="31" t="s">
        <v>150</v>
      </c>
      <c r="Z27" s="41" t="s">
        <v>151</v>
      </c>
      <c r="AA27" s="42">
        <v>0.99</v>
      </c>
      <c r="AB27" s="40"/>
      <c r="AC27" s="41" t="s">
        <v>152</v>
      </c>
      <c r="AD27" s="41" t="s">
        <v>150</v>
      </c>
      <c r="AE27" s="31" t="s">
        <v>153</v>
      </c>
      <c r="AF27" s="31" t="s">
        <v>154</v>
      </c>
      <c r="AG27" s="31" t="s">
        <v>150</v>
      </c>
      <c r="AH27" s="42">
        <v>0</v>
      </c>
      <c r="AI27" s="42">
        <v>0</v>
      </c>
      <c r="AJ27" s="42">
        <v>0</v>
      </c>
      <c r="AK27" s="42">
        <v>1</v>
      </c>
      <c r="AL27" s="42">
        <v>1</v>
      </c>
      <c r="AM27" s="31" t="s">
        <v>150</v>
      </c>
      <c r="AN27" s="31" t="s">
        <v>150</v>
      </c>
      <c r="AO27" s="31" t="s">
        <v>153</v>
      </c>
      <c r="AP27" s="31" t="s">
        <v>150</v>
      </c>
      <c r="AQ27" s="31">
        <v>10</v>
      </c>
      <c r="AR27" s="31">
        <v>3</v>
      </c>
      <c r="AS27" s="31" t="s">
        <v>150</v>
      </c>
    </row>
    <row r="28" spans="1:45" x14ac:dyDescent="0.25">
      <c r="A28" s="31"/>
      <c r="B28" s="31"/>
      <c r="C28" s="31" t="s">
        <v>143</v>
      </c>
      <c r="D28" s="32" t="s">
        <v>146</v>
      </c>
      <c r="E28" s="31" t="s">
        <v>147</v>
      </c>
      <c r="F28" s="31">
        <v>89005</v>
      </c>
      <c r="G28" s="34"/>
      <c r="H28" s="164">
        <v>1424000</v>
      </c>
      <c r="I28" s="44"/>
      <c r="J28" s="46"/>
      <c r="K28" s="44"/>
      <c r="L28" s="44"/>
      <c r="M28" s="45"/>
      <c r="N28" s="36">
        <v>1</v>
      </c>
      <c r="O28" s="127">
        <v>2</v>
      </c>
      <c r="P28" s="123">
        <v>2</v>
      </c>
      <c r="Q28" s="39" t="s">
        <v>148</v>
      </c>
      <c r="R28" s="123">
        <v>1997</v>
      </c>
      <c r="S28" s="127">
        <v>6164</v>
      </c>
      <c r="T28" s="180">
        <v>230.99</v>
      </c>
      <c r="U28" s="31"/>
      <c r="V28" s="41" t="s">
        <v>149</v>
      </c>
      <c r="W28" s="31">
        <v>1997</v>
      </c>
      <c r="X28" s="41" t="s">
        <v>167</v>
      </c>
      <c r="Y28" s="31" t="s">
        <v>150</v>
      </c>
      <c r="Z28" s="41" t="s">
        <v>151</v>
      </c>
      <c r="AA28" s="42">
        <v>0.99</v>
      </c>
      <c r="AB28" s="40"/>
      <c r="AC28" s="41" t="s">
        <v>152</v>
      </c>
      <c r="AD28" s="41" t="s">
        <v>150</v>
      </c>
      <c r="AE28" s="31" t="s">
        <v>153</v>
      </c>
      <c r="AF28" s="31" t="s">
        <v>154</v>
      </c>
      <c r="AG28" s="31" t="s">
        <v>150</v>
      </c>
      <c r="AH28" s="42">
        <v>0</v>
      </c>
      <c r="AI28" s="42">
        <v>0</v>
      </c>
      <c r="AJ28" s="42">
        <v>0</v>
      </c>
      <c r="AK28" s="42">
        <v>1</v>
      </c>
      <c r="AL28" s="42">
        <v>1</v>
      </c>
      <c r="AM28" s="31" t="s">
        <v>150</v>
      </c>
      <c r="AN28" s="31" t="s">
        <v>150</v>
      </c>
      <c r="AO28" s="31" t="s">
        <v>153</v>
      </c>
      <c r="AP28" s="31" t="s">
        <v>150</v>
      </c>
      <c r="AQ28" s="31">
        <v>10</v>
      </c>
      <c r="AR28" s="31">
        <v>3</v>
      </c>
      <c r="AS28" s="31" t="s">
        <v>150</v>
      </c>
    </row>
    <row r="29" spans="1:45" x14ac:dyDescent="0.25">
      <c r="A29" s="31"/>
      <c r="B29" s="31"/>
      <c r="C29" s="140"/>
      <c r="D29" s="32"/>
      <c r="E29" s="31"/>
      <c r="F29" s="31"/>
      <c r="G29" s="34"/>
      <c r="H29" s="164"/>
      <c r="I29" s="44"/>
      <c r="J29" s="46"/>
      <c r="K29" s="44"/>
      <c r="L29" s="44"/>
      <c r="M29" s="45"/>
      <c r="N29" s="36"/>
      <c r="O29" s="127"/>
      <c r="P29" s="123"/>
      <c r="Q29" s="39"/>
      <c r="R29" s="123"/>
      <c r="S29" s="127"/>
      <c r="T29" s="31"/>
      <c r="U29" s="31"/>
      <c r="V29" s="41"/>
      <c r="W29" s="31"/>
      <c r="X29" s="31"/>
      <c r="Y29" s="31"/>
      <c r="Z29" s="41"/>
      <c r="AA29" s="42"/>
      <c r="AB29" s="40"/>
      <c r="AC29" s="41"/>
      <c r="AD29" s="41"/>
      <c r="AE29" s="31"/>
      <c r="AF29" s="31"/>
      <c r="AG29" s="31"/>
      <c r="AH29" s="42"/>
      <c r="AI29" s="42"/>
      <c r="AJ29" s="42"/>
      <c r="AK29" s="42"/>
      <c r="AL29" s="42"/>
      <c r="AM29" s="31"/>
      <c r="AN29" s="31"/>
      <c r="AO29" s="31"/>
      <c r="AP29" s="31"/>
      <c r="AQ29" s="31"/>
      <c r="AR29" s="31"/>
      <c r="AS29" s="31"/>
    </row>
    <row r="30" spans="1:45" x14ac:dyDescent="0.25">
      <c r="A30" s="31"/>
      <c r="B30" s="31"/>
      <c r="C30" s="140"/>
      <c r="D30" s="32"/>
      <c r="E30" s="31"/>
      <c r="F30" s="31"/>
      <c r="G30" s="34"/>
      <c r="H30" s="164"/>
      <c r="I30" s="44"/>
      <c r="J30" s="46"/>
      <c r="K30" s="44"/>
      <c r="L30" s="183">
        <v>25000</v>
      </c>
      <c r="M30" s="45" t="s">
        <v>170</v>
      </c>
      <c r="N30" s="36"/>
      <c r="O30" s="127"/>
      <c r="P30" s="123"/>
      <c r="Q30" s="39"/>
      <c r="R30" s="123"/>
      <c r="S30" s="127"/>
      <c r="T30" s="31"/>
      <c r="U30" s="31"/>
      <c r="V30" s="41"/>
      <c r="W30" s="31"/>
      <c r="X30" s="31"/>
      <c r="Y30" s="31"/>
      <c r="Z30" s="41"/>
      <c r="AA30" s="42"/>
      <c r="AB30" s="40"/>
      <c r="AC30" s="41"/>
      <c r="AD30" s="41"/>
      <c r="AE30" s="31"/>
      <c r="AF30" s="31"/>
      <c r="AG30" s="31"/>
      <c r="AH30" s="42"/>
      <c r="AI30" s="42"/>
      <c r="AJ30" s="42"/>
      <c r="AK30" s="42"/>
      <c r="AL30" s="42"/>
      <c r="AM30" s="31"/>
      <c r="AN30" s="31"/>
      <c r="AO30" s="31"/>
      <c r="AP30" s="31"/>
      <c r="AQ30" s="31"/>
      <c r="AR30" s="31"/>
      <c r="AS30" s="31"/>
    </row>
    <row r="31" spans="1:45" x14ac:dyDescent="0.25">
      <c r="A31" s="31"/>
      <c r="B31" s="31"/>
      <c r="C31" s="138"/>
      <c r="D31" s="32"/>
      <c r="E31" s="31"/>
      <c r="F31" s="31"/>
      <c r="G31" s="34"/>
      <c r="H31" s="163"/>
      <c r="I31" s="44"/>
      <c r="J31" s="46"/>
      <c r="K31" s="44"/>
      <c r="L31" s="183">
        <v>15000</v>
      </c>
      <c r="M31" s="45" t="s">
        <v>171</v>
      </c>
      <c r="N31" s="36"/>
      <c r="O31" s="47"/>
      <c r="P31" s="36"/>
      <c r="Q31" s="39"/>
      <c r="R31" s="31"/>
      <c r="S31" s="40"/>
      <c r="T31" s="31"/>
      <c r="U31" s="31"/>
      <c r="V31" s="31"/>
      <c r="W31" s="31"/>
      <c r="X31" s="31"/>
      <c r="Y31" s="31"/>
      <c r="Z31" s="41"/>
      <c r="AA31" s="42"/>
      <c r="AB31" s="40"/>
      <c r="AC31" s="41"/>
      <c r="AD31" s="41"/>
      <c r="AE31" s="31"/>
      <c r="AF31" s="31"/>
      <c r="AG31" s="31"/>
      <c r="AH31" s="42"/>
      <c r="AI31" s="42"/>
      <c r="AJ31" s="42"/>
      <c r="AK31" s="42"/>
      <c r="AL31" s="42"/>
      <c r="AM31" s="31"/>
      <c r="AN31" s="31"/>
      <c r="AO31" s="31"/>
      <c r="AP31" s="31"/>
      <c r="AQ31" s="31"/>
      <c r="AR31" s="31"/>
      <c r="AS31" s="31"/>
    </row>
    <row r="32" spans="1:45" x14ac:dyDescent="0.25">
      <c r="A32" s="31"/>
      <c r="B32" s="31"/>
      <c r="C32" s="138"/>
      <c r="D32" s="32"/>
      <c r="E32" s="31"/>
      <c r="F32" s="31"/>
      <c r="G32" s="34"/>
      <c r="H32" s="163"/>
      <c r="I32" s="44"/>
      <c r="J32" s="46"/>
      <c r="K32" s="44"/>
      <c r="L32" s="183">
        <v>20000</v>
      </c>
      <c r="M32" s="45" t="s">
        <v>172</v>
      </c>
      <c r="N32" s="36"/>
      <c r="O32" s="47"/>
      <c r="P32" s="36"/>
      <c r="Q32" s="39"/>
      <c r="R32" s="31"/>
      <c r="S32" s="40"/>
      <c r="T32" s="31"/>
      <c r="U32" s="31"/>
      <c r="V32" s="31"/>
      <c r="W32" s="31"/>
      <c r="X32" s="31"/>
      <c r="Y32" s="31"/>
      <c r="Z32" s="41"/>
      <c r="AA32" s="42"/>
      <c r="AB32" s="40"/>
      <c r="AC32" s="41"/>
      <c r="AD32" s="41"/>
      <c r="AE32" s="31"/>
      <c r="AF32" s="31"/>
      <c r="AG32" s="31"/>
      <c r="AH32" s="42"/>
      <c r="AI32" s="42"/>
      <c r="AJ32" s="42"/>
      <c r="AK32" s="42"/>
      <c r="AL32" s="42"/>
      <c r="AM32" s="31"/>
      <c r="AN32" s="31"/>
      <c r="AO32" s="31"/>
      <c r="AP32" s="31"/>
      <c r="AQ32" s="31"/>
      <c r="AR32" s="31"/>
      <c r="AS32" s="31"/>
    </row>
    <row r="33" spans="1:45" x14ac:dyDescent="0.25">
      <c r="A33" s="31"/>
      <c r="B33" s="31"/>
      <c r="C33" s="138"/>
      <c r="D33" s="32"/>
      <c r="E33" s="31"/>
      <c r="F33" s="31"/>
      <c r="G33" s="34"/>
      <c r="H33" s="164"/>
      <c r="I33" s="44"/>
      <c r="J33" s="46"/>
      <c r="K33" s="44"/>
      <c r="L33" s="183">
        <v>50000</v>
      </c>
      <c r="M33" s="45" t="s">
        <v>173</v>
      </c>
      <c r="N33" s="36"/>
      <c r="O33" s="47"/>
      <c r="P33" s="36"/>
      <c r="Q33" s="39"/>
      <c r="R33" s="31"/>
      <c r="S33" s="40"/>
      <c r="T33" s="31"/>
      <c r="U33" s="31"/>
      <c r="V33" s="31"/>
      <c r="W33" s="31"/>
      <c r="X33" s="31"/>
      <c r="Y33" s="31"/>
      <c r="Z33" s="41"/>
      <c r="AA33" s="42"/>
      <c r="AB33" s="40"/>
      <c r="AC33" s="41"/>
      <c r="AD33" s="41"/>
      <c r="AE33" s="31"/>
      <c r="AF33" s="31"/>
      <c r="AG33" s="31"/>
      <c r="AH33" s="42"/>
      <c r="AI33" s="42"/>
      <c r="AJ33" s="42"/>
      <c r="AK33" s="42"/>
      <c r="AL33" s="42"/>
      <c r="AM33" s="31"/>
      <c r="AN33" s="31"/>
      <c r="AO33" s="31"/>
      <c r="AP33" s="31"/>
      <c r="AQ33" s="31"/>
      <c r="AR33" s="31"/>
      <c r="AS33" s="31"/>
    </row>
    <row r="34" spans="1:45" x14ac:dyDescent="0.25">
      <c r="A34" s="31"/>
      <c r="B34" s="31"/>
      <c r="C34" s="138"/>
      <c r="D34" s="32"/>
      <c r="E34" s="31"/>
      <c r="F34" s="31"/>
      <c r="G34" s="34"/>
      <c r="H34" s="164"/>
      <c r="I34" s="44"/>
      <c r="J34" s="46"/>
      <c r="K34" s="44"/>
      <c r="L34" s="183">
        <v>50000</v>
      </c>
      <c r="M34" s="45" t="s">
        <v>174</v>
      </c>
      <c r="N34" s="36"/>
      <c r="O34" s="47"/>
      <c r="P34" s="36"/>
      <c r="Q34" s="39"/>
      <c r="R34" s="31"/>
      <c r="S34" s="40"/>
      <c r="T34" s="31"/>
      <c r="U34" s="31"/>
      <c r="V34" s="31"/>
      <c r="W34" s="31"/>
      <c r="X34" s="31"/>
      <c r="Y34" s="31"/>
      <c r="Z34" s="41"/>
      <c r="AA34" s="42"/>
      <c r="AB34" s="40"/>
      <c r="AC34" s="41"/>
      <c r="AD34" s="41"/>
      <c r="AE34" s="31"/>
      <c r="AF34" s="31"/>
      <c r="AG34" s="31"/>
      <c r="AH34" s="42"/>
      <c r="AI34" s="42"/>
      <c r="AJ34" s="42"/>
      <c r="AK34" s="42"/>
      <c r="AL34" s="42"/>
      <c r="AM34" s="31"/>
      <c r="AN34" s="31"/>
      <c r="AO34" s="31"/>
      <c r="AP34" s="31"/>
      <c r="AQ34" s="31"/>
      <c r="AR34" s="31"/>
      <c r="AS34" s="31"/>
    </row>
    <row r="35" spans="1:45" x14ac:dyDescent="0.25">
      <c r="A35" s="31"/>
      <c r="B35" s="31"/>
      <c r="C35" s="138"/>
      <c r="D35" s="32"/>
      <c r="E35" s="31"/>
      <c r="F35" s="31"/>
      <c r="G35" s="34"/>
      <c r="H35" s="164"/>
      <c r="I35" s="44"/>
      <c r="J35" s="46"/>
      <c r="K35" s="44"/>
      <c r="L35" s="183">
        <v>10000</v>
      </c>
      <c r="M35" s="45" t="s">
        <v>175</v>
      </c>
      <c r="N35" s="36"/>
      <c r="O35" s="47"/>
      <c r="P35" s="36"/>
      <c r="Q35" s="39"/>
      <c r="R35" s="31"/>
      <c r="S35" s="40"/>
      <c r="T35" s="31"/>
      <c r="U35" s="31"/>
      <c r="V35" s="31"/>
      <c r="W35" s="31"/>
      <c r="X35" s="31"/>
      <c r="Y35" s="31"/>
      <c r="Z35" s="41"/>
      <c r="AA35" s="42"/>
      <c r="AB35" s="40"/>
      <c r="AC35" s="41"/>
      <c r="AD35" s="41"/>
      <c r="AE35" s="31"/>
      <c r="AF35" s="31"/>
      <c r="AG35" s="31"/>
      <c r="AH35" s="42"/>
      <c r="AI35" s="42"/>
      <c r="AJ35" s="42"/>
      <c r="AK35" s="42"/>
      <c r="AL35" s="42"/>
      <c r="AM35" s="31"/>
      <c r="AN35" s="31"/>
      <c r="AO35" s="31"/>
      <c r="AP35" s="31"/>
      <c r="AQ35" s="31"/>
      <c r="AR35" s="31"/>
      <c r="AS35" s="31"/>
    </row>
    <row r="36" spans="1:45" x14ac:dyDescent="0.25">
      <c r="A36" s="31"/>
      <c r="B36" s="31"/>
      <c r="C36" s="31"/>
      <c r="D36" s="31"/>
      <c r="E36" s="31"/>
      <c r="F36" s="33"/>
      <c r="G36" s="34"/>
      <c r="H36" s="44"/>
      <c r="I36" s="44"/>
      <c r="J36" s="46"/>
      <c r="K36" s="44"/>
      <c r="L36" s="183">
        <v>50000</v>
      </c>
      <c r="M36" s="45" t="s">
        <v>176</v>
      </c>
      <c r="N36" s="36"/>
      <c r="O36" s="47"/>
      <c r="P36" s="36"/>
      <c r="Q36" s="39"/>
      <c r="R36" s="31"/>
      <c r="S36" s="40"/>
      <c r="T36" s="31"/>
      <c r="U36" s="31"/>
      <c r="V36" s="31"/>
      <c r="W36" s="31"/>
      <c r="X36" s="31"/>
      <c r="Y36" s="31"/>
      <c r="Z36" s="41"/>
      <c r="AA36" s="42"/>
      <c r="AB36" s="40"/>
      <c r="AC36" s="41"/>
      <c r="AD36" s="41"/>
      <c r="AE36" s="31"/>
      <c r="AF36" s="31"/>
      <c r="AG36" s="31"/>
      <c r="AH36" s="42"/>
      <c r="AI36" s="42"/>
      <c r="AJ36" s="42"/>
      <c r="AK36" s="42"/>
      <c r="AL36" s="42"/>
      <c r="AM36" s="31"/>
      <c r="AN36" s="31"/>
      <c r="AO36" s="31"/>
      <c r="AP36" s="31"/>
      <c r="AQ36" s="31"/>
      <c r="AR36" s="31"/>
      <c r="AS36" s="31"/>
    </row>
    <row r="37" spans="1:45" x14ac:dyDescent="0.25">
      <c r="A37" s="31"/>
      <c r="B37" s="31"/>
      <c r="C37" s="31"/>
      <c r="D37" s="31"/>
      <c r="E37" s="31"/>
      <c r="F37" s="33"/>
      <c r="G37" s="34"/>
      <c r="H37" s="44"/>
      <c r="I37" s="44"/>
      <c r="J37" s="46"/>
      <c r="K37" s="44"/>
      <c r="L37" s="183">
        <v>25000</v>
      </c>
      <c r="M37" s="45" t="s">
        <v>177</v>
      </c>
      <c r="N37" s="36"/>
      <c r="O37" s="47"/>
      <c r="P37" s="36"/>
      <c r="Q37" s="39"/>
      <c r="R37" s="31"/>
      <c r="S37" s="40"/>
      <c r="T37" s="31"/>
      <c r="U37" s="31"/>
      <c r="V37" s="31"/>
      <c r="W37" s="31"/>
      <c r="X37" s="31"/>
      <c r="Y37" s="31"/>
      <c r="Z37" s="41"/>
      <c r="AA37" s="42"/>
      <c r="AB37" s="40"/>
      <c r="AC37" s="41"/>
      <c r="AD37" s="41"/>
      <c r="AE37" s="31"/>
      <c r="AF37" s="31"/>
      <c r="AG37" s="31"/>
      <c r="AH37" s="42"/>
      <c r="AI37" s="42"/>
      <c r="AJ37" s="42"/>
      <c r="AK37" s="42"/>
      <c r="AL37" s="42"/>
      <c r="AM37" s="31"/>
      <c r="AN37" s="31"/>
      <c r="AO37" s="31"/>
      <c r="AP37" s="31"/>
      <c r="AQ37" s="31"/>
      <c r="AR37" s="31"/>
      <c r="AS37" s="31"/>
    </row>
    <row r="38" spans="1:45" x14ac:dyDescent="0.25">
      <c r="A38" s="31"/>
      <c r="B38" s="31"/>
      <c r="C38" s="31"/>
      <c r="D38" s="31"/>
      <c r="E38" s="31"/>
      <c r="F38" s="33"/>
      <c r="G38" s="34"/>
      <c r="H38" s="44"/>
      <c r="I38" s="44"/>
      <c r="J38" s="46"/>
      <c r="K38" s="44"/>
      <c r="L38" s="183">
        <v>25000</v>
      </c>
      <c r="M38" s="45" t="s">
        <v>178</v>
      </c>
      <c r="N38" s="36"/>
      <c r="O38" s="47"/>
      <c r="P38" s="36"/>
      <c r="Q38" s="39"/>
      <c r="R38" s="31"/>
      <c r="S38" s="40"/>
      <c r="T38" s="31"/>
      <c r="U38" s="31"/>
      <c r="V38" s="31"/>
      <c r="W38" s="31"/>
      <c r="X38" s="31"/>
      <c r="Y38" s="31"/>
      <c r="Z38" s="41"/>
      <c r="AA38" s="42"/>
      <c r="AB38" s="40"/>
      <c r="AC38" s="41"/>
      <c r="AD38" s="41"/>
      <c r="AE38" s="31"/>
      <c r="AF38" s="31"/>
      <c r="AG38" s="31"/>
      <c r="AH38" s="42"/>
      <c r="AI38" s="42"/>
      <c r="AJ38" s="42"/>
      <c r="AK38" s="42"/>
      <c r="AL38" s="42"/>
      <c r="AM38" s="31"/>
      <c r="AN38" s="31"/>
      <c r="AO38" s="31"/>
      <c r="AP38" s="31"/>
      <c r="AQ38" s="31"/>
      <c r="AR38" s="31"/>
      <c r="AS38" s="31"/>
    </row>
    <row r="39" spans="1:45" x14ac:dyDescent="0.25">
      <c r="A39" s="31"/>
      <c r="B39" s="31"/>
      <c r="C39" s="31"/>
      <c r="D39" s="31"/>
      <c r="E39" s="31"/>
      <c r="F39" s="33"/>
      <c r="G39" s="34"/>
      <c r="H39" s="44"/>
      <c r="I39" s="44"/>
      <c r="J39" s="46"/>
      <c r="K39" s="44"/>
      <c r="L39" s="44">
        <v>150000</v>
      </c>
      <c r="M39" s="45" t="s">
        <v>179</v>
      </c>
      <c r="N39" s="36"/>
      <c r="O39" s="47"/>
      <c r="P39" s="36"/>
      <c r="Q39" s="39"/>
      <c r="R39" s="31"/>
      <c r="S39" s="40"/>
      <c r="T39" s="31"/>
      <c r="U39" s="31"/>
      <c r="V39" s="31"/>
      <c r="W39" s="31"/>
      <c r="X39" s="31"/>
      <c r="Y39" s="31"/>
      <c r="Z39" s="41"/>
      <c r="AA39" s="42"/>
      <c r="AB39" s="40"/>
      <c r="AC39" s="41"/>
      <c r="AD39" s="41"/>
      <c r="AE39" s="31"/>
      <c r="AF39" s="31"/>
      <c r="AG39" s="31"/>
      <c r="AH39" s="42"/>
      <c r="AI39" s="42"/>
      <c r="AJ39" s="42"/>
      <c r="AK39" s="42"/>
      <c r="AL39" s="42"/>
      <c r="AM39" s="31"/>
      <c r="AN39" s="31"/>
      <c r="AO39" s="31"/>
      <c r="AP39" s="31"/>
      <c r="AQ39" s="31"/>
      <c r="AR39" s="31"/>
      <c r="AS39" s="31"/>
    </row>
    <row r="40" spans="1:45" x14ac:dyDescent="0.25">
      <c r="A40" s="31"/>
      <c r="B40" s="31"/>
      <c r="C40" s="31"/>
      <c r="D40" s="31"/>
      <c r="E40" s="31"/>
      <c r="F40" s="33"/>
      <c r="G40" s="34"/>
      <c r="H40" s="44"/>
      <c r="I40" s="44"/>
      <c r="J40" s="46"/>
      <c r="K40" s="44"/>
      <c r="L40" s="44"/>
      <c r="M40" s="45"/>
      <c r="N40" s="36"/>
      <c r="O40" s="47"/>
      <c r="P40" s="36"/>
      <c r="Q40" s="39"/>
      <c r="R40" s="31"/>
      <c r="S40" s="40"/>
      <c r="T40" s="31"/>
      <c r="U40" s="31"/>
      <c r="V40" s="31"/>
      <c r="W40" s="31"/>
      <c r="X40" s="31"/>
      <c r="Y40" s="31"/>
      <c r="Z40" s="41"/>
      <c r="AA40" s="42"/>
      <c r="AB40" s="40"/>
      <c r="AC40" s="41"/>
      <c r="AD40" s="41"/>
      <c r="AE40" s="31"/>
      <c r="AF40" s="31"/>
      <c r="AG40" s="31"/>
      <c r="AH40" s="42"/>
      <c r="AI40" s="42"/>
      <c r="AJ40" s="42"/>
      <c r="AK40" s="42"/>
      <c r="AL40" s="42"/>
      <c r="AM40" s="31"/>
      <c r="AN40" s="31"/>
      <c r="AO40" s="31"/>
      <c r="AP40" s="31"/>
      <c r="AQ40" s="31"/>
      <c r="AR40" s="31"/>
      <c r="AS40" s="31"/>
    </row>
    <row r="41" spans="1:45" x14ac:dyDescent="0.25">
      <c r="A41" s="31"/>
      <c r="B41" s="31"/>
      <c r="C41" s="31"/>
      <c r="D41" s="31"/>
      <c r="E41" s="31"/>
      <c r="F41" s="33"/>
      <c r="G41" s="34"/>
      <c r="H41" s="44"/>
      <c r="I41" s="44"/>
      <c r="J41" s="44"/>
      <c r="K41" s="44"/>
      <c r="L41" s="44"/>
      <c r="M41" s="45"/>
      <c r="N41" s="36"/>
      <c r="O41" s="48"/>
      <c r="P41" s="36"/>
      <c r="Q41" s="39"/>
      <c r="R41" s="31"/>
      <c r="S41" s="40"/>
      <c r="T41" s="31"/>
      <c r="U41" s="31"/>
      <c r="V41" s="31"/>
      <c r="W41" s="31"/>
      <c r="X41" s="31"/>
      <c r="Y41" s="31"/>
      <c r="Z41" s="41"/>
      <c r="AA41" s="42"/>
      <c r="AB41" s="40"/>
      <c r="AC41" s="41"/>
      <c r="AD41" s="41"/>
      <c r="AE41" s="31"/>
      <c r="AF41" s="31"/>
      <c r="AG41" s="31"/>
      <c r="AH41" s="42"/>
      <c r="AI41" s="42"/>
      <c r="AJ41" s="42"/>
      <c r="AK41" s="42"/>
      <c r="AL41" s="42"/>
      <c r="AM41" s="31"/>
      <c r="AN41" s="31"/>
      <c r="AO41" s="31"/>
      <c r="AP41" s="31"/>
      <c r="AQ41" s="31"/>
      <c r="AR41" s="31"/>
      <c r="AS41" s="31"/>
    </row>
    <row r="42" spans="1:45" x14ac:dyDescent="0.25">
      <c r="A42" s="31"/>
      <c r="B42" s="31"/>
      <c r="C42" s="31"/>
      <c r="D42" s="31"/>
      <c r="E42" s="31"/>
      <c r="F42" s="33"/>
      <c r="G42" s="34"/>
      <c r="H42" s="44"/>
      <c r="I42" s="44"/>
      <c r="J42" s="44"/>
      <c r="K42" s="44"/>
      <c r="L42" s="44"/>
      <c r="M42" s="45"/>
      <c r="N42" s="36"/>
      <c r="O42" s="36"/>
      <c r="P42" s="36"/>
      <c r="Q42" s="39"/>
      <c r="R42" s="31"/>
      <c r="S42" s="40"/>
      <c r="T42" s="31"/>
      <c r="U42" s="31"/>
      <c r="V42" s="31"/>
      <c r="W42" s="31"/>
      <c r="X42" s="31"/>
      <c r="Y42" s="31"/>
      <c r="Z42" s="41"/>
      <c r="AA42" s="42"/>
      <c r="AB42" s="40"/>
      <c r="AC42" s="41"/>
      <c r="AD42" s="41"/>
      <c r="AE42" s="31"/>
      <c r="AF42" s="31"/>
      <c r="AG42" s="31"/>
      <c r="AH42" s="42"/>
      <c r="AI42" s="42"/>
      <c r="AJ42" s="42"/>
      <c r="AK42" s="42"/>
      <c r="AL42" s="42"/>
      <c r="AM42" s="31"/>
      <c r="AN42" s="31"/>
      <c r="AO42" s="31"/>
      <c r="AP42" s="31"/>
      <c r="AQ42" s="31"/>
      <c r="AR42" s="31"/>
      <c r="AS42" s="31"/>
    </row>
    <row r="43" spans="1:45" x14ac:dyDescent="0.25">
      <c r="A43" s="31"/>
      <c r="B43" s="31"/>
      <c r="C43" s="31"/>
      <c r="D43" s="31"/>
      <c r="E43" s="31"/>
      <c r="F43" s="33"/>
      <c r="G43" s="34"/>
      <c r="H43" s="44"/>
      <c r="I43" s="44"/>
      <c r="J43" s="44"/>
      <c r="K43" s="44"/>
      <c r="L43" s="44"/>
      <c r="M43" s="45"/>
      <c r="N43" s="36"/>
      <c r="O43" s="36"/>
      <c r="P43" s="36"/>
      <c r="Q43" s="39"/>
      <c r="R43" s="31"/>
      <c r="S43" s="40"/>
      <c r="T43" s="31"/>
      <c r="U43" s="31"/>
      <c r="V43" s="31"/>
      <c r="W43" s="31"/>
      <c r="X43" s="31"/>
      <c r="Y43" s="31"/>
      <c r="Z43" s="41"/>
      <c r="AA43" s="42"/>
      <c r="AB43" s="40"/>
      <c r="AC43" s="41"/>
      <c r="AD43" s="41"/>
      <c r="AE43" s="31"/>
      <c r="AF43" s="31"/>
      <c r="AG43" s="31"/>
      <c r="AH43" s="42"/>
      <c r="AI43" s="42"/>
      <c r="AJ43" s="42"/>
      <c r="AK43" s="42"/>
      <c r="AL43" s="42"/>
      <c r="AM43" s="31"/>
      <c r="AN43" s="31"/>
      <c r="AO43" s="31"/>
      <c r="AP43" s="31"/>
      <c r="AQ43" s="31"/>
      <c r="AR43" s="31"/>
      <c r="AS43" s="31"/>
    </row>
    <row r="44" spans="1:45" x14ac:dyDescent="0.25">
      <c r="A44" s="31"/>
      <c r="B44" s="31"/>
      <c r="C44" s="31"/>
      <c r="D44" s="31"/>
      <c r="E44" s="31"/>
      <c r="F44" s="33"/>
      <c r="G44" s="34"/>
      <c r="H44" s="44"/>
      <c r="I44" s="44"/>
      <c r="J44" s="44"/>
      <c r="K44" s="44"/>
      <c r="L44" s="44"/>
      <c r="M44" s="45"/>
      <c r="N44" s="36"/>
      <c r="O44" s="36"/>
      <c r="P44" s="36"/>
      <c r="Q44" s="39"/>
      <c r="R44" s="31"/>
      <c r="S44" s="40"/>
      <c r="T44" s="31"/>
      <c r="U44" s="31"/>
      <c r="V44" s="31"/>
      <c r="W44" s="31"/>
      <c r="X44" s="31"/>
      <c r="Y44" s="31"/>
      <c r="Z44" s="41"/>
      <c r="AA44" s="42"/>
      <c r="AB44" s="40"/>
      <c r="AC44" s="41"/>
      <c r="AD44" s="41"/>
      <c r="AE44" s="31"/>
      <c r="AF44" s="31"/>
      <c r="AG44" s="31"/>
      <c r="AH44" s="42"/>
      <c r="AI44" s="42"/>
      <c r="AJ44" s="42"/>
      <c r="AK44" s="42"/>
      <c r="AL44" s="42"/>
      <c r="AM44" s="31"/>
      <c r="AN44" s="31"/>
      <c r="AO44" s="31"/>
      <c r="AP44" s="31"/>
      <c r="AQ44" s="31"/>
      <c r="AR44" s="31"/>
      <c r="AS44" s="31"/>
    </row>
    <row r="45" spans="1:45" x14ac:dyDescent="0.25">
      <c r="A45" s="31"/>
      <c r="B45" s="31"/>
      <c r="C45" s="31"/>
      <c r="D45" s="31"/>
      <c r="E45" s="31"/>
      <c r="F45" s="33"/>
      <c r="G45" s="34"/>
      <c r="H45" s="44"/>
      <c r="I45" s="44"/>
      <c r="J45" s="44"/>
      <c r="K45" s="44"/>
      <c r="L45" s="44"/>
      <c r="M45" s="45"/>
      <c r="N45" s="36"/>
      <c r="O45" s="36"/>
      <c r="P45" s="36"/>
      <c r="Q45" s="39"/>
      <c r="R45" s="31"/>
      <c r="S45" s="40"/>
      <c r="T45" s="31"/>
      <c r="U45" s="31"/>
      <c r="V45" s="31"/>
      <c r="W45" s="31"/>
      <c r="X45" s="31"/>
      <c r="Y45" s="31"/>
      <c r="Z45" s="41"/>
      <c r="AA45" s="42"/>
      <c r="AB45" s="40"/>
      <c r="AC45" s="41"/>
      <c r="AD45" s="41"/>
      <c r="AE45" s="31"/>
      <c r="AF45" s="31"/>
      <c r="AG45" s="31"/>
      <c r="AH45" s="42"/>
      <c r="AI45" s="42"/>
      <c r="AJ45" s="42"/>
      <c r="AK45" s="42"/>
      <c r="AL45" s="42"/>
      <c r="AM45" s="31"/>
      <c r="AN45" s="31"/>
      <c r="AO45" s="31"/>
      <c r="AP45" s="31"/>
      <c r="AQ45" s="31"/>
      <c r="AR45" s="31"/>
      <c r="AS45" s="31"/>
    </row>
    <row r="46" spans="1:45" x14ac:dyDescent="0.25">
      <c r="A46" s="31"/>
      <c r="B46" s="31"/>
      <c r="C46" s="31"/>
      <c r="D46" s="31"/>
      <c r="E46" s="31"/>
      <c r="F46" s="33"/>
      <c r="G46" s="34"/>
      <c r="H46" s="44"/>
      <c r="I46" s="44"/>
      <c r="J46" s="44"/>
      <c r="K46" s="44"/>
      <c r="L46" s="44"/>
      <c r="M46" s="45"/>
      <c r="N46" s="36"/>
      <c r="O46" s="36"/>
      <c r="P46" s="36"/>
      <c r="Q46" s="39"/>
      <c r="R46" s="31"/>
      <c r="S46" s="40"/>
      <c r="T46" s="31"/>
      <c r="U46" s="31"/>
      <c r="V46" s="31"/>
      <c r="W46" s="31"/>
      <c r="X46" s="31"/>
      <c r="Y46" s="31"/>
      <c r="Z46" s="41"/>
      <c r="AA46" s="42"/>
      <c r="AB46" s="40"/>
      <c r="AC46" s="41"/>
      <c r="AD46" s="41"/>
      <c r="AE46" s="31"/>
      <c r="AF46" s="31"/>
      <c r="AG46" s="31"/>
      <c r="AH46" s="42"/>
      <c r="AI46" s="42"/>
      <c r="AJ46" s="42"/>
      <c r="AK46" s="42"/>
      <c r="AL46" s="42"/>
      <c r="AM46" s="31"/>
      <c r="AN46" s="31"/>
      <c r="AO46" s="31"/>
      <c r="AP46" s="31"/>
      <c r="AQ46" s="31"/>
      <c r="AR46" s="31"/>
      <c r="AS46" s="31"/>
    </row>
    <row r="47" spans="1:45" x14ac:dyDescent="0.25">
      <c r="A47" s="31"/>
      <c r="B47" s="31"/>
      <c r="C47" s="31"/>
      <c r="D47" s="31"/>
      <c r="E47" s="31"/>
      <c r="F47" s="33"/>
      <c r="G47" s="34"/>
      <c r="H47" s="44"/>
      <c r="I47" s="44"/>
      <c r="J47" s="44"/>
      <c r="K47" s="44"/>
      <c r="L47" s="44"/>
      <c r="M47" s="45"/>
      <c r="N47" s="36"/>
      <c r="O47" s="36"/>
      <c r="P47" s="36"/>
      <c r="Q47" s="39"/>
      <c r="R47" s="31"/>
      <c r="S47" s="40"/>
      <c r="T47" s="31"/>
      <c r="U47" s="31"/>
      <c r="V47" s="31"/>
      <c r="W47" s="31"/>
      <c r="X47" s="31"/>
      <c r="Y47" s="31"/>
      <c r="Z47" s="41"/>
      <c r="AA47" s="42"/>
      <c r="AB47" s="40"/>
      <c r="AC47" s="41"/>
      <c r="AD47" s="41"/>
      <c r="AE47" s="31"/>
      <c r="AF47" s="31"/>
      <c r="AG47" s="31"/>
      <c r="AH47" s="42"/>
      <c r="AI47" s="42"/>
      <c r="AJ47" s="42"/>
      <c r="AK47" s="42"/>
      <c r="AL47" s="42"/>
      <c r="AM47" s="31"/>
      <c r="AN47" s="31"/>
      <c r="AO47" s="31"/>
      <c r="AP47" s="31"/>
      <c r="AQ47" s="31"/>
      <c r="AR47" s="31"/>
      <c r="AS47" s="31"/>
    </row>
    <row r="48" spans="1:45" x14ac:dyDescent="0.25">
      <c r="A48" s="31"/>
      <c r="B48" s="31"/>
      <c r="C48" s="31"/>
      <c r="D48" s="31"/>
      <c r="E48" s="31"/>
      <c r="F48" s="33"/>
      <c r="G48" s="34"/>
      <c r="H48" s="44"/>
      <c r="I48" s="44"/>
      <c r="J48" s="44"/>
      <c r="K48" s="44"/>
      <c r="L48" s="44"/>
      <c r="M48" s="45"/>
      <c r="N48" s="36"/>
      <c r="O48" s="36"/>
      <c r="P48" s="36"/>
      <c r="Q48" s="39"/>
      <c r="R48" s="31"/>
      <c r="S48" s="40"/>
      <c r="T48" s="31"/>
      <c r="U48" s="31"/>
      <c r="V48" s="31"/>
      <c r="W48" s="31"/>
      <c r="X48" s="31"/>
      <c r="Y48" s="31"/>
      <c r="Z48" s="41"/>
      <c r="AA48" s="42"/>
      <c r="AB48" s="40"/>
      <c r="AC48" s="41"/>
      <c r="AD48" s="41"/>
      <c r="AE48" s="31"/>
      <c r="AF48" s="31"/>
      <c r="AG48" s="31"/>
      <c r="AH48" s="42"/>
      <c r="AI48" s="42"/>
      <c r="AJ48" s="42"/>
      <c r="AK48" s="42"/>
      <c r="AL48" s="42"/>
      <c r="AM48" s="31"/>
      <c r="AN48" s="31"/>
      <c r="AO48" s="31"/>
      <c r="AP48" s="31"/>
      <c r="AQ48" s="31"/>
      <c r="AR48" s="31"/>
      <c r="AS48" s="31"/>
    </row>
    <row r="49" spans="1:45" x14ac:dyDescent="0.25">
      <c r="A49" s="31"/>
      <c r="B49" s="31"/>
      <c r="C49" s="31"/>
      <c r="D49" s="31"/>
      <c r="E49" s="31"/>
      <c r="F49" s="33"/>
      <c r="G49" s="34"/>
      <c r="H49" s="44"/>
      <c r="I49" s="44"/>
      <c r="J49" s="44"/>
      <c r="K49" s="44"/>
      <c r="L49" s="44"/>
      <c r="M49" s="45"/>
      <c r="N49" s="36"/>
      <c r="O49" s="36"/>
      <c r="P49" s="36"/>
      <c r="Q49" s="39"/>
      <c r="R49" s="31"/>
      <c r="S49" s="40"/>
      <c r="T49" s="31"/>
      <c r="U49" s="31"/>
      <c r="V49" s="31"/>
      <c r="W49" s="31"/>
      <c r="X49" s="31"/>
      <c r="Y49" s="31"/>
      <c r="Z49" s="41"/>
      <c r="AA49" s="42"/>
      <c r="AB49" s="40"/>
      <c r="AC49" s="41"/>
      <c r="AD49" s="41"/>
      <c r="AE49" s="31"/>
      <c r="AF49" s="31"/>
      <c r="AG49" s="31"/>
      <c r="AH49" s="42"/>
      <c r="AI49" s="42"/>
      <c r="AJ49" s="42"/>
      <c r="AK49" s="42"/>
      <c r="AL49" s="42"/>
      <c r="AM49" s="31"/>
      <c r="AN49" s="31"/>
      <c r="AO49" s="31"/>
      <c r="AP49" s="31"/>
      <c r="AQ49" s="31"/>
      <c r="AR49" s="31"/>
      <c r="AS49" s="31"/>
    </row>
    <row r="50" spans="1:45" x14ac:dyDescent="0.25">
      <c r="A50" s="31"/>
      <c r="B50" s="31"/>
      <c r="C50" s="31"/>
      <c r="D50" s="31"/>
      <c r="E50" s="31"/>
      <c r="F50" s="33"/>
      <c r="G50" s="34"/>
      <c r="H50" s="44"/>
      <c r="I50" s="44"/>
      <c r="J50" s="44"/>
      <c r="K50" s="44"/>
      <c r="L50" s="44"/>
      <c r="M50" s="45"/>
      <c r="N50" s="36"/>
      <c r="O50" s="36"/>
      <c r="P50" s="36"/>
      <c r="Q50" s="39"/>
      <c r="R50" s="31"/>
      <c r="S50" s="40"/>
      <c r="T50" s="31"/>
      <c r="U50" s="31"/>
      <c r="V50" s="31"/>
      <c r="W50" s="31"/>
      <c r="X50" s="31"/>
      <c r="Y50" s="31"/>
      <c r="Z50" s="41"/>
      <c r="AA50" s="42"/>
      <c r="AB50" s="40"/>
      <c r="AC50" s="41"/>
      <c r="AD50" s="41"/>
      <c r="AE50" s="31"/>
      <c r="AF50" s="31"/>
      <c r="AG50" s="31"/>
      <c r="AH50" s="42"/>
      <c r="AI50" s="42"/>
      <c r="AJ50" s="42"/>
      <c r="AK50" s="42"/>
      <c r="AL50" s="42"/>
      <c r="AM50" s="31"/>
      <c r="AN50" s="31"/>
      <c r="AO50" s="31"/>
      <c r="AP50" s="31"/>
      <c r="AQ50" s="31"/>
      <c r="AR50" s="31"/>
      <c r="AS50" s="31"/>
    </row>
    <row r="51" spans="1:45" x14ac:dyDescent="0.25">
      <c r="A51" s="31"/>
      <c r="B51" s="31"/>
      <c r="C51" s="31"/>
      <c r="D51" s="31"/>
      <c r="E51" s="31"/>
      <c r="F51" s="33"/>
      <c r="G51" s="34"/>
      <c r="H51" s="44"/>
      <c r="I51" s="44"/>
      <c r="J51" s="44"/>
      <c r="K51" s="44"/>
      <c r="L51" s="44"/>
      <c r="M51" s="45"/>
      <c r="N51" s="36"/>
      <c r="O51" s="36"/>
      <c r="P51" s="36"/>
      <c r="Q51" s="39"/>
      <c r="R51" s="31"/>
      <c r="S51" s="40"/>
      <c r="T51" s="31"/>
      <c r="U51" s="31"/>
      <c r="V51" s="31"/>
      <c r="W51" s="31"/>
      <c r="X51" s="31"/>
      <c r="Y51" s="31"/>
      <c r="Z51" s="41"/>
      <c r="AA51" s="42"/>
      <c r="AB51" s="40"/>
      <c r="AC51" s="41"/>
      <c r="AD51" s="41"/>
      <c r="AE51" s="31"/>
      <c r="AF51" s="31"/>
      <c r="AG51" s="31"/>
      <c r="AH51" s="42"/>
      <c r="AI51" s="42"/>
      <c r="AJ51" s="42"/>
      <c r="AK51" s="42"/>
      <c r="AL51" s="42"/>
      <c r="AM51" s="31"/>
      <c r="AN51" s="31"/>
      <c r="AO51" s="31"/>
      <c r="AP51" s="31"/>
      <c r="AQ51" s="31"/>
      <c r="AR51" s="31"/>
      <c r="AS51" s="31"/>
    </row>
    <row r="52" spans="1:45" x14ac:dyDescent="0.25">
      <c r="A52" s="31"/>
      <c r="B52" s="31"/>
      <c r="C52" s="31"/>
      <c r="D52" s="31"/>
      <c r="E52" s="31"/>
      <c r="F52" s="33"/>
      <c r="G52" s="34"/>
      <c r="H52" s="44"/>
      <c r="I52" s="44"/>
      <c r="J52" s="44"/>
      <c r="K52" s="44"/>
      <c r="L52" s="44"/>
      <c r="M52" s="45"/>
      <c r="N52" s="36"/>
      <c r="O52" s="36"/>
      <c r="P52" s="36"/>
      <c r="Q52" s="39"/>
      <c r="R52" s="31"/>
      <c r="S52" s="40"/>
      <c r="T52" s="31"/>
      <c r="U52" s="31"/>
      <c r="V52" s="31"/>
      <c r="W52" s="31"/>
      <c r="X52" s="31"/>
      <c r="Y52" s="31"/>
      <c r="Z52" s="41"/>
      <c r="AA52" s="42"/>
      <c r="AB52" s="40"/>
      <c r="AC52" s="41"/>
      <c r="AD52" s="41"/>
      <c r="AE52" s="31"/>
      <c r="AF52" s="31"/>
      <c r="AG52" s="31"/>
      <c r="AH52" s="42"/>
      <c r="AI52" s="42"/>
      <c r="AJ52" s="42"/>
      <c r="AK52" s="42"/>
      <c r="AL52" s="42"/>
      <c r="AM52" s="31"/>
      <c r="AN52" s="31"/>
      <c r="AO52" s="31"/>
      <c r="AP52" s="31"/>
      <c r="AQ52" s="31"/>
      <c r="AR52" s="31"/>
      <c r="AS52" s="31"/>
    </row>
    <row r="53" spans="1:45" x14ac:dyDescent="0.25">
      <c r="A53" s="31"/>
      <c r="B53" s="31"/>
      <c r="C53" s="31"/>
      <c r="D53" s="31"/>
      <c r="E53" s="31"/>
      <c r="F53" s="33"/>
      <c r="G53" s="34"/>
      <c r="H53" s="44"/>
      <c r="I53" s="44"/>
      <c r="J53" s="44"/>
      <c r="K53" s="44"/>
      <c r="L53" s="44"/>
      <c r="M53" s="45"/>
      <c r="N53" s="36"/>
      <c r="O53" s="36"/>
      <c r="P53" s="36"/>
      <c r="Q53" s="39"/>
      <c r="R53" s="31"/>
      <c r="S53" s="40"/>
      <c r="T53" s="31"/>
      <c r="U53" s="31"/>
      <c r="V53" s="31"/>
      <c r="W53" s="31"/>
      <c r="X53" s="31"/>
      <c r="Y53" s="31"/>
      <c r="Z53" s="41"/>
      <c r="AA53" s="42"/>
      <c r="AB53" s="40"/>
      <c r="AC53" s="41"/>
      <c r="AD53" s="41"/>
      <c r="AE53" s="31"/>
      <c r="AF53" s="31"/>
      <c r="AG53" s="31"/>
      <c r="AH53" s="42"/>
      <c r="AI53" s="42"/>
      <c r="AJ53" s="42"/>
      <c r="AK53" s="42"/>
      <c r="AL53" s="42"/>
      <c r="AM53" s="31"/>
      <c r="AN53" s="31"/>
      <c r="AO53" s="31"/>
      <c r="AP53" s="31"/>
      <c r="AQ53" s="31"/>
      <c r="AR53" s="31"/>
      <c r="AS53" s="31"/>
    </row>
    <row r="54" spans="1:45" x14ac:dyDescent="0.25">
      <c r="A54" s="31"/>
      <c r="B54" s="31"/>
      <c r="C54" s="31"/>
      <c r="D54" s="31"/>
      <c r="E54" s="31"/>
      <c r="F54" s="33"/>
      <c r="G54" s="34"/>
      <c r="H54" s="44"/>
      <c r="I54" s="44"/>
      <c r="J54" s="44"/>
      <c r="K54" s="44"/>
      <c r="L54" s="44"/>
      <c r="M54" s="45"/>
      <c r="N54" s="36"/>
      <c r="O54" s="36"/>
      <c r="P54" s="36"/>
      <c r="Q54" s="39"/>
      <c r="R54" s="31"/>
      <c r="S54" s="40"/>
      <c r="T54" s="31"/>
      <c r="U54" s="31"/>
      <c r="V54" s="31"/>
      <c r="W54" s="31"/>
      <c r="X54" s="31"/>
      <c r="Y54" s="31"/>
      <c r="Z54" s="41"/>
      <c r="AA54" s="42"/>
      <c r="AB54" s="40"/>
      <c r="AC54" s="41"/>
      <c r="AD54" s="41"/>
      <c r="AE54" s="31"/>
      <c r="AF54" s="31"/>
      <c r="AG54" s="31"/>
      <c r="AH54" s="42"/>
      <c r="AI54" s="42"/>
      <c r="AJ54" s="42"/>
      <c r="AK54" s="42"/>
      <c r="AL54" s="42"/>
      <c r="AM54" s="31"/>
      <c r="AN54" s="31"/>
      <c r="AO54" s="31"/>
      <c r="AP54" s="31"/>
      <c r="AQ54" s="31"/>
      <c r="AR54" s="31"/>
      <c r="AS54" s="31"/>
    </row>
    <row r="55" spans="1:45" x14ac:dyDescent="0.25">
      <c r="A55" s="31"/>
      <c r="B55" s="31"/>
      <c r="C55" s="31"/>
      <c r="D55" s="31"/>
      <c r="E55" s="31"/>
      <c r="F55" s="33"/>
      <c r="G55" s="34"/>
      <c r="H55" s="44"/>
      <c r="I55" s="44"/>
      <c r="J55" s="44"/>
      <c r="K55" s="44"/>
      <c r="L55" s="44"/>
      <c r="M55" s="45"/>
      <c r="N55" s="36"/>
      <c r="O55" s="36"/>
      <c r="P55" s="36"/>
      <c r="Q55" s="39"/>
      <c r="R55" s="31"/>
      <c r="S55" s="40"/>
      <c r="T55" s="31"/>
      <c r="U55" s="31"/>
      <c r="V55" s="31"/>
      <c r="W55" s="31"/>
      <c r="X55" s="31"/>
      <c r="Y55" s="31"/>
      <c r="Z55" s="41"/>
      <c r="AA55" s="42"/>
      <c r="AB55" s="40"/>
      <c r="AC55" s="41"/>
      <c r="AD55" s="41"/>
      <c r="AE55" s="31"/>
      <c r="AF55" s="31"/>
      <c r="AG55" s="31"/>
      <c r="AH55" s="42"/>
      <c r="AI55" s="42"/>
      <c r="AJ55" s="42"/>
      <c r="AK55" s="42"/>
      <c r="AL55" s="42"/>
      <c r="AM55" s="31"/>
      <c r="AN55" s="31"/>
      <c r="AO55" s="31"/>
      <c r="AP55" s="31"/>
      <c r="AQ55" s="31"/>
      <c r="AR55" s="31"/>
      <c r="AS55" s="31"/>
    </row>
    <row r="56" spans="1:45" x14ac:dyDescent="0.25">
      <c r="A56" s="31"/>
      <c r="B56" s="31"/>
      <c r="C56" s="31"/>
      <c r="D56" s="31"/>
      <c r="E56" s="31"/>
      <c r="F56" s="33"/>
      <c r="G56" s="34"/>
      <c r="H56" s="44"/>
      <c r="I56" s="44"/>
      <c r="J56" s="44"/>
      <c r="K56" s="44"/>
      <c r="L56" s="44"/>
      <c r="M56" s="45"/>
      <c r="N56" s="36"/>
      <c r="O56" s="36"/>
      <c r="P56" s="36"/>
      <c r="Q56" s="39"/>
      <c r="R56" s="31"/>
      <c r="S56" s="40"/>
      <c r="T56" s="31"/>
      <c r="U56" s="31"/>
      <c r="V56" s="31"/>
      <c r="W56" s="31"/>
      <c r="X56" s="31"/>
      <c r="Y56" s="31"/>
      <c r="Z56" s="41"/>
      <c r="AA56" s="42"/>
      <c r="AB56" s="40"/>
      <c r="AC56" s="41"/>
      <c r="AD56" s="41"/>
      <c r="AE56" s="31"/>
      <c r="AF56" s="31"/>
      <c r="AG56" s="31"/>
      <c r="AH56" s="42"/>
      <c r="AI56" s="42"/>
      <c r="AJ56" s="42"/>
      <c r="AK56" s="42"/>
      <c r="AL56" s="42"/>
      <c r="AM56" s="31"/>
      <c r="AN56" s="31"/>
      <c r="AO56" s="31"/>
      <c r="AP56" s="31"/>
      <c r="AQ56" s="31"/>
      <c r="AR56" s="31"/>
      <c r="AS56" s="31"/>
    </row>
    <row r="57" spans="1:45" x14ac:dyDescent="0.25">
      <c r="A57" s="31"/>
      <c r="B57" s="31"/>
      <c r="C57" s="31"/>
      <c r="D57" s="31"/>
      <c r="E57" s="31"/>
      <c r="F57" s="33"/>
      <c r="G57" s="34"/>
      <c r="H57" s="44"/>
      <c r="I57" s="44"/>
      <c r="J57" s="44"/>
      <c r="K57" s="44"/>
      <c r="L57" s="44"/>
      <c r="M57" s="45"/>
      <c r="N57" s="36"/>
      <c r="O57" s="36"/>
      <c r="P57" s="36"/>
      <c r="Q57" s="39"/>
      <c r="R57" s="31"/>
      <c r="S57" s="40"/>
      <c r="T57" s="31"/>
      <c r="U57" s="31"/>
      <c r="V57" s="31"/>
      <c r="W57" s="31"/>
      <c r="X57" s="31"/>
      <c r="Y57" s="31"/>
      <c r="Z57" s="41"/>
      <c r="AA57" s="42"/>
      <c r="AB57" s="40"/>
      <c r="AC57" s="41"/>
      <c r="AD57" s="41"/>
      <c r="AE57" s="31"/>
      <c r="AF57" s="31"/>
      <c r="AG57" s="31"/>
      <c r="AH57" s="42"/>
      <c r="AI57" s="42"/>
      <c r="AJ57" s="42"/>
      <c r="AK57" s="42"/>
      <c r="AL57" s="42"/>
      <c r="AM57" s="31"/>
      <c r="AN57" s="31"/>
      <c r="AO57" s="31"/>
      <c r="AP57" s="31"/>
      <c r="AQ57" s="31"/>
      <c r="AR57" s="31"/>
      <c r="AS57" s="31"/>
    </row>
    <row r="58" spans="1:45" x14ac:dyDescent="0.25">
      <c r="A58" s="31"/>
      <c r="B58" s="31"/>
      <c r="C58" s="31"/>
      <c r="D58" s="31"/>
      <c r="E58" s="31"/>
      <c r="F58" s="33"/>
      <c r="G58" s="34"/>
      <c r="H58" s="44"/>
      <c r="I58" s="44"/>
      <c r="J58" s="44"/>
      <c r="K58" s="44"/>
      <c r="L58" s="44"/>
      <c r="M58" s="45"/>
      <c r="N58" s="36"/>
      <c r="O58" s="36"/>
      <c r="P58" s="36"/>
      <c r="Q58" s="39"/>
      <c r="R58" s="31"/>
      <c r="S58" s="40"/>
      <c r="T58" s="31"/>
      <c r="U58" s="31"/>
      <c r="V58" s="31"/>
      <c r="W58" s="31"/>
      <c r="X58" s="31"/>
      <c r="Y58" s="31"/>
      <c r="Z58" s="41"/>
      <c r="AA58" s="42"/>
      <c r="AB58" s="40"/>
      <c r="AC58" s="41"/>
      <c r="AD58" s="41"/>
      <c r="AE58" s="31"/>
      <c r="AF58" s="31"/>
      <c r="AG58" s="31"/>
      <c r="AH58" s="42"/>
      <c r="AI58" s="42"/>
      <c r="AJ58" s="42"/>
      <c r="AK58" s="42"/>
      <c r="AL58" s="42"/>
      <c r="AM58" s="31"/>
      <c r="AN58" s="31"/>
      <c r="AO58" s="31"/>
      <c r="AP58" s="31"/>
      <c r="AQ58" s="31"/>
      <c r="AR58" s="31"/>
      <c r="AS58" s="31"/>
    </row>
    <row r="59" spans="1:45" x14ac:dyDescent="0.25">
      <c r="A59" s="31"/>
      <c r="B59" s="31"/>
      <c r="C59" s="31"/>
      <c r="D59" s="31"/>
      <c r="E59" s="31"/>
      <c r="F59" s="33"/>
      <c r="G59" s="34"/>
      <c r="H59" s="44"/>
      <c r="I59" s="44"/>
      <c r="J59" s="44"/>
      <c r="K59" s="44"/>
      <c r="L59" s="44"/>
      <c r="M59" s="45"/>
      <c r="N59" s="36"/>
      <c r="O59" s="36"/>
      <c r="P59" s="36"/>
      <c r="Q59" s="39"/>
      <c r="R59" s="31"/>
      <c r="S59" s="40"/>
      <c r="T59" s="31"/>
      <c r="U59" s="31"/>
      <c r="V59" s="31"/>
      <c r="W59" s="31"/>
      <c r="X59" s="31"/>
      <c r="Y59" s="31"/>
      <c r="Z59" s="41"/>
      <c r="AA59" s="42"/>
      <c r="AB59" s="40"/>
      <c r="AC59" s="41"/>
      <c r="AD59" s="41"/>
      <c r="AE59" s="31"/>
      <c r="AF59" s="31"/>
      <c r="AG59" s="31"/>
      <c r="AH59" s="42"/>
      <c r="AI59" s="42"/>
      <c r="AJ59" s="42"/>
      <c r="AK59" s="42"/>
      <c r="AL59" s="42"/>
      <c r="AM59" s="31"/>
      <c r="AN59" s="31"/>
      <c r="AO59" s="31"/>
      <c r="AP59" s="31"/>
      <c r="AQ59" s="31"/>
      <c r="AR59" s="31"/>
      <c r="AS59" s="31"/>
    </row>
    <row r="60" spans="1:45" x14ac:dyDescent="0.25">
      <c r="A60" s="31"/>
      <c r="B60" s="31"/>
      <c r="C60" s="31"/>
      <c r="D60" s="31"/>
      <c r="E60" s="31"/>
      <c r="F60" s="33"/>
      <c r="G60" s="34"/>
      <c r="H60" s="44"/>
      <c r="I60" s="44"/>
      <c r="J60" s="44"/>
      <c r="K60" s="44"/>
      <c r="L60" s="44"/>
      <c r="M60" s="45"/>
      <c r="N60" s="36"/>
      <c r="O60" s="36"/>
      <c r="P60" s="36"/>
      <c r="Q60" s="39"/>
      <c r="R60" s="31"/>
      <c r="S60" s="40"/>
      <c r="T60" s="31"/>
      <c r="U60" s="31"/>
      <c r="V60" s="31"/>
      <c r="W60" s="31"/>
      <c r="X60" s="31"/>
      <c r="Y60" s="31"/>
      <c r="Z60" s="41"/>
      <c r="AA60" s="42"/>
      <c r="AB60" s="40"/>
      <c r="AC60" s="41"/>
      <c r="AD60" s="41"/>
      <c r="AE60" s="31"/>
      <c r="AF60" s="31"/>
      <c r="AG60" s="31"/>
      <c r="AH60" s="42"/>
      <c r="AI60" s="42"/>
      <c r="AJ60" s="42"/>
      <c r="AK60" s="42"/>
      <c r="AL60" s="42"/>
      <c r="AM60" s="31"/>
      <c r="AN60" s="31"/>
      <c r="AO60" s="31"/>
      <c r="AP60" s="31"/>
      <c r="AQ60" s="31"/>
      <c r="AR60" s="31"/>
      <c r="AS60" s="31"/>
    </row>
    <row r="61" spans="1:45" x14ac:dyDescent="0.25">
      <c r="A61" s="31"/>
      <c r="B61" s="31"/>
      <c r="C61" s="31"/>
      <c r="D61" s="31"/>
      <c r="E61" s="31"/>
      <c r="F61" s="33"/>
      <c r="G61" s="34"/>
      <c r="H61" s="44"/>
      <c r="I61" s="44"/>
      <c r="J61" s="44"/>
      <c r="K61" s="44"/>
      <c r="L61" s="44"/>
      <c r="M61" s="45"/>
      <c r="N61" s="36"/>
      <c r="O61" s="36"/>
      <c r="P61" s="36"/>
      <c r="Q61" s="39"/>
      <c r="R61" s="31"/>
      <c r="S61" s="40"/>
      <c r="T61" s="31"/>
      <c r="U61" s="31"/>
      <c r="V61" s="31"/>
      <c r="W61" s="31"/>
      <c r="X61" s="31"/>
      <c r="Y61" s="31"/>
      <c r="Z61" s="41"/>
      <c r="AA61" s="42"/>
      <c r="AB61" s="40"/>
      <c r="AC61" s="41"/>
      <c r="AD61" s="41"/>
      <c r="AE61" s="31"/>
      <c r="AF61" s="31"/>
      <c r="AG61" s="31"/>
      <c r="AH61" s="42"/>
      <c r="AI61" s="42"/>
      <c r="AJ61" s="42"/>
      <c r="AK61" s="42"/>
      <c r="AL61" s="42"/>
      <c r="AM61" s="31"/>
      <c r="AN61" s="31"/>
      <c r="AO61" s="31"/>
      <c r="AP61" s="31"/>
      <c r="AQ61" s="31"/>
      <c r="AR61" s="31"/>
      <c r="AS61" s="31"/>
    </row>
    <row r="62" spans="1:45" x14ac:dyDescent="0.25">
      <c r="A62" s="31"/>
      <c r="B62" s="31"/>
      <c r="C62" s="31"/>
      <c r="D62" s="31"/>
      <c r="E62" s="31"/>
      <c r="F62" s="33"/>
      <c r="G62" s="34"/>
      <c r="H62" s="44"/>
      <c r="I62" s="44"/>
      <c r="J62" s="44"/>
      <c r="K62" s="44"/>
      <c r="L62" s="44"/>
      <c r="M62" s="45"/>
      <c r="N62" s="36"/>
      <c r="O62" s="36"/>
      <c r="P62" s="36"/>
      <c r="Q62" s="39"/>
      <c r="R62" s="31"/>
      <c r="S62" s="40"/>
      <c r="T62" s="31"/>
      <c r="U62" s="31"/>
      <c r="V62" s="31"/>
      <c r="W62" s="31"/>
      <c r="X62" s="31"/>
      <c r="Y62" s="31"/>
      <c r="Z62" s="41"/>
      <c r="AA62" s="42"/>
      <c r="AB62" s="40"/>
      <c r="AC62" s="41"/>
      <c r="AD62" s="41"/>
      <c r="AE62" s="31"/>
      <c r="AF62" s="31"/>
      <c r="AG62" s="31"/>
      <c r="AH62" s="42"/>
      <c r="AI62" s="42"/>
      <c r="AJ62" s="42"/>
      <c r="AK62" s="42"/>
      <c r="AL62" s="42"/>
      <c r="AM62" s="31"/>
      <c r="AN62" s="31"/>
      <c r="AO62" s="31"/>
      <c r="AP62" s="31"/>
      <c r="AQ62" s="31"/>
      <c r="AR62" s="31"/>
      <c r="AS62" s="31"/>
    </row>
    <row r="63" spans="1:45" x14ac:dyDescent="0.25">
      <c r="A63" s="31"/>
      <c r="B63" s="31"/>
      <c r="C63" s="31"/>
      <c r="D63" s="31"/>
      <c r="E63" s="31"/>
      <c r="F63" s="33"/>
      <c r="G63" s="34"/>
      <c r="H63" s="44"/>
      <c r="I63" s="44"/>
      <c r="J63" s="44"/>
      <c r="K63" s="44"/>
      <c r="L63" s="44"/>
      <c r="M63" s="45"/>
      <c r="N63" s="36"/>
      <c r="O63" s="36"/>
      <c r="P63" s="36"/>
      <c r="Q63" s="39"/>
      <c r="R63" s="31"/>
      <c r="S63" s="40"/>
      <c r="T63" s="31"/>
      <c r="U63" s="31"/>
      <c r="V63" s="31"/>
      <c r="W63" s="31"/>
      <c r="X63" s="31"/>
      <c r="Y63" s="31"/>
      <c r="Z63" s="41"/>
      <c r="AA63" s="42"/>
      <c r="AB63" s="40"/>
      <c r="AC63" s="41"/>
      <c r="AD63" s="41"/>
      <c r="AE63" s="31"/>
      <c r="AF63" s="31"/>
      <c r="AG63" s="31"/>
      <c r="AH63" s="42"/>
      <c r="AI63" s="42"/>
      <c r="AJ63" s="42"/>
      <c r="AK63" s="42"/>
      <c r="AL63" s="42"/>
      <c r="AM63" s="31"/>
      <c r="AN63" s="31"/>
      <c r="AO63" s="31"/>
      <c r="AP63" s="31"/>
      <c r="AQ63" s="31"/>
      <c r="AR63" s="31"/>
      <c r="AS63" s="31"/>
    </row>
    <row r="64" spans="1:45" x14ac:dyDescent="0.25">
      <c r="A64" s="31"/>
      <c r="B64" s="31"/>
      <c r="C64" s="31"/>
      <c r="D64" s="31"/>
      <c r="E64" s="31"/>
      <c r="F64" s="33"/>
      <c r="G64" s="34"/>
      <c r="H64" s="44"/>
      <c r="I64" s="44"/>
      <c r="J64" s="44"/>
      <c r="K64" s="44"/>
      <c r="L64" s="44"/>
      <c r="M64" s="45"/>
      <c r="N64" s="36"/>
      <c r="O64" s="36"/>
      <c r="P64" s="36"/>
      <c r="Q64" s="39"/>
      <c r="R64" s="31"/>
      <c r="S64" s="40"/>
      <c r="T64" s="31"/>
      <c r="U64" s="31"/>
      <c r="V64" s="31"/>
      <c r="W64" s="31"/>
      <c r="X64" s="31"/>
      <c r="Y64" s="31"/>
      <c r="Z64" s="41"/>
      <c r="AA64" s="42"/>
      <c r="AB64" s="40"/>
      <c r="AC64" s="41"/>
      <c r="AD64" s="41"/>
      <c r="AE64" s="31"/>
      <c r="AF64" s="31"/>
      <c r="AG64" s="31"/>
      <c r="AH64" s="42"/>
      <c r="AI64" s="42"/>
      <c r="AJ64" s="42"/>
      <c r="AK64" s="42"/>
      <c r="AL64" s="42"/>
      <c r="AM64" s="31"/>
      <c r="AN64" s="31"/>
      <c r="AO64" s="31"/>
      <c r="AP64" s="31"/>
      <c r="AQ64" s="31"/>
      <c r="AR64" s="31"/>
      <c r="AS64" s="31"/>
    </row>
    <row r="65" spans="1:45" x14ac:dyDescent="0.25">
      <c r="A65" s="31"/>
      <c r="B65" s="31"/>
      <c r="C65" s="31"/>
      <c r="D65" s="31"/>
      <c r="E65" s="31"/>
      <c r="F65" s="33"/>
      <c r="G65" s="34"/>
      <c r="H65" s="44"/>
      <c r="I65" s="44"/>
      <c r="J65" s="44"/>
      <c r="K65" s="44"/>
      <c r="L65" s="44"/>
      <c r="M65" s="45"/>
      <c r="N65" s="36"/>
      <c r="O65" s="36"/>
      <c r="P65" s="36"/>
      <c r="Q65" s="39"/>
      <c r="R65" s="31"/>
      <c r="S65" s="40"/>
      <c r="T65" s="31"/>
      <c r="U65" s="31"/>
      <c r="V65" s="31"/>
      <c r="W65" s="31"/>
      <c r="X65" s="31"/>
      <c r="Y65" s="31"/>
      <c r="Z65" s="41"/>
      <c r="AA65" s="42"/>
      <c r="AB65" s="40"/>
      <c r="AC65" s="41"/>
      <c r="AD65" s="41"/>
      <c r="AE65" s="31"/>
      <c r="AF65" s="31"/>
      <c r="AG65" s="31"/>
      <c r="AH65" s="42"/>
      <c r="AI65" s="42"/>
      <c r="AJ65" s="42"/>
      <c r="AK65" s="42"/>
      <c r="AL65" s="42"/>
      <c r="AM65" s="31"/>
      <c r="AN65" s="31"/>
      <c r="AO65" s="31"/>
      <c r="AP65" s="31"/>
      <c r="AQ65" s="31"/>
      <c r="AR65" s="31"/>
      <c r="AS65" s="31"/>
    </row>
    <row r="66" spans="1:45" x14ac:dyDescent="0.25">
      <c r="A66" s="31"/>
      <c r="B66" s="31"/>
      <c r="C66" s="31"/>
      <c r="D66" s="31"/>
      <c r="E66" s="31"/>
      <c r="F66" s="33"/>
      <c r="G66" s="34"/>
      <c r="H66" s="44"/>
      <c r="I66" s="44"/>
      <c r="J66" s="44"/>
      <c r="K66" s="44"/>
      <c r="L66" s="44"/>
      <c r="M66" s="45"/>
      <c r="N66" s="36"/>
      <c r="O66" s="36"/>
      <c r="P66" s="36"/>
      <c r="Q66" s="39"/>
      <c r="R66" s="31"/>
      <c r="S66" s="40"/>
      <c r="T66" s="31"/>
      <c r="U66" s="31"/>
      <c r="V66" s="31"/>
      <c r="W66" s="31"/>
      <c r="X66" s="31"/>
      <c r="Y66" s="31"/>
      <c r="Z66" s="41"/>
      <c r="AA66" s="42"/>
      <c r="AB66" s="40"/>
      <c r="AC66" s="41"/>
      <c r="AD66" s="41"/>
      <c r="AE66" s="31"/>
      <c r="AF66" s="31"/>
      <c r="AG66" s="31"/>
      <c r="AH66" s="42"/>
      <c r="AI66" s="42"/>
      <c r="AJ66" s="42"/>
      <c r="AK66" s="42"/>
      <c r="AL66" s="42"/>
      <c r="AM66" s="31"/>
      <c r="AN66" s="31"/>
      <c r="AO66" s="31"/>
      <c r="AP66" s="31"/>
      <c r="AQ66" s="31"/>
      <c r="AR66" s="31"/>
      <c r="AS66" s="31"/>
    </row>
    <row r="67" spans="1:45" x14ac:dyDescent="0.25">
      <c r="A67" s="31"/>
      <c r="B67" s="31"/>
      <c r="C67" s="31"/>
      <c r="D67" s="31"/>
      <c r="E67" s="31"/>
      <c r="F67" s="33"/>
      <c r="G67" s="34"/>
      <c r="H67" s="44"/>
      <c r="I67" s="44"/>
      <c r="J67" s="44"/>
      <c r="K67" s="44"/>
      <c r="L67" s="44"/>
      <c r="M67" s="45"/>
      <c r="N67" s="36"/>
      <c r="O67" s="36"/>
      <c r="P67" s="36"/>
      <c r="Q67" s="39"/>
      <c r="R67" s="31"/>
      <c r="S67" s="40"/>
      <c r="T67" s="31"/>
      <c r="U67" s="31"/>
      <c r="V67" s="31"/>
      <c r="W67" s="31"/>
      <c r="X67" s="31"/>
      <c r="Y67" s="31"/>
      <c r="Z67" s="41"/>
      <c r="AA67" s="42"/>
      <c r="AB67" s="40"/>
      <c r="AC67" s="41"/>
      <c r="AD67" s="41"/>
      <c r="AE67" s="31"/>
      <c r="AF67" s="31"/>
      <c r="AG67" s="31"/>
      <c r="AH67" s="42"/>
      <c r="AI67" s="42"/>
      <c r="AJ67" s="42"/>
      <c r="AK67" s="42"/>
      <c r="AL67" s="42"/>
      <c r="AM67" s="31"/>
      <c r="AN67" s="31"/>
      <c r="AO67" s="31"/>
      <c r="AP67" s="31"/>
      <c r="AQ67" s="31"/>
      <c r="AR67" s="31"/>
      <c r="AS67" s="31"/>
    </row>
    <row r="68" spans="1:45" x14ac:dyDescent="0.25">
      <c r="A68" s="31"/>
      <c r="B68" s="31"/>
      <c r="C68" s="31"/>
      <c r="D68" s="31"/>
      <c r="E68" s="31"/>
      <c r="F68" s="33"/>
      <c r="G68" s="34"/>
      <c r="H68" s="44"/>
      <c r="I68" s="44"/>
      <c r="J68" s="44"/>
      <c r="K68" s="44"/>
      <c r="L68" s="44"/>
      <c r="M68" s="45"/>
      <c r="N68" s="36"/>
      <c r="O68" s="36"/>
      <c r="P68" s="36"/>
      <c r="Q68" s="39"/>
      <c r="R68" s="31"/>
      <c r="S68" s="40"/>
      <c r="T68" s="31"/>
      <c r="U68" s="31"/>
      <c r="V68" s="31"/>
      <c r="W68" s="31"/>
      <c r="X68" s="31"/>
      <c r="Y68" s="31"/>
      <c r="Z68" s="41"/>
      <c r="AA68" s="42"/>
      <c r="AB68" s="40"/>
      <c r="AC68" s="41"/>
      <c r="AD68" s="41"/>
      <c r="AE68" s="31"/>
      <c r="AF68" s="31"/>
      <c r="AG68" s="31"/>
      <c r="AH68" s="42"/>
      <c r="AI68" s="42"/>
      <c r="AJ68" s="42"/>
      <c r="AK68" s="42"/>
      <c r="AL68" s="42"/>
      <c r="AM68" s="31"/>
      <c r="AN68" s="31"/>
      <c r="AO68" s="31"/>
      <c r="AP68" s="31"/>
      <c r="AQ68" s="31"/>
      <c r="AR68" s="31"/>
      <c r="AS68" s="31"/>
    </row>
    <row r="69" spans="1:45" x14ac:dyDescent="0.25">
      <c r="A69" s="31"/>
      <c r="B69" s="31"/>
      <c r="C69" s="31"/>
      <c r="D69" s="31"/>
      <c r="E69" s="31"/>
      <c r="F69" s="33"/>
      <c r="G69" s="34"/>
      <c r="H69" s="44"/>
      <c r="I69" s="44"/>
      <c r="J69" s="44"/>
      <c r="K69" s="44"/>
      <c r="L69" s="44"/>
      <c r="M69" s="45"/>
      <c r="N69" s="36"/>
      <c r="O69" s="36"/>
      <c r="P69" s="36"/>
      <c r="Q69" s="39"/>
      <c r="R69" s="31"/>
      <c r="S69" s="40"/>
      <c r="T69" s="31"/>
      <c r="U69" s="31"/>
      <c r="V69" s="31"/>
      <c r="W69" s="31"/>
      <c r="X69" s="31"/>
      <c r="Y69" s="31"/>
      <c r="Z69" s="41"/>
      <c r="AA69" s="42"/>
      <c r="AB69" s="40"/>
      <c r="AC69" s="41"/>
      <c r="AD69" s="41"/>
      <c r="AE69" s="31"/>
      <c r="AF69" s="31"/>
      <c r="AG69" s="31"/>
      <c r="AH69" s="42"/>
      <c r="AI69" s="42"/>
      <c r="AJ69" s="42"/>
      <c r="AK69" s="42"/>
      <c r="AL69" s="42"/>
      <c r="AM69" s="31"/>
      <c r="AN69" s="31"/>
      <c r="AO69" s="31"/>
      <c r="AP69" s="31"/>
      <c r="AQ69" s="31"/>
      <c r="AR69" s="31"/>
      <c r="AS69" s="31"/>
    </row>
    <row r="70" spans="1:45" x14ac:dyDescent="0.25">
      <c r="A70" s="31"/>
      <c r="B70" s="31"/>
      <c r="C70" s="31"/>
      <c r="D70" s="31"/>
      <c r="E70" s="31"/>
      <c r="F70" s="33"/>
      <c r="G70" s="34"/>
      <c r="H70" s="44"/>
      <c r="I70" s="44"/>
      <c r="J70" s="44"/>
      <c r="K70" s="44"/>
      <c r="L70" s="44"/>
      <c r="M70" s="45"/>
      <c r="N70" s="36"/>
      <c r="O70" s="36"/>
      <c r="P70" s="36"/>
      <c r="Q70" s="39"/>
      <c r="R70" s="31"/>
      <c r="S70" s="40"/>
      <c r="T70" s="31"/>
      <c r="U70" s="31"/>
      <c r="V70" s="31"/>
      <c r="W70" s="31"/>
      <c r="X70" s="31"/>
      <c r="Y70" s="31"/>
      <c r="Z70" s="41"/>
      <c r="AA70" s="42"/>
      <c r="AB70" s="40"/>
      <c r="AC70" s="41"/>
      <c r="AD70" s="41"/>
      <c r="AE70" s="31"/>
      <c r="AF70" s="31"/>
      <c r="AG70" s="31"/>
      <c r="AH70" s="42"/>
      <c r="AI70" s="42"/>
      <c r="AJ70" s="42"/>
      <c r="AK70" s="42"/>
      <c r="AL70" s="42"/>
      <c r="AM70" s="31"/>
      <c r="AN70" s="31"/>
      <c r="AO70" s="31"/>
      <c r="AP70" s="31"/>
      <c r="AQ70" s="31"/>
      <c r="AR70" s="31"/>
      <c r="AS70" s="31"/>
    </row>
    <row r="71" spans="1:45" x14ac:dyDescent="0.25">
      <c r="A71" s="31"/>
      <c r="B71" s="31"/>
      <c r="C71" s="31"/>
      <c r="D71" s="31"/>
      <c r="E71" s="31"/>
      <c r="F71" s="33"/>
      <c r="G71" s="34"/>
      <c r="H71" s="44"/>
      <c r="I71" s="44"/>
      <c r="J71" s="44"/>
      <c r="K71" s="44"/>
      <c r="L71" s="44"/>
      <c r="M71" s="45"/>
      <c r="N71" s="36"/>
      <c r="O71" s="36"/>
      <c r="P71" s="36"/>
      <c r="Q71" s="39"/>
      <c r="R71" s="31"/>
      <c r="S71" s="40"/>
      <c r="T71" s="31"/>
      <c r="U71" s="31"/>
      <c r="V71" s="31"/>
      <c r="W71" s="31"/>
      <c r="X71" s="31"/>
      <c r="Y71" s="31"/>
      <c r="Z71" s="41"/>
      <c r="AA71" s="42"/>
      <c r="AB71" s="40"/>
      <c r="AC71" s="41"/>
      <c r="AD71" s="41"/>
      <c r="AE71" s="31"/>
      <c r="AF71" s="31"/>
      <c r="AG71" s="31"/>
      <c r="AH71" s="42"/>
      <c r="AI71" s="42"/>
      <c r="AJ71" s="42"/>
      <c r="AK71" s="42"/>
      <c r="AL71" s="42"/>
      <c r="AM71" s="31"/>
      <c r="AN71" s="31"/>
      <c r="AO71" s="31"/>
      <c r="AP71" s="31"/>
      <c r="AQ71" s="31"/>
      <c r="AR71" s="31"/>
      <c r="AS71" s="31"/>
    </row>
    <row r="72" spans="1:45" x14ac:dyDescent="0.25">
      <c r="A72" s="31"/>
      <c r="B72" s="31"/>
      <c r="C72" s="31"/>
      <c r="D72" s="31"/>
      <c r="E72" s="31"/>
      <c r="F72" s="33"/>
      <c r="G72" s="34"/>
      <c r="H72" s="44"/>
      <c r="I72" s="44"/>
      <c r="J72" s="44"/>
      <c r="K72" s="44"/>
      <c r="L72" s="44"/>
      <c r="M72" s="45"/>
      <c r="N72" s="36"/>
      <c r="O72" s="36"/>
      <c r="P72" s="36"/>
      <c r="Q72" s="39"/>
      <c r="R72" s="31"/>
      <c r="S72" s="40"/>
      <c r="T72" s="31"/>
      <c r="U72" s="31"/>
      <c r="V72" s="31"/>
      <c r="W72" s="31"/>
      <c r="X72" s="31"/>
      <c r="Y72" s="31"/>
      <c r="Z72" s="41"/>
      <c r="AA72" s="42"/>
      <c r="AB72" s="40"/>
      <c r="AC72" s="41"/>
      <c r="AD72" s="41"/>
      <c r="AE72" s="31"/>
      <c r="AF72" s="31"/>
      <c r="AG72" s="31"/>
      <c r="AH72" s="42"/>
      <c r="AI72" s="42"/>
      <c r="AJ72" s="42"/>
      <c r="AK72" s="42"/>
      <c r="AL72" s="42"/>
      <c r="AM72" s="31"/>
      <c r="AN72" s="31"/>
      <c r="AO72" s="31"/>
      <c r="AP72" s="31"/>
      <c r="AQ72" s="31"/>
      <c r="AR72" s="31"/>
      <c r="AS72" s="31"/>
    </row>
    <row r="73" spans="1:45" x14ac:dyDescent="0.25">
      <c r="A73" s="31"/>
      <c r="B73" s="31"/>
      <c r="C73" s="31"/>
      <c r="D73" s="31"/>
      <c r="E73" s="31"/>
      <c r="F73" s="33"/>
      <c r="G73" s="34"/>
      <c r="H73" s="44"/>
      <c r="I73" s="44"/>
      <c r="J73" s="44"/>
      <c r="K73" s="44"/>
      <c r="L73" s="44"/>
      <c r="M73" s="45"/>
      <c r="N73" s="36"/>
      <c r="O73" s="36"/>
      <c r="P73" s="36"/>
      <c r="Q73" s="39"/>
      <c r="R73" s="31"/>
      <c r="S73" s="40"/>
      <c r="T73" s="31"/>
      <c r="U73" s="31"/>
      <c r="V73" s="31"/>
      <c r="W73" s="31"/>
      <c r="X73" s="31"/>
      <c r="Y73" s="31"/>
      <c r="Z73" s="41"/>
      <c r="AA73" s="42"/>
      <c r="AB73" s="40"/>
      <c r="AC73" s="41"/>
      <c r="AD73" s="41"/>
      <c r="AE73" s="31"/>
      <c r="AF73" s="31"/>
      <c r="AG73" s="31"/>
      <c r="AH73" s="42"/>
      <c r="AI73" s="42"/>
      <c r="AJ73" s="42"/>
      <c r="AK73" s="42"/>
      <c r="AL73" s="42"/>
      <c r="AM73" s="31"/>
      <c r="AN73" s="31"/>
      <c r="AO73" s="31"/>
      <c r="AP73" s="31"/>
      <c r="AQ73" s="31"/>
      <c r="AR73" s="31"/>
      <c r="AS73" s="31"/>
    </row>
    <row r="74" spans="1:45" x14ac:dyDescent="0.25">
      <c r="A74" s="31"/>
      <c r="B74" s="31"/>
      <c r="C74" s="31"/>
      <c r="D74" s="31"/>
      <c r="E74" s="31"/>
      <c r="F74" s="33"/>
      <c r="G74" s="34"/>
      <c r="H74" s="44"/>
      <c r="I74" s="44"/>
      <c r="J74" s="44"/>
      <c r="K74" s="44"/>
      <c r="L74" s="44"/>
      <c r="M74" s="45"/>
      <c r="N74" s="36"/>
      <c r="O74" s="36"/>
      <c r="P74" s="36"/>
      <c r="Q74" s="39"/>
      <c r="R74" s="31"/>
      <c r="S74" s="40"/>
      <c r="T74" s="31"/>
      <c r="U74" s="31"/>
      <c r="V74" s="31"/>
      <c r="W74" s="31"/>
      <c r="X74" s="31"/>
      <c r="Y74" s="31"/>
      <c r="Z74" s="41"/>
      <c r="AA74" s="42"/>
      <c r="AB74" s="40"/>
      <c r="AC74" s="41"/>
      <c r="AD74" s="41"/>
      <c r="AE74" s="31"/>
      <c r="AF74" s="31"/>
      <c r="AG74" s="31"/>
      <c r="AH74" s="42"/>
      <c r="AI74" s="42"/>
      <c r="AJ74" s="42"/>
      <c r="AK74" s="42"/>
      <c r="AL74" s="42"/>
      <c r="AM74" s="31"/>
      <c r="AN74" s="31"/>
      <c r="AO74" s="31"/>
      <c r="AP74" s="31"/>
      <c r="AQ74" s="31"/>
      <c r="AR74" s="31"/>
      <c r="AS74" s="31"/>
    </row>
    <row r="75" spans="1:45" x14ac:dyDescent="0.25">
      <c r="A75" s="31"/>
      <c r="B75" s="31"/>
      <c r="C75" s="31"/>
      <c r="D75" s="31"/>
      <c r="E75" s="31"/>
      <c r="F75" s="33"/>
      <c r="G75" s="34"/>
      <c r="H75" s="44"/>
      <c r="I75" s="44"/>
      <c r="J75" s="44"/>
      <c r="K75" s="44"/>
      <c r="L75" s="44"/>
      <c r="M75" s="45"/>
      <c r="N75" s="36"/>
      <c r="O75" s="36"/>
      <c r="P75" s="36"/>
      <c r="Q75" s="39"/>
      <c r="R75" s="31"/>
      <c r="S75" s="40"/>
      <c r="T75" s="31"/>
      <c r="U75" s="31"/>
      <c r="V75" s="31"/>
      <c r="W75" s="31"/>
      <c r="X75" s="31"/>
      <c r="Y75" s="31"/>
      <c r="Z75" s="41"/>
      <c r="AA75" s="42"/>
      <c r="AB75" s="40"/>
      <c r="AC75" s="41"/>
      <c r="AD75" s="41"/>
      <c r="AE75" s="31"/>
      <c r="AF75" s="31"/>
      <c r="AG75" s="31"/>
      <c r="AH75" s="42"/>
      <c r="AI75" s="42"/>
      <c r="AJ75" s="42"/>
      <c r="AK75" s="42"/>
      <c r="AL75" s="42"/>
      <c r="AM75" s="31"/>
      <c r="AN75" s="31"/>
      <c r="AO75" s="31"/>
      <c r="AP75" s="31"/>
      <c r="AQ75" s="31"/>
      <c r="AR75" s="31"/>
      <c r="AS75" s="31"/>
    </row>
    <row r="76" spans="1:45" x14ac:dyDescent="0.25">
      <c r="A76" s="31"/>
      <c r="B76" s="31"/>
      <c r="C76" s="31"/>
      <c r="D76" s="31"/>
      <c r="E76" s="31"/>
      <c r="F76" s="33"/>
      <c r="G76" s="34"/>
      <c r="H76" s="44"/>
      <c r="I76" s="44"/>
      <c r="J76" s="44"/>
      <c r="K76" s="44"/>
      <c r="L76" s="44"/>
      <c r="M76" s="45"/>
      <c r="N76" s="36"/>
      <c r="O76" s="36"/>
      <c r="P76" s="36"/>
      <c r="Q76" s="39"/>
      <c r="R76" s="31"/>
      <c r="S76" s="40"/>
      <c r="T76" s="31"/>
      <c r="U76" s="31"/>
      <c r="V76" s="31"/>
      <c r="W76" s="31"/>
      <c r="X76" s="31"/>
      <c r="Y76" s="31"/>
      <c r="Z76" s="41"/>
      <c r="AA76" s="42"/>
      <c r="AB76" s="40"/>
      <c r="AC76" s="41"/>
      <c r="AD76" s="41"/>
      <c r="AE76" s="31"/>
      <c r="AF76" s="31"/>
      <c r="AG76" s="31"/>
      <c r="AH76" s="42"/>
      <c r="AI76" s="42"/>
      <c r="AJ76" s="42"/>
      <c r="AK76" s="42"/>
      <c r="AL76" s="42"/>
      <c r="AM76" s="31"/>
      <c r="AN76" s="31"/>
      <c r="AO76" s="31"/>
      <c r="AP76" s="31"/>
      <c r="AQ76" s="31"/>
      <c r="AR76" s="31"/>
      <c r="AS76" s="31"/>
    </row>
    <row r="77" spans="1:45" x14ac:dyDescent="0.25">
      <c r="A77" s="31"/>
      <c r="B77" s="31"/>
      <c r="C77" s="31"/>
      <c r="D77" s="31"/>
      <c r="E77" s="31"/>
      <c r="F77" s="33"/>
      <c r="G77" s="34"/>
      <c r="H77" s="44"/>
      <c r="I77" s="44"/>
      <c r="J77" s="44"/>
      <c r="K77" s="44"/>
      <c r="L77" s="44"/>
      <c r="M77" s="45"/>
      <c r="N77" s="36"/>
      <c r="O77" s="36"/>
      <c r="P77" s="36"/>
      <c r="Q77" s="39"/>
      <c r="R77" s="31"/>
      <c r="S77" s="40"/>
      <c r="T77" s="31"/>
      <c r="U77" s="31"/>
      <c r="V77" s="31"/>
      <c r="W77" s="31"/>
      <c r="X77" s="31"/>
      <c r="Y77" s="31"/>
      <c r="Z77" s="41"/>
      <c r="AA77" s="42"/>
      <c r="AB77" s="40"/>
      <c r="AC77" s="41"/>
      <c r="AD77" s="41"/>
      <c r="AE77" s="31"/>
      <c r="AF77" s="31"/>
      <c r="AG77" s="31"/>
      <c r="AH77" s="42"/>
      <c r="AI77" s="42"/>
      <c r="AJ77" s="42"/>
      <c r="AK77" s="42"/>
      <c r="AL77" s="42"/>
      <c r="AM77" s="31"/>
      <c r="AN77" s="31"/>
      <c r="AO77" s="31"/>
      <c r="AP77" s="31"/>
      <c r="AQ77" s="31"/>
      <c r="AR77" s="31"/>
      <c r="AS77" s="31"/>
    </row>
    <row r="78" spans="1:45" x14ac:dyDescent="0.25">
      <c r="A78" s="31"/>
      <c r="B78" s="31"/>
      <c r="C78" s="31"/>
      <c r="D78" s="31"/>
      <c r="E78" s="31"/>
      <c r="F78" s="33"/>
      <c r="G78" s="34"/>
      <c r="H78" s="44"/>
      <c r="I78" s="44"/>
      <c r="J78" s="44"/>
      <c r="K78" s="44"/>
      <c r="L78" s="44"/>
      <c r="M78" s="45"/>
      <c r="N78" s="36"/>
      <c r="O78" s="36"/>
      <c r="P78" s="36"/>
      <c r="Q78" s="39"/>
      <c r="R78" s="31"/>
      <c r="S78" s="40"/>
      <c r="T78" s="31"/>
      <c r="U78" s="31"/>
      <c r="V78" s="31"/>
      <c r="W78" s="31"/>
      <c r="X78" s="31"/>
      <c r="Y78" s="31"/>
      <c r="Z78" s="41"/>
      <c r="AA78" s="42"/>
      <c r="AB78" s="31"/>
      <c r="AC78" s="41"/>
      <c r="AD78" s="41"/>
      <c r="AE78" s="31"/>
      <c r="AF78" s="31"/>
      <c r="AG78" s="31"/>
      <c r="AH78" s="42"/>
      <c r="AI78" s="42"/>
      <c r="AJ78" s="42"/>
      <c r="AK78" s="42"/>
      <c r="AL78" s="42"/>
      <c r="AM78" s="31"/>
      <c r="AN78" s="31"/>
      <c r="AO78" s="31"/>
      <c r="AP78" s="31"/>
      <c r="AQ78" s="31"/>
      <c r="AR78" s="31"/>
      <c r="AS78" s="31"/>
    </row>
    <row r="79" spans="1:45" x14ac:dyDescent="0.25">
      <c r="A79" s="31"/>
      <c r="B79" s="31"/>
      <c r="C79" s="31"/>
      <c r="D79" s="31"/>
      <c r="E79" s="31"/>
      <c r="F79" s="33"/>
      <c r="G79" s="34"/>
      <c r="H79" s="44"/>
      <c r="I79" s="44"/>
      <c r="J79" s="44"/>
      <c r="K79" s="44"/>
      <c r="L79" s="44"/>
      <c r="M79" s="45"/>
      <c r="N79" s="36"/>
      <c r="O79" s="36"/>
      <c r="P79" s="36"/>
      <c r="Q79" s="39"/>
      <c r="R79" s="31"/>
      <c r="S79" s="40"/>
      <c r="T79" s="31"/>
      <c r="U79" s="31"/>
      <c r="V79" s="31"/>
      <c r="W79" s="31"/>
      <c r="X79" s="31"/>
      <c r="Y79" s="31"/>
      <c r="Z79" s="41"/>
      <c r="AA79" s="42"/>
      <c r="AB79" s="31"/>
      <c r="AC79" s="41"/>
      <c r="AD79" s="41"/>
      <c r="AE79" s="31"/>
      <c r="AF79" s="31"/>
      <c r="AG79" s="31"/>
      <c r="AH79" s="42"/>
      <c r="AI79" s="42"/>
      <c r="AJ79" s="42"/>
      <c r="AK79" s="42"/>
      <c r="AL79" s="42"/>
      <c r="AM79" s="31"/>
      <c r="AN79" s="31"/>
      <c r="AO79" s="31"/>
      <c r="AP79" s="31"/>
      <c r="AQ79" s="31"/>
      <c r="AR79" s="31"/>
      <c r="AS79" s="31"/>
    </row>
    <row r="80" spans="1:45" x14ac:dyDescent="0.25">
      <c r="A80" s="31"/>
      <c r="B80" s="31"/>
      <c r="C80" s="31"/>
      <c r="D80" s="31"/>
      <c r="E80" s="31"/>
      <c r="F80" s="33"/>
      <c r="G80" s="34"/>
      <c r="H80" s="44"/>
      <c r="I80" s="44"/>
      <c r="J80" s="44"/>
      <c r="K80" s="44"/>
      <c r="L80" s="44"/>
      <c r="M80" s="45"/>
      <c r="N80" s="36"/>
      <c r="O80" s="36"/>
      <c r="P80" s="36"/>
      <c r="Q80" s="39"/>
      <c r="R80" s="31"/>
      <c r="S80" s="40"/>
      <c r="T80" s="31"/>
      <c r="U80" s="31"/>
      <c r="V80" s="31"/>
      <c r="W80" s="31"/>
      <c r="X80" s="31"/>
      <c r="Y80" s="31"/>
      <c r="Z80" s="41"/>
      <c r="AA80" s="42"/>
      <c r="AB80" s="31"/>
      <c r="AC80" s="41"/>
      <c r="AD80" s="41"/>
      <c r="AE80" s="31"/>
      <c r="AF80" s="31"/>
      <c r="AG80" s="31"/>
      <c r="AH80" s="42"/>
      <c r="AI80" s="42"/>
      <c r="AJ80" s="42"/>
      <c r="AK80" s="42"/>
      <c r="AL80" s="42"/>
      <c r="AM80" s="31"/>
      <c r="AN80" s="31"/>
      <c r="AO80" s="31"/>
      <c r="AP80" s="31"/>
      <c r="AQ80" s="31"/>
      <c r="AR80" s="31"/>
      <c r="AS80" s="31"/>
    </row>
    <row r="81" spans="1:45" x14ac:dyDescent="0.25">
      <c r="A81" s="31"/>
      <c r="B81" s="31"/>
      <c r="C81" s="31"/>
      <c r="D81" s="31"/>
      <c r="E81" s="31"/>
      <c r="F81" s="33"/>
      <c r="G81" s="34"/>
      <c r="H81" s="44"/>
      <c r="I81" s="44"/>
      <c r="J81" s="44"/>
      <c r="K81" s="44"/>
      <c r="L81" s="44"/>
      <c r="M81" s="45"/>
      <c r="N81" s="36"/>
      <c r="O81" s="36"/>
      <c r="P81" s="36"/>
      <c r="Q81" s="39"/>
      <c r="R81" s="31"/>
      <c r="S81" s="40"/>
      <c r="T81" s="31"/>
      <c r="U81" s="31"/>
      <c r="V81" s="31"/>
      <c r="W81" s="31"/>
      <c r="X81" s="31"/>
      <c r="Y81" s="31"/>
      <c r="Z81" s="41"/>
      <c r="AA81" s="42"/>
      <c r="AB81" s="31"/>
      <c r="AC81" s="41"/>
      <c r="AD81" s="41"/>
      <c r="AE81" s="31"/>
      <c r="AF81" s="31"/>
      <c r="AG81" s="31"/>
      <c r="AH81" s="42"/>
      <c r="AI81" s="42"/>
      <c r="AJ81" s="42"/>
      <c r="AK81" s="42"/>
      <c r="AL81" s="42"/>
      <c r="AM81" s="31"/>
      <c r="AN81" s="31"/>
      <c r="AO81" s="31"/>
      <c r="AP81" s="31"/>
      <c r="AQ81" s="31"/>
      <c r="AR81" s="31"/>
      <c r="AS81" s="31"/>
    </row>
    <row r="82" spans="1:45" x14ac:dyDescent="0.25">
      <c r="A82" s="31"/>
      <c r="B82" s="31"/>
      <c r="C82" s="31"/>
      <c r="D82" s="31"/>
      <c r="E82" s="31"/>
      <c r="F82" s="33"/>
      <c r="G82" s="34"/>
      <c r="H82" s="44"/>
      <c r="I82" s="44"/>
      <c r="J82" s="44"/>
      <c r="K82" s="44"/>
      <c r="L82" s="44"/>
      <c r="M82" s="45"/>
      <c r="N82" s="36"/>
      <c r="O82" s="36"/>
      <c r="P82" s="36"/>
      <c r="Q82" s="39"/>
      <c r="R82" s="31"/>
      <c r="S82" s="40"/>
      <c r="T82" s="31"/>
      <c r="U82" s="31"/>
      <c r="V82" s="31"/>
      <c r="W82" s="31"/>
      <c r="X82" s="31"/>
      <c r="Y82" s="31"/>
      <c r="Z82" s="41"/>
      <c r="AA82" s="42"/>
      <c r="AB82" s="31"/>
      <c r="AC82" s="41"/>
      <c r="AD82" s="41"/>
      <c r="AE82" s="31"/>
      <c r="AF82" s="31"/>
      <c r="AG82" s="31"/>
      <c r="AH82" s="42"/>
      <c r="AI82" s="42"/>
      <c r="AJ82" s="42"/>
      <c r="AK82" s="42"/>
      <c r="AL82" s="42"/>
      <c r="AM82" s="31"/>
      <c r="AN82" s="31"/>
      <c r="AO82" s="31"/>
      <c r="AP82" s="31"/>
      <c r="AQ82" s="31"/>
      <c r="AR82" s="31"/>
      <c r="AS82" s="31"/>
    </row>
    <row r="83" spans="1:45" x14ac:dyDescent="0.25">
      <c r="A83" s="31"/>
      <c r="B83" s="31"/>
      <c r="C83" s="31"/>
      <c r="D83" s="31"/>
      <c r="E83" s="31"/>
      <c r="F83" s="33"/>
      <c r="G83" s="34"/>
      <c r="H83" s="44"/>
      <c r="I83" s="44"/>
      <c r="J83" s="44"/>
      <c r="K83" s="44"/>
      <c r="L83" s="44"/>
      <c r="M83" s="45"/>
      <c r="N83" s="36"/>
      <c r="O83" s="36"/>
      <c r="P83" s="36"/>
      <c r="Q83" s="39"/>
      <c r="R83" s="31"/>
      <c r="S83" s="40"/>
      <c r="T83" s="31"/>
      <c r="U83" s="31"/>
      <c r="V83" s="31"/>
      <c r="W83" s="31"/>
      <c r="X83" s="31"/>
      <c r="Y83" s="31"/>
      <c r="Z83" s="41"/>
      <c r="AA83" s="42"/>
      <c r="AB83" s="31"/>
      <c r="AC83" s="41"/>
      <c r="AD83" s="41"/>
      <c r="AE83" s="31"/>
      <c r="AF83" s="31"/>
      <c r="AG83" s="31"/>
      <c r="AH83" s="42"/>
      <c r="AI83" s="42"/>
      <c r="AJ83" s="42"/>
      <c r="AK83" s="42"/>
      <c r="AL83" s="42"/>
      <c r="AM83" s="31"/>
      <c r="AN83" s="31"/>
      <c r="AO83" s="31"/>
      <c r="AP83" s="31"/>
      <c r="AQ83" s="31"/>
      <c r="AR83" s="31"/>
      <c r="AS83" s="31"/>
    </row>
    <row r="84" spans="1:45" x14ac:dyDescent="0.25">
      <c r="A84" s="31"/>
      <c r="B84" s="31"/>
      <c r="C84" s="31"/>
      <c r="D84" s="31"/>
      <c r="E84" s="31"/>
      <c r="F84" s="33"/>
      <c r="G84" s="34"/>
      <c r="H84" s="44"/>
      <c r="I84" s="44"/>
      <c r="J84" s="44"/>
      <c r="K84" s="44"/>
      <c r="L84" s="44"/>
      <c r="M84" s="45"/>
      <c r="N84" s="36"/>
      <c r="O84" s="36"/>
      <c r="P84" s="36"/>
      <c r="Q84" s="39"/>
      <c r="R84" s="31"/>
      <c r="S84" s="40"/>
      <c r="T84" s="31"/>
      <c r="U84" s="31"/>
      <c r="V84" s="31"/>
      <c r="W84" s="31"/>
      <c r="X84" s="31"/>
      <c r="Y84" s="31"/>
      <c r="Z84" s="41"/>
      <c r="AA84" s="42"/>
      <c r="AB84" s="31"/>
      <c r="AC84" s="41"/>
      <c r="AD84" s="41"/>
      <c r="AE84" s="31"/>
      <c r="AF84" s="31"/>
      <c r="AG84" s="31"/>
      <c r="AH84" s="42"/>
      <c r="AI84" s="42"/>
      <c r="AJ84" s="42"/>
      <c r="AK84" s="42"/>
      <c r="AL84" s="42"/>
      <c r="AM84" s="31"/>
      <c r="AN84" s="31"/>
      <c r="AO84" s="31"/>
      <c r="AP84" s="31"/>
      <c r="AQ84" s="31"/>
      <c r="AR84" s="31"/>
      <c r="AS84" s="31"/>
    </row>
    <row r="85" spans="1:45" x14ac:dyDescent="0.25">
      <c r="A85" s="31"/>
      <c r="B85" s="31"/>
      <c r="C85" s="31"/>
      <c r="D85" s="31"/>
      <c r="E85" s="31"/>
      <c r="F85" s="33"/>
      <c r="G85" s="34"/>
      <c r="H85" s="44"/>
      <c r="I85" s="44"/>
      <c r="J85" s="44"/>
      <c r="K85" s="44"/>
      <c r="L85" s="44"/>
      <c r="M85" s="45"/>
      <c r="N85" s="36"/>
      <c r="O85" s="36"/>
      <c r="P85" s="36"/>
      <c r="Q85" s="39"/>
      <c r="R85" s="31"/>
      <c r="S85" s="40"/>
      <c r="T85" s="31"/>
      <c r="U85" s="31"/>
      <c r="V85" s="31"/>
      <c r="W85" s="31"/>
      <c r="X85" s="31"/>
      <c r="Y85" s="31"/>
      <c r="Z85" s="41"/>
      <c r="AA85" s="42"/>
      <c r="AB85" s="31"/>
      <c r="AC85" s="41"/>
      <c r="AD85" s="41"/>
      <c r="AE85" s="31"/>
      <c r="AF85" s="31"/>
      <c r="AG85" s="31"/>
      <c r="AH85" s="42"/>
      <c r="AI85" s="42"/>
      <c r="AJ85" s="42"/>
      <c r="AK85" s="42"/>
      <c r="AL85" s="42"/>
      <c r="AM85" s="31"/>
      <c r="AN85" s="31"/>
      <c r="AO85" s="31"/>
      <c r="AP85" s="31"/>
      <c r="AQ85" s="31"/>
      <c r="AR85" s="31"/>
      <c r="AS85" s="31"/>
    </row>
    <row r="86" spans="1:45" x14ac:dyDescent="0.25">
      <c r="A86" s="31"/>
      <c r="B86" s="31"/>
      <c r="C86" s="31"/>
      <c r="D86" s="31"/>
      <c r="E86" s="31"/>
      <c r="F86" s="33"/>
      <c r="G86" s="34"/>
      <c r="H86" s="44"/>
      <c r="I86" s="44"/>
      <c r="J86" s="44"/>
      <c r="K86" s="44"/>
      <c r="L86" s="44"/>
      <c r="M86" s="45"/>
      <c r="N86" s="36"/>
      <c r="O86" s="36"/>
      <c r="P86" s="36"/>
      <c r="Q86" s="39"/>
      <c r="R86" s="31"/>
      <c r="S86" s="40"/>
      <c r="T86" s="31"/>
      <c r="U86" s="31"/>
      <c r="V86" s="31"/>
      <c r="W86" s="31"/>
      <c r="X86" s="31"/>
      <c r="Y86" s="31"/>
      <c r="Z86" s="41"/>
      <c r="AA86" s="42"/>
      <c r="AB86" s="31"/>
      <c r="AC86" s="41"/>
      <c r="AD86" s="41"/>
      <c r="AE86" s="31"/>
      <c r="AF86" s="31"/>
      <c r="AG86" s="31"/>
      <c r="AH86" s="42"/>
      <c r="AI86" s="42"/>
      <c r="AJ86" s="42"/>
      <c r="AK86" s="42"/>
      <c r="AL86" s="42"/>
      <c r="AM86" s="31"/>
      <c r="AN86" s="31"/>
      <c r="AO86" s="31"/>
      <c r="AP86" s="31"/>
      <c r="AQ86" s="31"/>
      <c r="AR86" s="31"/>
      <c r="AS86" s="31"/>
    </row>
    <row r="87" spans="1:45" x14ac:dyDescent="0.25">
      <c r="A87" s="31"/>
      <c r="B87" s="31"/>
      <c r="C87" s="31"/>
      <c r="D87" s="31"/>
      <c r="E87" s="31"/>
      <c r="F87" s="33"/>
      <c r="G87" s="34"/>
      <c r="H87" s="44"/>
      <c r="I87" s="44"/>
      <c r="J87" s="44"/>
      <c r="K87" s="44"/>
      <c r="L87" s="44"/>
      <c r="M87" s="45"/>
      <c r="N87" s="36"/>
      <c r="O87" s="36"/>
      <c r="P87" s="36"/>
      <c r="Q87" s="39"/>
      <c r="R87" s="31"/>
      <c r="S87" s="40"/>
      <c r="T87" s="31"/>
      <c r="U87" s="31"/>
      <c r="V87" s="31"/>
      <c r="W87" s="31"/>
      <c r="X87" s="31"/>
      <c r="Y87" s="31"/>
      <c r="Z87" s="41"/>
      <c r="AA87" s="42"/>
      <c r="AB87" s="31"/>
      <c r="AC87" s="41"/>
      <c r="AD87" s="41"/>
      <c r="AE87" s="31"/>
      <c r="AF87" s="31"/>
      <c r="AG87" s="31"/>
      <c r="AH87" s="42"/>
      <c r="AI87" s="42"/>
      <c r="AJ87" s="42"/>
      <c r="AK87" s="42"/>
      <c r="AL87" s="42"/>
      <c r="AM87" s="31"/>
      <c r="AN87" s="31"/>
      <c r="AO87" s="31"/>
      <c r="AP87" s="31"/>
      <c r="AQ87" s="31"/>
      <c r="AR87" s="31"/>
      <c r="AS87" s="31"/>
    </row>
    <row r="88" spans="1:45" x14ac:dyDescent="0.25">
      <c r="A88" s="31"/>
      <c r="B88" s="31"/>
      <c r="C88" s="31"/>
      <c r="D88" s="31"/>
      <c r="E88" s="31"/>
      <c r="F88" s="33"/>
      <c r="G88" s="34"/>
      <c r="H88" s="44"/>
      <c r="I88" s="44"/>
      <c r="J88" s="44"/>
      <c r="K88" s="44"/>
      <c r="L88" s="44"/>
      <c r="M88" s="45"/>
      <c r="N88" s="36"/>
      <c r="O88" s="36"/>
      <c r="P88" s="36"/>
      <c r="Q88" s="39"/>
      <c r="R88" s="31"/>
      <c r="S88" s="40"/>
      <c r="T88" s="31"/>
      <c r="U88" s="31"/>
      <c r="V88" s="31"/>
      <c r="W88" s="31"/>
      <c r="X88" s="31"/>
      <c r="Y88" s="31"/>
      <c r="Z88" s="41"/>
      <c r="AA88" s="42"/>
      <c r="AB88" s="31"/>
      <c r="AC88" s="41"/>
      <c r="AD88" s="41"/>
      <c r="AE88" s="31"/>
      <c r="AF88" s="31"/>
      <c r="AG88" s="31"/>
      <c r="AH88" s="42"/>
      <c r="AI88" s="42"/>
      <c r="AJ88" s="42"/>
      <c r="AK88" s="42"/>
      <c r="AL88" s="42"/>
      <c r="AM88" s="31"/>
      <c r="AN88" s="31"/>
      <c r="AO88" s="31"/>
      <c r="AP88" s="31"/>
      <c r="AQ88" s="31"/>
      <c r="AR88" s="31"/>
      <c r="AS88" s="31"/>
    </row>
    <row r="89" spans="1:45" x14ac:dyDescent="0.25">
      <c r="A89" s="31"/>
      <c r="B89" s="31"/>
      <c r="C89" s="31"/>
      <c r="D89" s="31"/>
      <c r="E89" s="31"/>
      <c r="F89" s="33"/>
      <c r="G89" s="34"/>
      <c r="H89" s="44"/>
      <c r="I89" s="44"/>
      <c r="J89" s="44"/>
      <c r="K89" s="44"/>
      <c r="L89" s="44"/>
      <c r="M89" s="45"/>
      <c r="N89" s="36"/>
      <c r="O89" s="36"/>
      <c r="P89" s="36"/>
      <c r="Q89" s="39"/>
      <c r="R89" s="31"/>
      <c r="S89" s="40"/>
      <c r="T89" s="31"/>
      <c r="U89" s="31"/>
      <c r="V89" s="31"/>
      <c r="W89" s="31"/>
      <c r="X89" s="31"/>
      <c r="Y89" s="31"/>
      <c r="Z89" s="41"/>
      <c r="AA89" s="42"/>
      <c r="AB89" s="31"/>
      <c r="AC89" s="41"/>
      <c r="AD89" s="41"/>
      <c r="AE89" s="31"/>
      <c r="AF89" s="31"/>
      <c r="AG89" s="31"/>
      <c r="AH89" s="42"/>
      <c r="AI89" s="42"/>
      <c r="AJ89" s="42"/>
      <c r="AK89" s="42"/>
      <c r="AL89" s="42"/>
      <c r="AM89" s="31"/>
      <c r="AN89" s="31"/>
      <c r="AO89" s="31"/>
      <c r="AP89" s="31"/>
      <c r="AQ89" s="31"/>
      <c r="AR89" s="31"/>
      <c r="AS89" s="31"/>
    </row>
    <row r="90" spans="1:45" x14ac:dyDescent="0.25">
      <c r="A90" s="31"/>
      <c r="B90" s="31"/>
      <c r="C90" s="31"/>
      <c r="D90" s="31"/>
      <c r="E90" s="31"/>
      <c r="F90" s="33"/>
      <c r="G90" s="34"/>
      <c r="H90" s="44"/>
      <c r="I90" s="44"/>
      <c r="J90" s="44"/>
      <c r="K90" s="44"/>
      <c r="L90" s="44"/>
      <c r="M90" s="45"/>
      <c r="N90" s="36"/>
      <c r="O90" s="36"/>
      <c r="P90" s="36"/>
      <c r="Q90" s="39"/>
      <c r="R90" s="31"/>
      <c r="S90" s="40"/>
      <c r="T90" s="31"/>
      <c r="U90" s="31"/>
      <c r="V90" s="31"/>
      <c r="W90" s="31"/>
      <c r="X90" s="31"/>
      <c r="Y90" s="31"/>
      <c r="Z90" s="41"/>
      <c r="AA90" s="42"/>
      <c r="AB90" s="31"/>
      <c r="AC90" s="41"/>
      <c r="AD90" s="41"/>
      <c r="AE90" s="31"/>
      <c r="AF90" s="31"/>
      <c r="AG90" s="31"/>
      <c r="AH90" s="42"/>
      <c r="AI90" s="42"/>
      <c r="AJ90" s="42"/>
      <c r="AK90" s="42"/>
      <c r="AL90" s="42"/>
      <c r="AM90" s="31"/>
      <c r="AN90" s="31"/>
      <c r="AO90" s="31"/>
      <c r="AP90" s="31"/>
      <c r="AQ90" s="31"/>
      <c r="AR90" s="31"/>
      <c r="AS90" s="31"/>
    </row>
    <row r="91" spans="1:45" x14ac:dyDescent="0.25">
      <c r="A91" s="31"/>
      <c r="B91" s="31"/>
      <c r="C91" s="31"/>
      <c r="D91" s="31"/>
      <c r="E91" s="31"/>
      <c r="F91" s="33"/>
      <c r="G91" s="34"/>
      <c r="H91" s="44"/>
      <c r="I91" s="44"/>
      <c r="J91" s="44"/>
      <c r="K91" s="44"/>
      <c r="L91" s="44"/>
      <c r="M91" s="45"/>
      <c r="N91" s="36"/>
      <c r="O91" s="36"/>
      <c r="P91" s="36"/>
      <c r="Q91" s="39"/>
      <c r="R91" s="31"/>
      <c r="S91" s="40"/>
      <c r="T91" s="31"/>
      <c r="U91" s="31"/>
      <c r="V91" s="31"/>
      <c r="W91" s="31"/>
      <c r="X91" s="31"/>
      <c r="Y91" s="31"/>
      <c r="Z91" s="41"/>
      <c r="AA91" s="42"/>
      <c r="AB91" s="31"/>
      <c r="AC91" s="41"/>
      <c r="AD91" s="41"/>
      <c r="AE91" s="31"/>
      <c r="AF91" s="31"/>
      <c r="AG91" s="31"/>
      <c r="AH91" s="42"/>
      <c r="AI91" s="42"/>
      <c r="AJ91" s="42"/>
      <c r="AK91" s="42"/>
      <c r="AL91" s="42"/>
      <c r="AM91" s="31"/>
      <c r="AN91" s="31"/>
      <c r="AO91" s="31"/>
      <c r="AP91" s="31"/>
      <c r="AQ91" s="31"/>
      <c r="AR91" s="31"/>
      <c r="AS91" s="31"/>
    </row>
    <row r="92" spans="1:45" x14ac:dyDescent="0.25">
      <c r="A92" s="31"/>
      <c r="B92" s="31"/>
      <c r="C92" s="31"/>
      <c r="D92" s="31"/>
      <c r="E92" s="31"/>
      <c r="F92" s="33"/>
      <c r="G92" s="34"/>
      <c r="H92" s="44"/>
      <c r="I92" s="44"/>
      <c r="J92" s="44"/>
      <c r="K92" s="44"/>
      <c r="L92" s="44"/>
      <c r="M92" s="45"/>
      <c r="N92" s="36"/>
      <c r="O92" s="36"/>
      <c r="P92" s="36"/>
      <c r="Q92" s="39"/>
      <c r="R92" s="31"/>
      <c r="S92" s="40"/>
      <c r="T92" s="31"/>
      <c r="U92" s="31"/>
      <c r="V92" s="31"/>
      <c r="W92" s="31"/>
      <c r="X92" s="31"/>
      <c r="Y92" s="31"/>
      <c r="Z92" s="41"/>
      <c r="AA92" s="42"/>
      <c r="AB92" s="31"/>
      <c r="AC92" s="41"/>
      <c r="AD92" s="41"/>
      <c r="AE92" s="31"/>
      <c r="AF92" s="31"/>
      <c r="AG92" s="31"/>
      <c r="AH92" s="42"/>
      <c r="AI92" s="42"/>
      <c r="AJ92" s="42"/>
      <c r="AK92" s="42"/>
      <c r="AL92" s="42"/>
      <c r="AM92" s="31"/>
      <c r="AN92" s="31"/>
      <c r="AO92" s="31"/>
      <c r="AP92" s="31"/>
      <c r="AQ92" s="31"/>
      <c r="AR92" s="31"/>
      <c r="AS92" s="31"/>
    </row>
    <row r="93" spans="1:45" x14ac:dyDescent="0.25">
      <c r="A93" s="31"/>
      <c r="B93" s="31"/>
      <c r="C93" s="31"/>
      <c r="D93" s="31"/>
      <c r="E93" s="31"/>
      <c r="F93" s="33"/>
      <c r="G93" s="34"/>
      <c r="H93" s="44"/>
      <c r="I93" s="44"/>
      <c r="J93" s="44"/>
      <c r="K93" s="44"/>
      <c r="L93" s="44"/>
      <c r="M93" s="45"/>
      <c r="N93" s="36"/>
      <c r="O93" s="36"/>
      <c r="P93" s="36"/>
      <c r="Q93" s="39"/>
      <c r="R93" s="31"/>
      <c r="S93" s="40"/>
      <c r="T93" s="31"/>
      <c r="U93" s="31"/>
      <c r="V93" s="31"/>
      <c r="W93" s="31"/>
      <c r="X93" s="31"/>
      <c r="Y93" s="31"/>
      <c r="Z93" s="41"/>
      <c r="AA93" s="42"/>
      <c r="AB93" s="31"/>
      <c r="AC93" s="41"/>
      <c r="AD93" s="41"/>
      <c r="AE93" s="31"/>
      <c r="AF93" s="31"/>
      <c r="AG93" s="31"/>
      <c r="AH93" s="42"/>
      <c r="AI93" s="42"/>
      <c r="AJ93" s="42"/>
      <c r="AK93" s="42"/>
      <c r="AL93" s="42"/>
      <c r="AM93" s="31"/>
      <c r="AN93" s="31"/>
      <c r="AO93" s="31"/>
      <c r="AP93" s="31"/>
      <c r="AQ93" s="31"/>
      <c r="AR93" s="31"/>
      <c r="AS93" s="31"/>
    </row>
    <row r="94" spans="1:45" x14ac:dyDescent="0.25">
      <c r="A94" s="31"/>
      <c r="B94" s="31"/>
      <c r="C94" s="31"/>
      <c r="D94" s="31"/>
      <c r="E94" s="31"/>
      <c r="F94" s="33"/>
      <c r="G94" s="34"/>
      <c r="H94" s="44"/>
      <c r="I94" s="44"/>
      <c r="J94" s="44"/>
      <c r="K94" s="44"/>
      <c r="L94" s="44"/>
      <c r="M94" s="45"/>
      <c r="N94" s="36"/>
      <c r="O94" s="36"/>
      <c r="P94" s="36"/>
      <c r="Q94" s="39"/>
      <c r="R94" s="31"/>
      <c r="S94" s="40"/>
      <c r="T94" s="31"/>
      <c r="U94" s="31"/>
      <c r="V94" s="31"/>
      <c r="W94" s="31"/>
      <c r="X94" s="31"/>
      <c r="Y94" s="31"/>
      <c r="Z94" s="41"/>
      <c r="AA94" s="42"/>
      <c r="AB94" s="31"/>
      <c r="AC94" s="41"/>
      <c r="AD94" s="41"/>
      <c r="AE94" s="31"/>
      <c r="AF94" s="31"/>
      <c r="AG94" s="31"/>
      <c r="AH94" s="42"/>
      <c r="AI94" s="42"/>
      <c r="AJ94" s="42"/>
      <c r="AK94" s="42"/>
      <c r="AL94" s="42"/>
      <c r="AM94" s="31"/>
      <c r="AN94" s="31"/>
      <c r="AO94" s="31"/>
      <c r="AP94" s="31"/>
      <c r="AQ94" s="31"/>
      <c r="AR94" s="31"/>
      <c r="AS94" s="31"/>
    </row>
    <row r="95" spans="1:45" x14ac:dyDescent="0.25">
      <c r="A95" s="31"/>
      <c r="B95" s="31"/>
      <c r="C95" s="31"/>
      <c r="D95" s="31"/>
      <c r="E95" s="31"/>
      <c r="F95" s="33"/>
      <c r="G95" s="34"/>
      <c r="H95" s="44"/>
      <c r="I95" s="44"/>
      <c r="J95" s="44"/>
      <c r="K95" s="44"/>
      <c r="L95" s="44"/>
      <c r="M95" s="45"/>
      <c r="N95" s="36"/>
      <c r="O95" s="36"/>
      <c r="P95" s="36"/>
      <c r="Q95" s="39"/>
      <c r="R95" s="31"/>
      <c r="S95" s="40"/>
      <c r="T95" s="31"/>
      <c r="U95" s="31"/>
      <c r="V95" s="31"/>
      <c r="W95" s="31"/>
      <c r="X95" s="31"/>
      <c r="Y95" s="31"/>
      <c r="Z95" s="41"/>
      <c r="AA95" s="42"/>
      <c r="AB95" s="31"/>
      <c r="AC95" s="41"/>
      <c r="AD95" s="41"/>
      <c r="AE95" s="31"/>
      <c r="AF95" s="31"/>
      <c r="AG95" s="31"/>
      <c r="AH95" s="42"/>
      <c r="AI95" s="42"/>
      <c r="AJ95" s="42"/>
      <c r="AK95" s="42"/>
      <c r="AL95" s="42"/>
      <c r="AM95" s="31"/>
      <c r="AN95" s="31"/>
      <c r="AO95" s="31"/>
      <c r="AP95" s="31"/>
      <c r="AQ95" s="31"/>
      <c r="AR95" s="31"/>
      <c r="AS95" s="31"/>
    </row>
    <row r="96" spans="1:45" x14ac:dyDescent="0.25">
      <c r="A96" s="31"/>
      <c r="B96" s="31"/>
      <c r="C96" s="31"/>
      <c r="D96" s="31"/>
      <c r="E96" s="31"/>
      <c r="F96" s="33"/>
      <c r="G96" s="34"/>
      <c r="H96" s="44"/>
      <c r="I96" s="44"/>
      <c r="J96" s="44"/>
      <c r="K96" s="44"/>
      <c r="L96" s="44"/>
      <c r="M96" s="45"/>
      <c r="N96" s="36"/>
      <c r="O96" s="36"/>
      <c r="P96" s="36"/>
      <c r="Q96" s="39"/>
      <c r="R96" s="31"/>
      <c r="S96" s="40"/>
      <c r="T96" s="31"/>
      <c r="U96" s="31"/>
      <c r="V96" s="31"/>
      <c r="W96" s="31"/>
      <c r="X96" s="31"/>
      <c r="Y96" s="31"/>
      <c r="Z96" s="41"/>
      <c r="AA96" s="42"/>
      <c r="AB96" s="31"/>
      <c r="AC96" s="41"/>
      <c r="AD96" s="41"/>
      <c r="AE96" s="31"/>
      <c r="AF96" s="31"/>
      <c r="AG96" s="31"/>
      <c r="AH96" s="42"/>
      <c r="AI96" s="42"/>
      <c r="AJ96" s="42"/>
      <c r="AK96" s="42"/>
      <c r="AL96" s="42"/>
      <c r="AM96" s="31"/>
      <c r="AN96" s="31"/>
      <c r="AO96" s="31"/>
      <c r="AP96" s="31"/>
      <c r="AQ96" s="31"/>
      <c r="AR96" s="31"/>
      <c r="AS96" s="31"/>
    </row>
    <row r="97" spans="1:45" x14ac:dyDescent="0.25">
      <c r="A97" s="31"/>
      <c r="B97" s="31"/>
      <c r="C97" s="31"/>
      <c r="D97" s="31"/>
      <c r="E97" s="31"/>
      <c r="F97" s="33"/>
      <c r="G97" s="34"/>
      <c r="H97" s="44"/>
      <c r="I97" s="44"/>
      <c r="J97" s="44"/>
      <c r="K97" s="44"/>
      <c r="L97" s="44"/>
      <c r="M97" s="45"/>
      <c r="N97" s="36"/>
      <c r="O97" s="36"/>
      <c r="P97" s="36"/>
      <c r="Q97" s="39"/>
      <c r="R97" s="31"/>
      <c r="S97" s="40"/>
      <c r="T97" s="31"/>
      <c r="U97" s="31"/>
      <c r="V97" s="31"/>
      <c r="W97" s="31"/>
      <c r="X97" s="31"/>
      <c r="Y97" s="31"/>
      <c r="Z97" s="41"/>
      <c r="AA97" s="42"/>
      <c r="AB97" s="31"/>
      <c r="AC97" s="41"/>
      <c r="AD97" s="41"/>
      <c r="AE97" s="31"/>
      <c r="AF97" s="31"/>
      <c r="AG97" s="31"/>
      <c r="AH97" s="42"/>
      <c r="AI97" s="42"/>
      <c r="AJ97" s="42"/>
      <c r="AK97" s="42"/>
      <c r="AL97" s="42"/>
      <c r="AM97" s="31"/>
      <c r="AN97" s="31"/>
      <c r="AO97" s="31"/>
      <c r="AP97" s="31"/>
      <c r="AQ97" s="31"/>
      <c r="AR97" s="31"/>
      <c r="AS97" s="31"/>
    </row>
    <row r="98" spans="1:45" x14ac:dyDescent="0.25">
      <c r="A98" s="31"/>
      <c r="B98" s="31"/>
      <c r="C98" s="31"/>
      <c r="D98" s="31"/>
      <c r="E98" s="31"/>
      <c r="F98" s="33"/>
      <c r="G98" s="34"/>
      <c r="H98" s="44"/>
      <c r="I98" s="44"/>
      <c r="J98" s="44"/>
      <c r="K98" s="44"/>
      <c r="L98" s="44"/>
      <c r="M98" s="45"/>
      <c r="N98" s="36"/>
      <c r="O98" s="36"/>
      <c r="P98" s="36"/>
      <c r="Q98" s="39"/>
      <c r="R98" s="31"/>
      <c r="S98" s="40"/>
      <c r="T98" s="31"/>
      <c r="U98" s="31"/>
      <c r="V98" s="31"/>
      <c r="W98" s="31"/>
      <c r="X98" s="31"/>
      <c r="Y98" s="31"/>
      <c r="Z98" s="41"/>
      <c r="AA98" s="42"/>
      <c r="AB98" s="31"/>
      <c r="AC98" s="41"/>
      <c r="AD98" s="41"/>
      <c r="AE98" s="31"/>
      <c r="AF98" s="31"/>
      <c r="AG98" s="31"/>
      <c r="AH98" s="42"/>
      <c r="AI98" s="42"/>
      <c r="AJ98" s="42"/>
      <c r="AK98" s="42"/>
      <c r="AL98" s="42"/>
      <c r="AM98" s="31"/>
      <c r="AN98" s="31"/>
      <c r="AO98" s="31"/>
      <c r="AP98" s="31"/>
      <c r="AQ98" s="31"/>
      <c r="AR98" s="31"/>
      <c r="AS98" s="31"/>
    </row>
    <row r="99" spans="1:45" x14ac:dyDescent="0.25">
      <c r="A99" s="31"/>
      <c r="B99" s="31"/>
      <c r="C99" s="31"/>
      <c r="D99" s="31"/>
      <c r="E99" s="31"/>
      <c r="F99" s="33"/>
      <c r="G99" s="34"/>
      <c r="H99" s="44"/>
      <c r="I99" s="44"/>
      <c r="J99" s="44"/>
      <c r="K99" s="44"/>
      <c r="L99" s="44"/>
      <c r="M99" s="45"/>
      <c r="N99" s="36"/>
      <c r="O99" s="36"/>
      <c r="P99" s="36"/>
      <c r="Q99" s="39"/>
      <c r="R99" s="31"/>
      <c r="S99" s="40"/>
      <c r="T99" s="31"/>
      <c r="U99" s="31"/>
      <c r="V99" s="31"/>
      <c r="W99" s="31"/>
      <c r="X99" s="31"/>
      <c r="Y99" s="31"/>
      <c r="Z99" s="41"/>
      <c r="AA99" s="42"/>
      <c r="AB99" s="31"/>
      <c r="AC99" s="41"/>
      <c r="AD99" s="41"/>
      <c r="AE99" s="31"/>
      <c r="AF99" s="31"/>
      <c r="AG99" s="31"/>
      <c r="AH99" s="42"/>
      <c r="AI99" s="42"/>
      <c r="AJ99" s="42"/>
      <c r="AK99" s="42"/>
      <c r="AL99" s="42"/>
      <c r="AM99" s="31"/>
      <c r="AN99" s="31"/>
      <c r="AO99" s="31"/>
      <c r="AP99" s="31"/>
      <c r="AQ99" s="31"/>
      <c r="AR99" s="31"/>
      <c r="AS99" s="31"/>
    </row>
    <row r="100" spans="1:45" x14ac:dyDescent="0.25">
      <c r="A100" s="31"/>
      <c r="B100" s="31"/>
      <c r="C100" s="31"/>
      <c r="D100" s="31"/>
      <c r="E100" s="31"/>
      <c r="F100" s="33"/>
      <c r="G100" s="34"/>
      <c r="H100" s="44"/>
      <c r="I100" s="44"/>
      <c r="J100" s="44"/>
      <c r="K100" s="44"/>
      <c r="L100" s="44"/>
      <c r="M100" s="45"/>
      <c r="N100" s="36"/>
      <c r="O100" s="36"/>
      <c r="P100" s="36"/>
      <c r="Q100" s="39"/>
      <c r="R100" s="31"/>
      <c r="S100" s="40"/>
      <c r="T100" s="31"/>
      <c r="U100" s="31"/>
      <c r="V100" s="31"/>
      <c r="W100" s="31"/>
      <c r="X100" s="31"/>
      <c r="Y100" s="31"/>
      <c r="Z100" s="41"/>
      <c r="AA100" s="42"/>
      <c r="AB100" s="31"/>
      <c r="AC100" s="41"/>
      <c r="AD100" s="41"/>
      <c r="AE100" s="31"/>
      <c r="AF100" s="31"/>
      <c r="AG100" s="31"/>
      <c r="AH100" s="42"/>
      <c r="AI100" s="42"/>
      <c r="AJ100" s="42"/>
      <c r="AK100" s="42"/>
      <c r="AL100" s="42"/>
      <c r="AM100" s="31"/>
      <c r="AN100" s="31"/>
      <c r="AO100" s="31"/>
      <c r="AP100" s="31"/>
      <c r="AQ100" s="31"/>
      <c r="AR100" s="31"/>
      <c r="AS100" s="31"/>
    </row>
    <row r="101" spans="1:45" x14ac:dyDescent="0.25">
      <c r="A101" s="31"/>
      <c r="B101" s="31"/>
      <c r="C101" s="31"/>
      <c r="D101" s="31"/>
      <c r="E101" s="31"/>
      <c r="F101" s="33"/>
      <c r="G101" s="34"/>
      <c r="H101" s="44"/>
      <c r="I101" s="44"/>
      <c r="J101" s="44"/>
      <c r="K101" s="44"/>
      <c r="L101" s="44"/>
      <c r="M101" s="45"/>
      <c r="N101" s="36"/>
      <c r="O101" s="36"/>
      <c r="P101" s="36"/>
      <c r="Q101" s="39"/>
      <c r="R101" s="31"/>
      <c r="S101" s="40"/>
      <c r="T101" s="31"/>
      <c r="U101" s="31"/>
      <c r="V101" s="31"/>
      <c r="W101" s="31"/>
      <c r="X101" s="31"/>
      <c r="Y101" s="31"/>
      <c r="Z101" s="41"/>
      <c r="AA101" s="42"/>
      <c r="AB101" s="31"/>
      <c r="AC101" s="41"/>
      <c r="AD101" s="41"/>
      <c r="AE101" s="31"/>
      <c r="AF101" s="31"/>
      <c r="AG101" s="31"/>
      <c r="AH101" s="42"/>
      <c r="AI101" s="42"/>
      <c r="AJ101" s="42"/>
      <c r="AK101" s="42"/>
      <c r="AL101" s="42"/>
      <c r="AM101" s="31"/>
      <c r="AN101" s="31"/>
      <c r="AO101" s="31"/>
      <c r="AP101" s="31"/>
      <c r="AQ101" s="31"/>
      <c r="AR101" s="31"/>
      <c r="AS101" s="31"/>
    </row>
    <row r="102" spans="1:45" x14ac:dyDescent="0.25">
      <c r="A102" s="31"/>
      <c r="B102" s="31"/>
      <c r="C102" s="31"/>
      <c r="D102" s="31"/>
      <c r="E102" s="31"/>
      <c r="F102" s="33"/>
      <c r="G102" s="34"/>
      <c r="H102" s="44"/>
      <c r="I102" s="44"/>
      <c r="J102" s="44"/>
      <c r="K102" s="44"/>
      <c r="L102" s="44"/>
      <c r="M102" s="45"/>
      <c r="N102" s="36"/>
      <c r="O102" s="36"/>
      <c r="P102" s="36"/>
      <c r="Q102" s="39"/>
      <c r="R102" s="31"/>
      <c r="S102" s="40"/>
      <c r="T102" s="31"/>
      <c r="U102" s="31"/>
      <c r="V102" s="31"/>
      <c r="W102" s="31"/>
      <c r="X102" s="31"/>
      <c r="Y102" s="31"/>
      <c r="Z102" s="41"/>
      <c r="AA102" s="42"/>
      <c r="AB102" s="31"/>
      <c r="AC102" s="41"/>
      <c r="AD102" s="41"/>
      <c r="AE102" s="31"/>
      <c r="AF102" s="31"/>
      <c r="AG102" s="31"/>
      <c r="AH102" s="42"/>
      <c r="AI102" s="42"/>
      <c r="AJ102" s="42"/>
      <c r="AK102" s="42"/>
      <c r="AL102" s="42"/>
      <c r="AM102" s="31"/>
      <c r="AN102" s="31"/>
      <c r="AO102" s="31"/>
      <c r="AP102" s="31"/>
      <c r="AQ102" s="31"/>
      <c r="AR102" s="31"/>
      <c r="AS102" s="31"/>
    </row>
    <row r="103" spans="1:45" x14ac:dyDescent="0.25">
      <c r="A103" s="31"/>
      <c r="B103" s="31"/>
      <c r="C103" s="31"/>
      <c r="D103" s="31"/>
      <c r="E103" s="31"/>
      <c r="F103" s="33"/>
      <c r="G103" s="34"/>
      <c r="H103" s="44"/>
      <c r="I103" s="44"/>
      <c r="J103" s="44"/>
      <c r="K103" s="44"/>
      <c r="L103" s="44"/>
      <c r="M103" s="45"/>
      <c r="N103" s="36"/>
      <c r="O103" s="36"/>
      <c r="P103" s="36"/>
      <c r="Q103" s="39"/>
      <c r="R103" s="31"/>
      <c r="S103" s="40"/>
      <c r="T103" s="31"/>
      <c r="U103" s="31"/>
      <c r="V103" s="31"/>
      <c r="W103" s="31"/>
      <c r="X103" s="31"/>
      <c r="Y103" s="31"/>
      <c r="Z103" s="41"/>
      <c r="AA103" s="42"/>
      <c r="AB103" s="31"/>
      <c r="AC103" s="41"/>
      <c r="AD103" s="41"/>
      <c r="AE103" s="31"/>
      <c r="AF103" s="31"/>
      <c r="AG103" s="31"/>
      <c r="AH103" s="42"/>
      <c r="AI103" s="42"/>
      <c r="AJ103" s="42"/>
      <c r="AK103" s="42"/>
      <c r="AL103" s="42"/>
      <c r="AM103" s="31"/>
      <c r="AN103" s="31"/>
      <c r="AO103" s="31"/>
      <c r="AP103" s="31"/>
      <c r="AQ103" s="31"/>
      <c r="AR103" s="31"/>
      <c r="AS103" s="31"/>
    </row>
    <row r="104" spans="1:45" x14ac:dyDescent="0.25">
      <c r="A104" s="31"/>
      <c r="B104" s="31"/>
      <c r="C104" s="31"/>
      <c r="D104" s="31"/>
      <c r="E104" s="31"/>
      <c r="F104" s="33"/>
      <c r="G104" s="34"/>
      <c r="H104" s="44"/>
      <c r="I104" s="44"/>
      <c r="J104" s="44"/>
      <c r="K104" s="44"/>
      <c r="L104" s="44"/>
      <c r="M104" s="45"/>
      <c r="N104" s="36"/>
      <c r="O104" s="36"/>
      <c r="P104" s="36"/>
      <c r="Q104" s="39"/>
      <c r="R104" s="31"/>
      <c r="S104" s="40"/>
      <c r="T104" s="31"/>
      <c r="U104" s="31"/>
      <c r="V104" s="31"/>
      <c r="W104" s="31"/>
      <c r="X104" s="31"/>
      <c r="Y104" s="31"/>
      <c r="Z104" s="41"/>
      <c r="AA104" s="42"/>
      <c r="AB104" s="31"/>
      <c r="AC104" s="41"/>
      <c r="AD104" s="41"/>
      <c r="AE104" s="31"/>
      <c r="AF104" s="31"/>
      <c r="AG104" s="31"/>
      <c r="AH104" s="42"/>
      <c r="AI104" s="42"/>
      <c r="AJ104" s="42"/>
      <c r="AK104" s="42"/>
      <c r="AL104" s="42"/>
      <c r="AM104" s="31"/>
      <c r="AN104" s="31"/>
      <c r="AO104" s="31"/>
      <c r="AP104" s="31"/>
      <c r="AQ104" s="31"/>
      <c r="AR104" s="31"/>
      <c r="AS104" s="31"/>
    </row>
    <row r="105" spans="1:45" x14ac:dyDescent="0.25">
      <c r="A105" s="31"/>
      <c r="B105" s="31"/>
      <c r="C105" s="31"/>
      <c r="D105" s="31"/>
      <c r="E105" s="31"/>
      <c r="F105" s="33"/>
      <c r="G105" s="34"/>
      <c r="H105" s="44"/>
      <c r="I105" s="44"/>
      <c r="J105" s="44"/>
      <c r="K105" s="44"/>
      <c r="L105" s="44"/>
      <c r="M105" s="45"/>
      <c r="N105" s="36"/>
      <c r="O105" s="36"/>
      <c r="P105" s="36"/>
      <c r="Q105" s="39"/>
      <c r="R105" s="31"/>
      <c r="S105" s="40"/>
      <c r="T105" s="31"/>
      <c r="U105" s="31"/>
      <c r="V105" s="31"/>
      <c r="W105" s="31"/>
      <c r="X105" s="31"/>
      <c r="Y105" s="31"/>
      <c r="Z105" s="41"/>
      <c r="AA105" s="42"/>
      <c r="AB105" s="31"/>
      <c r="AC105" s="41"/>
      <c r="AD105" s="41"/>
      <c r="AE105" s="31"/>
      <c r="AF105" s="31"/>
      <c r="AG105" s="31"/>
      <c r="AH105" s="42"/>
      <c r="AI105" s="42"/>
      <c r="AJ105" s="42"/>
      <c r="AK105" s="42"/>
      <c r="AL105" s="42"/>
      <c r="AM105" s="31"/>
      <c r="AN105" s="31"/>
      <c r="AO105" s="31"/>
      <c r="AP105" s="31"/>
      <c r="AQ105" s="31"/>
      <c r="AR105" s="31"/>
      <c r="AS105" s="31"/>
    </row>
    <row r="106" spans="1:45" x14ac:dyDescent="0.25">
      <c r="A106" s="31"/>
      <c r="B106" s="31"/>
      <c r="C106" s="31"/>
      <c r="D106" s="31"/>
      <c r="E106" s="31"/>
      <c r="F106" s="33"/>
      <c r="G106" s="34"/>
      <c r="H106" s="44"/>
      <c r="I106" s="44"/>
      <c r="J106" s="44"/>
      <c r="K106" s="44"/>
      <c r="L106" s="44"/>
      <c r="M106" s="45"/>
      <c r="N106" s="36"/>
      <c r="O106" s="36"/>
      <c r="P106" s="36"/>
      <c r="Q106" s="39"/>
      <c r="R106" s="31"/>
      <c r="S106" s="40"/>
      <c r="T106" s="31"/>
      <c r="U106" s="31"/>
      <c r="V106" s="31"/>
      <c r="W106" s="31"/>
      <c r="X106" s="31"/>
      <c r="Y106" s="31"/>
      <c r="Z106" s="41"/>
      <c r="AA106" s="42"/>
      <c r="AB106" s="31"/>
      <c r="AC106" s="41"/>
      <c r="AD106" s="41"/>
      <c r="AE106" s="31"/>
      <c r="AF106" s="31"/>
      <c r="AG106" s="31"/>
      <c r="AH106" s="42"/>
      <c r="AI106" s="42"/>
      <c r="AJ106" s="42"/>
      <c r="AK106" s="42"/>
      <c r="AL106" s="42"/>
      <c r="AM106" s="31"/>
      <c r="AN106" s="31"/>
      <c r="AO106" s="31"/>
      <c r="AP106" s="31"/>
      <c r="AQ106" s="31"/>
      <c r="AR106" s="31"/>
      <c r="AS106" s="31"/>
    </row>
    <row r="107" spans="1:45" x14ac:dyDescent="0.25">
      <c r="A107" s="31"/>
      <c r="B107" s="31"/>
      <c r="C107" s="31"/>
      <c r="D107" s="31"/>
      <c r="E107" s="31"/>
      <c r="F107" s="33"/>
      <c r="G107" s="34"/>
      <c r="H107" s="44"/>
      <c r="I107" s="44"/>
      <c r="J107" s="44"/>
      <c r="K107" s="44"/>
      <c r="L107" s="44"/>
      <c r="M107" s="45"/>
      <c r="N107" s="36"/>
      <c r="O107" s="36"/>
      <c r="P107" s="36"/>
      <c r="Q107" s="39"/>
      <c r="R107" s="31"/>
      <c r="S107" s="40"/>
      <c r="T107" s="31"/>
      <c r="U107" s="31"/>
      <c r="V107" s="31"/>
      <c r="W107" s="31"/>
      <c r="X107" s="31"/>
      <c r="Y107" s="31"/>
      <c r="Z107" s="41"/>
      <c r="AA107" s="42"/>
      <c r="AB107" s="31"/>
      <c r="AC107" s="41"/>
      <c r="AD107" s="41"/>
      <c r="AE107" s="31"/>
      <c r="AF107" s="31"/>
      <c r="AG107" s="31"/>
      <c r="AH107" s="42"/>
      <c r="AI107" s="42"/>
      <c r="AJ107" s="42"/>
      <c r="AK107" s="42"/>
      <c r="AL107" s="42"/>
      <c r="AM107" s="31"/>
      <c r="AN107" s="31"/>
      <c r="AO107" s="31"/>
      <c r="AP107" s="31"/>
      <c r="AQ107" s="31"/>
      <c r="AR107" s="31"/>
      <c r="AS107" s="31"/>
    </row>
    <row r="108" spans="1:45" x14ac:dyDescent="0.25">
      <c r="A108" s="31"/>
      <c r="B108" s="31"/>
      <c r="C108" s="31"/>
      <c r="D108" s="31"/>
      <c r="E108" s="31"/>
      <c r="F108" s="33"/>
      <c r="G108" s="34"/>
      <c r="H108" s="44"/>
      <c r="I108" s="44"/>
      <c r="J108" s="44"/>
      <c r="K108" s="44"/>
      <c r="L108" s="44"/>
      <c r="M108" s="45"/>
      <c r="N108" s="36"/>
      <c r="O108" s="36"/>
      <c r="P108" s="36"/>
      <c r="Q108" s="39"/>
      <c r="R108" s="31"/>
      <c r="S108" s="40"/>
      <c r="T108" s="31"/>
      <c r="U108" s="31"/>
      <c r="V108" s="31"/>
      <c r="W108" s="31"/>
      <c r="X108" s="31"/>
      <c r="Y108" s="31"/>
      <c r="Z108" s="41"/>
      <c r="AA108" s="42"/>
      <c r="AB108" s="31"/>
      <c r="AC108" s="41"/>
      <c r="AD108" s="41"/>
      <c r="AE108" s="31"/>
      <c r="AF108" s="31"/>
      <c r="AG108" s="31"/>
      <c r="AH108" s="42"/>
      <c r="AI108" s="42"/>
      <c r="AJ108" s="42"/>
      <c r="AK108" s="42"/>
      <c r="AL108" s="42"/>
      <c r="AM108" s="31"/>
      <c r="AN108" s="31"/>
      <c r="AO108" s="31"/>
      <c r="AP108" s="31"/>
      <c r="AQ108" s="31"/>
      <c r="AR108" s="31"/>
      <c r="AS108" s="31"/>
    </row>
    <row r="109" spans="1:45" x14ac:dyDescent="0.25">
      <c r="A109" s="31"/>
      <c r="B109" s="31"/>
      <c r="C109" s="31"/>
      <c r="D109" s="31"/>
      <c r="E109" s="31"/>
      <c r="F109" s="33"/>
      <c r="G109" s="34"/>
      <c r="H109" s="44"/>
      <c r="I109" s="44"/>
      <c r="J109" s="44"/>
      <c r="K109" s="44"/>
      <c r="L109" s="44"/>
      <c r="M109" s="45"/>
      <c r="N109" s="36"/>
      <c r="O109" s="36"/>
      <c r="P109" s="36"/>
      <c r="Q109" s="39"/>
      <c r="R109" s="31"/>
      <c r="S109" s="40"/>
      <c r="T109" s="31"/>
      <c r="U109" s="31"/>
      <c r="V109" s="31"/>
      <c r="W109" s="31"/>
      <c r="X109" s="31"/>
      <c r="Y109" s="31"/>
      <c r="Z109" s="41"/>
      <c r="AA109" s="42"/>
      <c r="AB109" s="31"/>
      <c r="AC109" s="41"/>
      <c r="AD109" s="41"/>
      <c r="AE109" s="31"/>
      <c r="AF109" s="31"/>
      <c r="AG109" s="31"/>
      <c r="AH109" s="42"/>
      <c r="AI109" s="42"/>
      <c r="AJ109" s="42"/>
      <c r="AK109" s="42"/>
      <c r="AL109" s="42"/>
      <c r="AM109" s="31"/>
      <c r="AN109" s="31"/>
      <c r="AO109" s="31"/>
      <c r="AP109" s="31"/>
      <c r="AQ109" s="31"/>
      <c r="AR109" s="31"/>
      <c r="AS109" s="31"/>
    </row>
    <row r="110" spans="1:45" x14ac:dyDescent="0.25">
      <c r="A110" s="31"/>
      <c r="B110" s="31"/>
      <c r="C110" s="31"/>
      <c r="D110" s="31"/>
      <c r="E110" s="31"/>
      <c r="F110" s="33"/>
      <c r="G110" s="34"/>
      <c r="H110" s="44"/>
      <c r="I110" s="44"/>
      <c r="J110" s="44"/>
      <c r="K110" s="44"/>
      <c r="L110" s="44"/>
      <c r="M110" s="45"/>
      <c r="N110" s="36"/>
      <c r="O110" s="36"/>
      <c r="P110" s="36"/>
      <c r="Q110" s="39"/>
      <c r="R110" s="31"/>
      <c r="S110" s="40"/>
      <c r="T110" s="31"/>
      <c r="U110" s="31"/>
      <c r="V110" s="31"/>
      <c r="W110" s="31"/>
      <c r="X110" s="31"/>
      <c r="Y110" s="31"/>
      <c r="Z110" s="41"/>
      <c r="AA110" s="42"/>
      <c r="AB110" s="31"/>
      <c r="AC110" s="41"/>
      <c r="AD110" s="41"/>
      <c r="AE110" s="31"/>
      <c r="AF110" s="31"/>
      <c r="AG110" s="31"/>
      <c r="AH110" s="42"/>
      <c r="AI110" s="42"/>
      <c r="AJ110" s="42"/>
      <c r="AK110" s="42"/>
      <c r="AL110" s="42"/>
      <c r="AM110" s="31"/>
      <c r="AN110" s="31"/>
      <c r="AO110" s="31"/>
      <c r="AP110" s="31"/>
      <c r="AQ110" s="31"/>
      <c r="AR110" s="31"/>
      <c r="AS110" s="31"/>
    </row>
    <row r="111" spans="1:45" x14ac:dyDescent="0.25">
      <c r="A111" s="31"/>
      <c r="B111" s="31"/>
      <c r="C111" s="31"/>
      <c r="D111" s="31"/>
      <c r="E111" s="31"/>
      <c r="F111" s="33"/>
      <c r="G111" s="34"/>
      <c r="H111" s="44"/>
      <c r="I111" s="44"/>
      <c r="J111" s="44"/>
      <c r="K111" s="44"/>
      <c r="L111" s="44"/>
      <c r="M111" s="45"/>
      <c r="N111" s="36"/>
      <c r="O111" s="36"/>
      <c r="P111" s="36"/>
      <c r="Q111" s="39"/>
      <c r="R111" s="31"/>
      <c r="S111" s="40"/>
      <c r="T111" s="31"/>
      <c r="U111" s="31"/>
      <c r="V111" s="31"/>
      <c r="W111" s="31"/>
      <c r="X111" s="31"/>
      <c r="Y111" s="31"/>
      <c r="Z111" s="41"/>
      <c r="AA111" s="42"/>
      <c r="AB111" s="31"/>
      <c r="AC111" s="41"/>
      <c r="AD111" s="41"/>
      <c r="AE111" s="31"/>
      <c r="AF111" s="31"/>
      <c r="AG111" s="31"/>
      <c r="AH111" s="42"/>
      <c r="AI111" s="42"/>
      <c r="AJ111" s="42"/>
      <c r="AK111" s="42"/>
      <c r="AL111" s="42"/>
      <c r="AM111" s="31"/>
      <c r="AN111" s="31"/>
      <c r="AO111" s="31"/>
      <c r="AP111" s="31"/>
      <c r="AQ111" s="31"/>
      <c r="AR111" s="31"/>
      <c r="AS111" s="31"/>
    </row>
    <row r="112" spans="1:45" x14ac:dyDescent="0.25">
      <c r="A112" s="31"/>
      <c r="B112" s="31"/>
      <c r="C112" s="31"/>
      <c r="D112" s="31"/>
      <c r="E112" s="31"/>
      <c r="F112" s="33"/>
      <c r="G112" s="34"/>
      <c r="H112" s="44"/>
      <c r="I112" s="44"/>
      <c r="J112" s="44"/>
      <c r="K112" s="44"/>
      <c r="L112" s="44"/>
      <c r="M112" s="45"/>
      <c r="N112" s="36"/>
      <c r="O112" s="36"/>
      <c r="P112" s="36"/>
      <c r="Q112" s="39"/>
      <c r="R112" s="31"/>
      <c r="S112" s="40"/>
      <c r="T112" s="31"/>
      <c r="U112" s="31"/>
      <c r="V112" s="31"/>
      <c r="W112" s="31"/>
      <c r="X112" s="31"/>
      <c r="Y112" s="31"/>
      <c r="Z112" s="41"/>
      <c r="AA112" s="42"/>
      <c r="AB112" s="31"/>
      <c r="AC112" s="41"/>
      <c r="AD112" s="41"/>
      <c r="AE112" s="31"/>
      <c r="AF112" s="31"/>
      <c r="AG112" s="31"/>
      <c r="AH112" s="42"/>
      <c r="AI112" s="42"/>
      <c r="AJ112" s="42"/>
      <c r="AK112" s="42"/>
      <c r="AL112" s="42"/>
      <c r="AM112" s="31"/>
      <c r="AN112" s="31"/>
      <c r="AO112" s="31"/>
      <c r="AP112" s="31"/>
      <c r="AQ112" s="31"/>
      <c r="AR112" s="31"/>
      <c r="AS112" s="31"/>
    </row>
    <row r="113" spans="1:45" x14ac:dyDescent="0.25">
      <c r="A113" s="31"/>
      <c r="B113" s="31"/>
      <c r="C113" s="31"/>
      <c r="D113" s="31"/>
      <c r="E113" s="31"/>
      <c r="F113" s="33"/>
      <c r="G113" s="34"/>
      <c r="H113" s="44"/>
      <c r="I113" s="44"/>
      <c r="J113" s="44"/>
      <c r="K113" s="44"/>
      <c r="L113" s="44"/>
      <c r="M113" s="45"/>
      <c r="N113" s="36"/>
      <c r="O113" s="36"/>
      <c r="P113" s="36"/>
      <c r="Q113" s="39"/>
      <c r="R113" s="31"/>
      <c r="S113" s="40"/>
      <c r="T113" s="31"/>
      <c r="U113" s="31"/>
      <c r="V113" s="31"/>
      <c r="W113" s="31"/>
      <c r="X113" s="31"/>
      <c r="Y113" s="31"/>
      <c r="Z113" s="41"/>
      <c r="AA113" s="42"/>
      <c r="AB113" s="31"/>
      <c r="AC113" s="41"/>
      <c r="AD113" s="41"/>
      <c r="AE113" s="31"/>
      <c r="AF113" s="31"/>
      <c r="AG113" s="31"/>
      <c r="AH113" s="42"/>
      <c r="AI113" s="42"/>
      <c r="AJ113" s="42"/>
      <c r="AK113" s="42"/>
      <c r="AL113" s="42"/>
      <c r="AM113" s="31"/>
      <c r="AN113" s="31"/>
      <c r="AO113" s="31"/>
      <c r="AP113" s="31"/>
      <c r="AQ113" s="31"/>
      <c r="AR113" s="31"/>
      <c r="AS113" s="31"/>
    </row>
    <row r="114" spans="1:45" x14ac:dyDescent="0.25">
      <c r="A114" s="31"/>
      <c r="B114" s="41"/>
      <c r="C114" s="41"/>
      <c r="D114" s="41"/>
      <c r="E114" s="41"/>
      <c r="F114" s="49"/>
      <c r="G114" s="50"/>
      <c r="H114" s="44"/>
      <c r="I114" s="44"/>
      <c r="J114" s="44"/>
      <c r="K114" s="44"/>
      <c r="L114" s="44"/>
      <c r="M114" s="45"/>
      <c r="N114" s="36"/>
      <c r="O114" s="36"/>
      <c r="P114" s="36"/>
      <c r="Q114" s="39"/>
      <c r="R114" s="41"/>
      <c r="S114" s="51"/>
      <c r="T114" s="31"/>
      <c r="U114" s="41"/>
      <c r="V114" s="41"/>
      <c r="W114" s="41"/>
      <c r="X114" s="41"/>
      <c r="Y114" s="41"/>
      <c r="Z114" s="41"/>
      <c r="AA114" s="52"/>
      <c r="AB114" s="41"/>
      <c r="AC114" s="41"/>
      <c r="AD114" s="41"/>
      <c r="AE114" s="41"/>
      <c r="AF114" s="31"/>
      <c r="AG114" s="31"/>
      <c r="AH114" s="42"/>
      <c r="AI114" s="42"/>
      <c r="AJ114" s="42"/>
      <c r="AK114" s="42"/>
      <c r="AL114" s="52"/>
      <c r="AM114" s="41"/>
      <c r="AN114" s="41"/>
      <c r="AO114" s="41"/>
      <c r="AP114" s="41"/>
      <c r="AQ114" s="41"/>
      <c r="AR114" s="41"/>
      <c r="AS114" s="41"/>
    </row>
    <row r="115" spans="1:45" x14ac:dyDescent="0.25">
      <c r="A115" s="31"/>
      <c r="B115" s="41"/>
      <c r="C115" s="41"/>
      <c r="D115" s="41"/>
      <c r="E115" s="41"/>
      <c r="F115" s="49"/>
      <c r="G115" s="50"/>
      <c r="H115" s="44"/>
      <c r="I115" s="44"/>
      <c r="J115" s="44"/>
      <c r="K115" s="44"/>
      <c r="L115" s="44"/>
      <c r="M115" s="45"/>
      <c r="N115" s="36"/>
      <c r="O115" s="36"/>
      <c r="P115" s="36"/>
      <c r="Q115" s="39"/>
      <c r="R115" s="41"/>
      <c r="S115" s="51"/>
      <c r="T115" s="31"/>
      <c r="U115" s="41"/>
      <c r="V115" s="41"/>
      <c r="W115" s="41"/>
      <c r="X115" s="41"/>
      <c r="Y115" s="41"/>
      <c r="Z115" s="41"/>
      <c r="AA115" s="52"/>
      <c r="AB115" s="41"/>
      <c r="AC115" s="41"/>
      <c r="AD115" s="41"/>
      <c r="AE115" s="41"/>
      <c r="AF115" s="31"/>
      <c r="AG115" s="31"/>
      <c r="AH115" s="42"/>
      <c r="AI115" s="42"/>
      <c r="AJ115" s="42"/>
      <c r="AK115" s="42"/>
      <c r="AL115" s="52"/>
      <c r="AM115" s="41"/>
      <c r="AN115" s="41"/>
      <c r="AO115" s="41"/>
      <c r="AP115" s="41"/>
      <c r="AQ115" s="41"/>
      <c r="AR115" s="41"/>
      <c r="AS115" s="41"/>
    </row>
    <row r="116" spans="1:45" x14ac:dyDescent="0.25">
      <c r="A116" s="31"/>
      <c r="B116" s="41"/>
      <c r="C116" s="41"/>
      <c r="D116" s="41"/>
      <c r="E116" s="41"/>
      <c r="F116" s="49"/>
      <c r="G116" s="50"/>
      <c r="H116" s="44"/>
      <c r="I116" s="44"/>
      <c r="J116" s="44"/>
      <c r="K116" s="44"/>
      <c r="L116" s="44"/>
      <c r="M116" s="45"/>
      <c r="N116" s="36"/>
      <c r="O116" s="36"/>
      <c r="P116" s="36"/>
      <c r="Q116" s="39"/>
      <c r="R116" s="41"/>
      <c r="S116" s="51"/>
      <c r="T116" s="31"/>
      <c r="U116" s="41"/>
      <c r="V116" s="41"/>
      <c r="W116" s="41"/>
      <c r="X116" s="41"/>
      <c r="Y116" s="41"/>
      <c r="Z116" s="41"/>
      <c r="AA116" s="52"/>
      <c r="AB116" s="41"/>
      <c r="AC116" s="41"/>
      <c r="AD116" s="41"/>
      <c r="AE116" s="41"/>
      <c r="AF116" s="31"/>
      <c r="AG116" s="31"/>
      <c r="AH116" s="42"/>
      <c r="AI116" s="42"/>
      <c r="AJ116" s="42"/>
      <c r="AK116" s="42"/>
      <c r="AL116" s="52"/>
      <c r="AM116" s="41"/>
      <c r="AN116" s="41"/>
      <c r="AO116" s="41"/>
      <c r="AP116" s="41"/>
      <c r="AQ116" s="41"/>
      <c r="AR116" s="41"/>
      <c r="AS116" s="41"/>
    </row>
    <row r="117" spans="1:45" x14ac:dyDescent="0.25">
      <c r="A117" s="31"/>
      <c r="B117" s="41"/>
      <c r="C117" s="41"/>
      <c r="D117" s="41"/>
      <c r="E117" s="41"/>
      <c r="F117" s="49"/>
      <c r="G117" s="50"/>
      <c r="H117" s="44"/>
      <c r="I117" s="44"/>
      <c r="J117" s="44"/>
      <c r="K117" s="44"/>
      <c r="L117" s="44"/>
      <c r="M117" s="45"/>
      <c r="N117" s="36"/>
      <c r="O117" s="36"/>
      <c r="P117" s="36"/>
      <c r="Q117" s="39"/>
      <c r="R117" s="41"/>
      <c r="S117" s="51"/>
      <c r="T117" s="31"/>
      <c r="U117" s="41"/>
      <c r="V117" s="41"/>
      <c r="W117" s="41"/>
      <c r="X117" s="41"/>
      <c r="Y117" s="41"/>
      <c r="Z117" s="41"/>
      <c r="AA117" s="52"/>
      <c r="AB117" s="41"/>
      <c r="AC117" s="41"/>
      <c r="AD117" s="41"/>
      <c r="AE117" s="41"/>
      <c r="AF117" s="31"/>
      <c r="AG117" s="31"/>
      <c r="AH117" s="42"/>
      <c r="AI117" s="42"/>
      <c r="AJ117" s="42"/>
      <c r="AK117" s="42"/>
      <c r="AL117" s="52"/>
      <c r="AM117" s="41"/>
      <c r="AN117" s="41"/>
      <c r="AO117" s="41"/>
      <c r="AP117" s="41"/>
      <c r="AQ117" s="41"/>
      <c r="AR117" s="41"/>
      <c r="AS117" s="41"/>
    </row>
    <row r="118" spans="1:45" x14ac:dyDescent="0.25">
      <c r="A118" s="31"/>
      <c r="B118" s="41"/>
      <c r="C118" s="41"/>
      <c r="D118" s="41"/>
      <c r="E118" s="41"/>
      <c r="F118" s="49"/>
      <c r="G118" s="50"/>
      <c r="H118" s="44"/>
      <c r="I118" s="44"/>
      <c r="J118" s="44"/>
      <c r="K118" s="44"/>
      <c r="L118" s="44"/>
      <c r="M118" s="45"/>
      <c r="N118" s="36"/>
      <c r="O118" s="36"/>
      <c r="P118" s="36"/>
      <c r="Q118" s="39"/>
      <c r="R118" s="41"/>
      <c r="S118" s="51"/>
      <c r="T118" s="31"/>
      <c r="U118" s="41"/>
      <c r="V118" s="41"/>
      <c r="W118" s="41"/>
      <c r="X118" s="41"/>
      <c r="Y118" s="41"/>
      <c r="Z118" s="41"/>
      <c r="AA118" s="52"/>
      <c r="AB118" s="41"/>
      <c r="AC118" s="41"/>
      <c r="AD118" s="41"/>
      <c r="AE118" s="41"/>
      <c r="AF118" s="31"/>
      <c r="AG118" s="31"/>
      <c r="AH118" s="42"/>
      <c r="AI118" s="42"/>
      <c r="AJ118" s="42"/>
      <c r="AK118" s="42"/>
      <c r="AL118" s="52"/>
      <c r="AM118" s="41"/>
      <c r="AN118" s="41"/>
      <c r="AO118" s="41"/>
      <c r="AP118" s="41"/>
      <c r="AQ118" s="41"/>
      <c r="AR118" s="41"/>
      <c r="AS118" s="41"/>
    </row>
    <row r="119" spans="1:45" x14ac:dyDescent="0.25">
      <c r="A119" s="31"/>
      <c r="B119" s="41"/>
      <c r="C119" s="41"/>
      <c r="D119" s="41"/>
      <c r="E119" s="41"/>
      <c r="F119" s="49"/>
      <c r="G119" s="50"/>
      <c r="H119" s="44"/>
      <c r="I119" s="44"/>
      <c r="J119" s="44"/>
      <c r="K119" s="44"/>
      <c r="L119" s="44"/>
      <c r="M119" s="45"/>
      <c r="N119" s="36"/>
      <c r="O119" s="36"/>
      <c r="P119" s="36"/>
      <c r="Q119" s="39"/>
      <c r="R119" s="41"/>
      <c r="S119" s="51"/>
      <c r="T119" s="31"/>
      <c r="U119" s="41"/>
      <c r="V119" s="41"/>
      <c r="W119" s="41"/>
      <c r="X119" s="41"/>
      <c r="Y119" s="41"/>
      <c r="Z119" s="41"/>
      <c r="AA119" s="52"/>
      <c r="AB119" s="41"/>
      <c r="AC119" s="41"/>
      <c r="AD119" s="41"/>
      <c r="AE119" s="41"/>
      <c r="AF119" s="31"/>
      <c r="AG119" s="31"/>
      <c r="AH119" s="42"/>
      <c r="AI119" s="42"/>
      <c r="AJ119" s="42"/>
      <c r="AK119" s="42"/>
      <c r="AL119" s="52"/>
      <c r="AM119" s="41"/>
      <c r="AN119" s="41"/>
      <c r="AO119" s="41"/>
      <c r="AP119" s="41"/>
      <c r="AQ119" s="41"/>
      <c r="AR119" s="41"/>
      <c r="AS119" s="41"/>
    </row>
    <row r="120" spans="1:45" x14ac:dyDescent="0.25">
      <c r="A120" s="31"/>
      <c r="B120" s="41"/>
      <c r="C120" s="41"/>
      <c r="D120" s="41"/>
      <c r="E120" s="41"/>
      <c r="F120" s="49"/>
      <c r="G120" s="50"/>
      <c r="H120" s="44"/>
      <c r="I120" s="44"/>
      <c r="J120" s="44"/>
      <c r="K120" s="44"/>
      <c r="L120" s="44"/>
      <c r="M120" s="45"/>
      <c r="N120" s="36"/>
      <c r="O120" s="36"/>
      <c r="P120" s="36"/>
      <c r="Q120" s="39"/>
      <c r="R120" s="41"/>
      <c r="S120" s="51"/>
      <c r="T120" s="31"/>
      <c r="U120" s="41"/>
      <c r="V120" s="41"/>
      <c r="W120" s="41"/>
      <c r="X120" s="41"/>
      <c r="Y120" s="41"/>
      <c r="Z120" s="41"/>
      <c r="AA120" s="52"/>
      <c r="AB120" s="41"/>
      <c r="AC120" s="41"/>
      <c r="AD120" s="41"/>
      <c r="AE120" s="41"/>
      <c r="AF120" s="31"/>
      <c r="AG120" s="31"/>
      <c r="AH120" s="42"/>
      <c r="AI120" s="42"/>
      <c r="AJ120" s="42"/>
      <c r="AK120" s="42"/>
      <c r="AL120" s="52"/>
      <c r="AM120" s="41"/>
      <c r="AN120" s="41"/>
      <c r="AO120" s="41"/>
      <c r="AP120" s="41"/>
      <c r="AQ120" s="41"/>
      <c r="AR120" s="41"/>
      <c r="AS120" s="41"/>
    </row>
    <row r="121" spans="1:45" x14ac:dyDescent="0.25">
      <c r="A121" s="31"/>
      <c r="B121" s="41"/>
      <c r="C121" s="41"/>
      <c r="D121" s="41"/>
      <c r="E121" s="41"/>
      <c r="F121" s="49"/>
      <c r="G121" s="50"/>
      <c r="H121" s="44"/>
      <c r="I121" s="44"/>
      <c r="J121" s="44"/>
      <c r="K121" s="44"/>
      <c r="L121" s="44"/>
      <c r="M121" s="45"/>
      <c r="N121" s="36"/>
      <c r="O121" s="36"/>
      <c r="P121" s="36"/>
      <c r="Q121" s="39"/>
      <c r="R121" s="41"/>
      <c r="S121" s="51"/>
      <c r="T121" s="31"/>
      <c r="U121" s="41"/>
      <c r="V121" s="41"/>
      <c r="W121" s="41"/>
      <c r="X121" s="41"/>
      <c r="Y121" s="41"/>
      <c r="Z121" s="41"/>
      <c r="AA121" s="52"/>
      <c r="AB121" s="41"/>
      <c r="AC121" s="41"/>
      <c r="AD121" s="41"/>
      <c r="AE121" s="41"/>
      <c r="AF121" s="31"/>
      <c r="AG121" s="31"/>
      <c r="AH121" s="42"/>
      <c r="AI121" s="42"/>
      <c r="AJ121" s="42"/>
      <c r="AK121" s="42"/>
      <c r="AL121" s="52"/>
      <c r="AM121" s="41"/>
      <c r="AN121" s="41"/>
      <c r="AO121" s="41"/>
      <c r="AP121" s="41"/>
      <c r="AQ121" s="41"/>
      <c r="AR121" s="41"/>
      <c r="AS121" s="41"/>
    </row>
    <row r="122" spans="1:45" x14ac:dyDescent="0.25">
      <c r="A122" s="31"/>
      <c r="B122" s="41"/>
      <c r="C122" s="41"/>
      <c r="D122" s="41"/>
      <c r="E122" s="41"/>
      <c r="F122" s="49"/>
      <c r="G122" s="50"/>
      <c r="H122" s="44"/>
      <c r="I122" s="44"/>
      <c r="J122" s="44"/>
      <c r="K122" s="44"/>
      <c r="L122" s="44"/>
      <c r="M122" s="45"/>
      <c r="N122" s="36"/>
      <c r="O122" s="36"/>
      <c r="P122" s="36"/>
      <c r="Q122" s="39"/>
      <c r="R122" s="41"/>
      <c r="S122" s="51"/>
      <c r="T122" s="31"/>
      <c r="U122" s="41"/>
      <c r="V122" s="41"/>
      <c r="W122" s="41"/>
      <c r="X122" s="41"/>
      <c r="Y122" s="41"/>
      <c r="Z122" s="41"/>
      <c r="AA122" s="52"/>
      <c r="AB122" s="41"/>
      <c r="AC122" s="41"/>
      <c r="AD122" s="41"/>
      <c r="AE122" s="41"/>
      <c r="AF122" s="31"/>
      <c r="AG122" s="31"/>
      <c r="AH122" s="42"/>
      <c r="AI122" s="42"/>
      <c r="AJ122" s="42"/>
      <c r="AK122" s="42"/>
      <c r="AL122" s="52"/>
      <c r="AM122" s="41"/>
      <c r="AN122" s="41"/>
      <c r="AO122" s="41"/>
      <c r="AP122" s="41"/>
      <c r="AQ122" s="41"/>
      <c r="AR122" s="41"/>
      <c r="AS122" s="41"/>
    </row>
    <row r="123" spans="1:45" x14ac:dyDescent="0.25">
      <c r="A123" s="31"/>
      <c r="B123" s="41"/>
      <c r="C123" s="41"/>
      <c r="D123" s="41"/>
      <c r="E123" s="41"/>
      <c r="F123" s="49"/>
      <c r="G123" s="50"/>
      <c r="H123" s="44"/>
      <c r="I123" s="44"/>
      <c r="J123" s="44"/>
      <c r="K123" s="44"/>
      <c r="L123" s="44"/>
      <c r="M123" s="45"/>
      <c r="N123" s="36"/>
      <c r="O123" s="36"/>
      <c r="P123" s="36"/>
      <c r="Q123" s="39"/>
      <c r="R123" s="41"/>
      <c r="S123" s="51"/>
      <c r="T123" s="31"/>
      <c r="U123" s="41"/>
      <c r="V123" s="41"/>
      <c r="W123" s="41"/>
      <c r="X123" s="41"/>
      <c r="Y123" s="41"/>
      <c r="Z123" s="41"/>
      <c r="AA123" s="52"/>
      <c r="AB123" s="41"/>
      <c r="AC123" s="41"/>
      <c r="AD123" s="41"/>
      <c r="AE123" s="41"/>
      <c r="AF123" s="31"/>
      <c r="AG123" s="31"/>
      <c r="AH123" s="42"/>
      <c r="AI123" s="42"/>
      <c r="AJ123" s="42"/>
      <c r="AK123" s="42"/>
      <c r="AL123" s="52"/>
      <c r="AM123" s="41"/>
      <c r="AN123" s="41"/>
      <c r="AO123" s="41"/>
      <c r="AP123" s="41"/>
      <c r="AQ123" s="41"/>
      <c r="AR123" s="41"/>
      <c r="AS123" s="41"/>
    </row>
    <row r="124" spans="1:45" x14ac:dyDescent="0.25">
      <c r="A124" s="31"/>
      <c r="B124" s="41"/>
      <c r="C124" s="41"/>
      <c r="D124" s="41"/>
      <c r="E124" s="41"/>
      <c r="F124" s="49"/>
      <c r="G124" s="50"/>
      <c r="H124" s="44"/>
      <c r="I124" s="44"/>
      <c r="J124" s="44"/>
      <c r="K124" s="44"/>
      <c r="L124" s="44"/>
      <c r="M124" s="45"/>
      <c r="N124" s="36"/>
      <c r="O124" s="36"/>
      <c r="P124" s="36"/>
      <c r="Q124" s="39"/>
      <c r="R124" s="41"/>
      <c r="S124" s="51"/>
      <c r="T124" s="31"/>
      <c r="U124" s="41"/>
      <c r="V124" s="41"/>
      <c r="W124" s="41"/>
      <c r="X124" s="41"/>
      <c r="Y124" s="41"/>
      <c r="Z124" s="41"/>
      <c r="AA124" s="52"/>
      <c r="AB124" s="41"/>
      <c r="AC124" s="41"/>
      <c r="AD124" s="41"/>
      <c r="AE124" s="41"/>
      <c r="AF124" s="31"/>
      <c r="AG124" s="31"/>
      <c r="AH124" s="42"/>
      <c r="AI124" s="42"/>
      <c r="AJ124" s="42"/>
      <c r="AK124" s="42"/>
      <c r="AL124" s="52"/>
      <c r="AM124" s="41"/>
      <c r="AN124" s="41"/>
      <c r="AO124" s="41"/>
      <c r="AP124" s="41"/>
      <c r="AQ124" s="41"/>
      <c r="AR124" s="41"/>
      <c r="AS124" s="41"/>
    </row>
    <row r="125" spans="1:45" x14ac:dyDescent="0.25">
      <c r="A125" s="31"/>
      <c r="B125" s="41"/>
      <c r="C125" s="41"/>
      <c r="D125" s="41"/>
      <c r="E125" s="41"/>
      <c r="F125" s="49"/>
      <c r="G125" s="50"/>
      <c r="H125" s="44"/>
      <c r="I125" s="44"/>
      <c r="J125" s="44"/>
      <c r="K125" s="44"/>
      <c r="L125" s="44"/>
      <c r="M125" s="45"/>
      <c r="N125" s="36"/>
      <c r="O125" s="36"/>
      <c r="P125" s="36"/>
      <c r="Q125" s="39"/>
      <c r="R125" s="41"/>
      <c r="S125" s="51"/>
      <c r="T125" s="31"/>
      <c r="U125" s="41"/>
      <c r="V125" s="41"/>
      <c r="W125" s="41"/>
      <c r="X125" s="41"/>
      <c r="Y125" s="41"/>
      <c r="Z125" s="41"/>
      <c r="AA125" s="52"/>
      <c r="AB125" s="41"/>
      <c r="AC125" s="41"/>
      <c r="AD125" s="41"/>
      <c r="AE125" s="41"/>
      <c r="AF125" s="31"/>
      <c r="AG125" s="31"/>
      <c r="AH125" s="42"/>
      <c r="AI125" s="42"/>
      <c r="AJ125" s="42"/>
      <c r="AK125" s="42"/>
      <c r="AL125" s="52"/>
      <c r="AM125" s="41"/>
      <c r="AN125" s="41"/>
      <c r="AO125" s="41"/>
      <c r="AP125" s="41"/>
      <c r="AQ125" s="41"/>
      <c r="AR125" s="41"/>
      <c r="AS125" s="41"/>
    </row>
    <row r="126" spans="1:45" x14ac:dyDescent="0.25">
      <c r="A126" s="31"/>
      <c r="B126" s="41"/>
      <c r="C126" s="41"/>
      <c r="D126" s="41"/>
      <c r="E126" s="41"/>
      <c r="F126" s="49"/>
      <c r="G126" s="50"/>
      <c r="H126" s="44"/>
      <c r="I126" s="44"/>
      <c r="J126" s="44"/>
      <c r="K126" s="44"/>
      <c r="L126" s="44"/>
      <c r="M126" s="45"/>
      <c r="N126" s="36"/>
      <c r="O126" s="36"/>
      <c r="P126" s="36"/>
      <c r="Q126" s="39"/>
      <c r="R126" s="41"/>
      <c r="S126" s="51"/>
      <c r="T126" s="31"/>
      <c r="U126" s="41"/>
      <c r="V126" s="41"/>
      <c r="W126" s="41"/>
      <c r="X126" s="41"/>
      <c r="Y126" s="41"/>
      <c r="Z126" s="41"/>
      <c r="AA126" s="52"/>
      <c r="AB126" s="41"/>
      <c r="AC126" s="41"/>
      <c r="AD126" s="41"/>
      <c r="AE126" s="41"/>
      <c r="AF126" s="31"/>
      <c r="AG126" s="31"/>
      <c r="AH126" s="42"/>
      <c r="AI126" s="42"/>
      <c r="AJ126" s="42"/>
      <c r="AK126" s="42"/>
      <c r="AL126" s="52"/>
      <c r="AM126" s="41"/>
      <c r="AN126" s="41"/>
      <c r="AO126" s="41"/>
      <c r="AP126" s="41"/>
      <c r="AQ126" s="41"/>
      <c r="AR126" s="41"/>
      <c r="AS126" s="41"/>
    </row>
    <row r="127" spans="1:45" x14ac:dyDescent="0.25">
      <c r="A127" s="31"/>
      <c r="B127" s="41"/>
      <c r="C127" s="41"/>
      <c r="D127" s="41"/>
      <c r="E127" s="41"/>
      <c r="F127" s="49"/>
      <c r="G127" s="50"/>
      <c r="H127" s="44"/>
      <c r="I127" s="44"/>
      <c r="J127" s="44"/>
      <c r="K127" s="44"/>
      <c r="L127" s="44"/>
      <c r="M127" s="45"/>
      <c r="N127" s="36"/>
      <c r="O127" s="36"/>
      <c r="P127" s="36"/>
      <c r="Q127" s="39"/>
      <c r="R127" s="41"/>
      <c r="S127" s="51"/>
      <c r="T127" s="31"/>
      <c r="U127" s="41"/>
      <c r="V127" s="41"/>
      <c r="W127" s="41"/>
      <c r="X127" s="41"/>
      <c r="Y127" s="41"/>
      <c r="Z127" s="41"/>
      <c r="AA127" s="52"/>
      <c r="AB127" s="41"/>
      <c r="AC127" s="41"/>
      <c r="AD127" s="41"/>
      <c r="AE127" s="41"/>
      <c r="AF127" s="31"/>
      <c r="AG127" s="31"/>
      <c r="AH127" s="42"/>
      <c r="AI127" s="42"/>
      <c r="AJ127" s="42"/>
      <c r="AK127" s="42"/>
      <c r="AL127" s="52"/>
      <c r="AM127" s="41"/>
      <c r="AN127" s="41"/>
      <c r="AO127" s="41"/>
      <c r="AP127" s="41"/>
      <c r="AQ127" s="41"/>
      <c r="AR127" s="41"/>
      <c r="AS127" s="41"/>
    </row>
    <row r="128" spans="1:45" x14ac:dyDescent="0.25">
      <c r="A128" s="31"/>
      <c r="B128" s="41"/>
      <c r="C128" s="41"/>
      <c r="D128" s="41"/>
      <c r="E128" s="41"/>
      <c r="F128" s="49"/>
      <c r="G128" s="50"/>
      <c r="H128" s="44"/>
      <c r="I128" s="44"/>
      <c r="J128" s="44"/>
      <c r="K128" s="44"/>
      <c r="L128" s="44"/>
      <c r="M128" s="45"/>
      <c r="N128" s="36"/>
      <c r="O128" s="36"/>
      <c r="P128" s="36"/>
      <c r="Q128" s="39"/>
      <c r="R128" s="41"/>
      <c r="S128" s="51"/>
      <c r="T128" s="31"/>
      <c r="U128" s="41"/>
      <c r="V128" s="41"/>
      <c r="W128" s="41"/>
      <c r="X128" s="41"/>
      <c r="Y128" s="41"/>
      <c r="Z128" s="41"/>
      <c r="AA128" s="52"/>
      <c r="AB128" s="41"/>
      <c r="AC128" s="41"/>
      <c r="AD128" s="41"/>
      <c r="AE128" s="41"/>
      <c r="AF128" s="31"/>
      <c r="AG128" s="31"/>
      <c r="AH128" s="42"/>
      <c r="AI128" s="42"/>
      <c r="AJ128" s="42"/>
      <c r="AK128" s="42"/>
      <c r="AL128" s="52"/>
      <c r="AM128" s="41"/>
      <c r="AN128" s="41"/>
      <c r="AO128" s="41"/>
      <c r="AP128" s="41"/>
      <c r="AQ128" s="41"/>
      <c r="AR128" s="41"/>
      <c r="AS128" s="41"/>
    </row>
    <row r="129" spans="1:45" x14ac:dyDescent="0.25">
      <c r="A129" s="31"/>
      <c r="B129" s="41"/>
      <c r="C129" s="41"/>
      <c r="D129" s="41"/>
      <c r="E129" s="41"/>
      <c r="F129" s="49"/>
      <c r="G129" s="50"/>
      <c r="H129" s="44"/>
      <c r="I129" s="44"/>
      <c r="J129" s="44"/>
      <c r="K129" s="44"/>
      <c r="L129" s="44"/>
      <c r="M129" s="45"/>
      <c r="N129" s="36"/>
      <c r="O129" s="36"/>
      <c r="P129" s="36"/>
      <c r="Q129" s="39"/>
      <c r="R129" s="41"/>
      <c r="S129" s="51"/>
      <c r="T129" s="31"/>
      <c r="U129" s="41"/>
      <c r="V129" s="41"/>
      <c r="W129" s="41"/>
      <c r="X129" s="41"/>
      <c r="Y129" s="41"/>
      <c r="Z129" s="41"/>
      <c r="AA129" s="52"/>
      <c r="AB129" s="41"/>
      <c r="AC129" s="41"/>
      <c r="AD129" s="41"/>
      <c r="AE129" s="41"/>
      <c r="AF129" s="31"/>
      <c r="AG129" s="31"/>
      <c r="AH129" s="42"/>
      <c r="AI129" s="42"/>
      <c r="AJ129" s="42"/>
      <c r="AK129" s="42"/>
      <c r="AL129" s="52"/>
      <c r="AM129" s="41"/>
      <c r="AN129" s="41"/>
      <c r="AO129" s="41"/>
      <c r="AP129" s="41"/>
      <c r="AQ129" s="41"/>
      <c r="AR129" s="41"/>
      <c r="AS129" s="41"/>
    </row>
    <row r="130" spans="1:45" x14ac:dyDescent="0.25">
      <c r="A130" s="31"/>
      <c r="B130" s="41"/>
      <c r="C130" s="41"/>
      <c r="D130" s="41"/>
      <c r="E130" s="41"/>
      <c r="F130" s="49"/>
      <c r="G130" s="50"/>
      <c r="H130" s="44"/>
      <c r="I130" s="44"/>
      <c r="J130" s="44"/>
      <c r="K130" s="44"/>
      <c r="L130" s="44"/>
      <c r="M130" s="45"/>
      <c r="N130" s="36"/>
      <c r="O130" s="36"/>
      <c r="P130" s="36"/>
      <c r="Q130" s="39"/>
      <c r="R130" s="41"/>
      <c r="S130" s="51"/>
      <c r="T130" s="31"/>
      <c r="U130" s="41"/>
      <c r="V130" s="41"/>
      <c r="W130" s="41"/>
      <c r="X130" s="41"/>
      <c r="Y130" s="41"/>
      <c r="Z130" s="41"/>
      <c r="AA130" s="52"/>
      <c r="AB130" s="41"/>
      <c r="AC130" s="41"/>
      <c r="AD130" s="41"/>
      <c r="AE130" s="41"/>
      <c r="AF130" s="31"/>
      <c r="AG130" s="31"/>
      <c r="AH130" s="42"/>
      <c r="AI130" s="42"/>
      <c r="AJ130" s="42"/>
      <c r="AK130" s="42"/>
      <c r="AL130" s="52"/>
      <c r="AM130" s="41"/>
      <c r="AN130" s="41"/>
      <c r="AO130" s="41"/>
      <c r="AP130" s="41"/>
      <c r="AQ130" s="41"/>
      <c r="AR130" s="41"/>
      <c r="AS130" s="41"/>
    </row>
    <row r="131" spans="1:45" x14ac:dyDescent="0.25">
      <c r="A131" s="31"/>
      <c r="B131" s="41"/>
      <c r="C131" s="41"/>
      <c r="D131" s="41"/>
      <c r="E131" s="41"/>
      <c r="F131" s="49"/>
      <c r="G131" s="50"/>
      <c r="H131" s="44"/>
      <c r="I131" s="44"/>
      <c r="J131" s="44"/>
      <c r="K131" s="44"/>
      <c r="L131" s="44"/>
      <c r="M131" s="45"/>
      <c r="N131" s="36"/>
      <c r="O131" s="36"/>
      <c r="P131" s="36"/>
      <c r="Q131" s="39"/>
      <c r="R131" s="41"/>
      <c r="S131" s="51"/>
      <c r="T131" s="31"/>
      <c r="U131" s="41"/>
      <c r="V131" s="41"/>
      <c r="W131" s="41"/>
      <c r="X131" s="41"/>
      <c r="Y131" s="41"/>
      <c r="Z131" s="41"/>
      <c r="AA131" s="52"/>
      <c r="AB131" s="41"/>
      <c r="AC131" s="41"/>
      <c r="AD131" s="41"/>
      <c r="AE131" s="41"/>
      <c r="AF131" s="31"/>
      <c r="AG131" s="31"/>
      <c r="AH131" s="42"/>
      <c r="AI131" s="42"/>
      <c r="AJ131" s="42"/>
      <c r="AK131" s="42"/>
      <c r="AL131" s="52"/>
      <c r="AM131" s="41"/>
      <c r="AN131" s="41"/>
      <c r="AO131" s="41"/>
      <c r="AP131" s="41"/>
      <c r="AQ131" s="41"/>
      <c r="AR131" s="41"/>
      <c r="AS131" s="41"/>
    </row>
    <row r="132" spans="1:45" x14ac:dyDescent="0.25">
      <c r="A132" s="31"/>
      <c r="B132" s="41"/>
      <c r="C132" s="41"/>
      <c r="D132" s="41"/>
      <c r="E132" s="41"/>
      <c r="F132" s="49"/>
      <c r="G132" s="50"/>
      <c r="H132" s="44"/>
      <c r="I132" s="44"/>
      <c r="J132" s="44"/>
      <c r="K132" s="44"/>
      <c r="L132" s="44"/>
      <c r="M132" s="45"/>
      <c r="N132" s="36"/>
      <c r="O132" s="36"/>
      <c r="P132" s="36"/>
      <c r="Q132" s="39"/>
      <c r="R132" s="41"/>
      <c r="S132" s="51"/>
      <c r="T132" s="31"/>
      <c r="U132" s="41"/>
      <c r="V132" s="41"/>
      <c r="W132" s="41"/>
      <c r="X132" s="41"/>
      <c r="Y132" s="41"/>
      <c r="Z132" s="41"/>
      <c r="AA132" s="52"/>
      <c r="AB132" s="41"/>
      <c r="AC132" s="41"/>
      <c r="AD132" s="41"/>
      <c r="AE132" s="41"/>
      <c r="AF132" s="31"/>
      <c r="AG132" s="31"/>
      <c r="AH132" s="42"/>
      <c r="AI132" s="42"/>
      <c r="AJ132" s="42"/>
      <c r="AK132" s="42"/>
      <c r="AL132" s="52"/>
      <c r="AM132" s="41"/>
      <c r="AN132" s="41"/>
      <c r="AO132" s="41"/>
      <c r="AP132" s="41"/>
      <c r="AQ132" s="41"/>
      <c r="AR132" s="41"/>
      <c r="AS132" s="41"/>
    </row>
    <row r="133" spans="1:45" x14ac:dyDescent="0.25">
      <c r="A133" s="31"/>
      <c r="B133" s="41"/>
      <c r="C133" s="41"/>
      <c r="D133" s="41"/>
      <c r="E133" s="41"/>
      <c r="F133" s="49"/>
      <c r="G133" s="50"/>
      <c r="H133" s="44"/>
      <c r="I133" s="44"/>
      <c r="J133" s="44"/>
      <c r="K133" s="44"/>
      <c r="L133" s="44"/>
      <c r="M133" s="45"/>
      <c r="N133" s="36"/>
      <c r="O133" s="36"/>
      <c r="P133" s="36"/>
      <c r="Q133" s="39"/>
      <c r="R133" s="41"/>
      <c r="S133" s="51"/>
      <c r="T133" s="31"/>
      <c r="U133" s="41"/>
      <c r="V133" s="41"/>
      <c r="W133" s="41"/>
      <c r="X133" s="41"/>
      <c r="Y133" s="41"/>
      <c r="Z133" s="41"/>
      <c r="AA133" s="52"/>
      <c r="AB133" s="41"/>
      <c r="AC133" s="41"/>
      <c r="AD133" s="41"/>
      <c r="AE133" s="41"/>
      <c r="AF133" s="31"/>
      <c r="AG133" s="31"/>
      <c r="AH133" s="42"/>
      <c r="AI133" s="42"/>
      <c r="AJ133" s="42"/>
      <c r="AK133" s="42"/>
      <c r="AL133" s="52"/>
      <c r="AM133" s="41"/>
      <c r="AN133" s="41"/>
      <c r="AO133" s="41"/>
      <c r="AP133" s="41"/>
      <c r="AQ133" s="41"/>
      <c r="AR133" s="41"/>
      <c r="AS133" s="41"/>
    </row>
    <row r="134" spans="1:45" x14ac:dyDescent="0.25">
      <c r="A134" s="31"/>
      <c r="B134" s="41"/>
      <c r="C134" s="41"/>
      <c r="D134" s="41"/>
      <c r="E134" s="41"/>
      <c r="F134" s="49"/>
      <c r="G134" s="50"/>
      <c r="H134" s="44"/>
      <c r="I134" s="44"/>
      <c r="J134" s="44"/>
      <c r="K134" s="44"/>
      <c r="L134" s="44"/>
      <c r="M134" s="45"/>
      <c r="N134" s="36"/>
      <c r="O134" s="36"/>
      <c r="P134" s="36"/>
      <c r="Q134" s="39"/>
      <c r="R134" s="41"/>
      <c r="S134" s="51"/>
      <c r="T134" s="31"/>
      <c r="U134" s="41"/>
      <c r="V134" s="41"/>
      <c r="W134" s="41"/>
      <c r="X134" s="41"/>
      <c r="Y134" s="41"/>
      <c r="Z134" s="41"/>
      <c r="AA134" s="52"/>
      <c r="AB134" s="41"/>
      <c r="AC134" s="41"/>
      <c r="AD134" s="41"/>
      <c r="AE134" s="41"/>
      <c r="AF134" s="31"/>
      <c r="AG134" s="31"/>
      <c r="AH134" s="42"/>
      <c r="AI134" s="42"/>
      <c r="AJ134" s="42"/>
      <c r="AK134" s="42"/>
      <c r="AL134" s="52"/>
      <c r="AM134" s="41"/>
      <c r="AN134" s="41"/>
      <c r="AO134" s="41"/>
      <c r="AP134" s="41"/>
      <c r="AQ134" s="41"/>
      <c r="AR134" s="41"/>
      <c r="AS134" s="41"/>
    </row>
    <row r="135" spans="1:45" x14ac:dyDescent="0.25">
      <c r="A135" s="31"/>
      <c r="B135" s="41"/>
      <c r="C135" s="41"/>
      <c r="D135" s="41"/>
      <c r="E135" s="41"/>
      <c r="F135" s="49"/>
      <c r="G135" s="50"/>
      <c r="H135" s="44"/>
      <c r="I135" s="44"/>
      <c r="J135" s="44"/>
      <c r="K135" s="44"/>
      <c r="L135" s="44"/>
      <c r="M135" s="45"/>
      <c r="N135" s="36"/>
      <c r="O135" s="36"/>
      <c r="P135" s="36"/>
      <c r="Q135" s="39"/>
      <c r="R135" s="41"/>
      <c r="S135" s="51"/>
      <c r="T135" s="31"/>
      <c r="U135" s="41"/>
      <c r="V135" s="41"/>
      <c r="W135" s="41"/>
      <c r="X135" s="41"/>
      <c r="Y135" s="41"/>
      <c r="Z135" s="41"/>
      <c r="AA135" s="52"/>
      <c r="AB135" s="41"/>
      <c r="AC135" s="41"/>
      <c r="AD135" s="41"/>
      <c r="AE135" s="41"/>
      <c r="AF135" s="31"/>
      <c r="AG135" s="31"/>
      <c r="AH135" s="42"/>
      <c r="AI135" s="42"/>
      <c r="AJ135" s="42"/>
      <c r="AK135" s="42"/>
      <c r="AL135" s="52"/>
      <c r="AM135" s="41"/>
      <c r="AN135" s="41"/>
      <c r="AO135" s="41"/>
      <c r="AP135" s="41"/>
      <c r="AQ135" s="41"/>
      <c r="AR135" s="41"/>
      <c r="AS135" s="41"/>
    </row>
    <row r="136" spans="1:45" x14ac:dyDescent="0.25">
      <c r="A136" s="31"/>
      <c r="B136" s="41"/>
      <c r="C136" s="41"/>
      <c r="D136" s="41"/>
      <c r="E136" s="41"/>
      <c r="F136" s="49"/>
      <c r="G136" s="50"/>
      <c r="H136" s="44"/>
      <c r="I136" s="44"/>
      <c r="J136" s="44"/>
      <c r="K136" s="44"/>
      <c r="L136" s="44"/>
      <c r="M136" s="45"/>
      <c r="N136" s="36"/>
      <c r="O136" s="36"/>
      <c r="P136" s="36"/>
      <c r="Q136" s="39"/>
      <c r="R136" s="41"/>
      <c r="S136" s="51"/>
      <c r="T136" s="31"/>
      <c r="U136" s="41"/>
      <c r="V136" s="41"/>
      <c r="W136" s="41"/>
      <c r="X136" s="41"/>
      <c r="Y136" s="41"/>
      <c r="Z136" s="41"/>
      <c r="AA136" s="52"/>
      <c r="AB136" s="41"/>
      <c r="AC136" s="41"/>
      <c r="AD136" s="41"/>
      <c r="AE136" s="41"/>
      <c r="AF136" s="31"/>
      <c r="AG136" s="31"/>
      <c r="AH136" s="42"/>
      <c r="AI136" s="42"/>
      <c r="AJ136" s="42"/>
      <c r="AK136" s="42"/>
      <c r="AL136" s="52"/>
      <c r="AM136" s="41"/>
      <c r="AN136" s="41"/>
      <c r="AO136" s="41"/>
      <c r="AP136" s="41"/>
      <c r="AQ136" s="41"/>
      <c r="AR136" s="41"/>
      <c r="AS136" s="41"/>
    </row>
    <row r="137" spans="1:45" x14ac:dyDescent="0.25">
      <c r="A137" s="31"/>
      <c r="B137" s="41"/>
      <c r="C137" s="41"/>
      <c r="D137" s="41"/>
      <c r="E137" s="41"/>
      <c r="F137" s="49"/>
      <c r="G137" s="50"/>
      <c r="H137" s="44"/>
      <c r="I137" s="44"/>
      <c r="J137" s="44"/>
      <c r="K137" s="44"/>
      <c r="L137" s="44"/>
      <c r="M137" s="45"/>
      <c r="N137" s="36"/>
      <c r="O137" s="36"/>
      <c r="P137" s="36"/>
      <c r="Q137" s="39"/>
      <c r="R137" s="41"/>
      <c r="S137" s="51"/>
      <c r="T137" s="31"/>
      <c r="U137" s="41"/>
      <c r="V137" s="41"/>
      <c r="W137" s="41"/>
      <c r="X137" s="41"/>
      <c r="Y137" s="41"/>
      <c r="Z137" s="41"/>
      <c r="AA137" s="52"/>
      <c r="AB137" s="41"/>
      <c r="AC137" s="41"/>
      <c r="AD137" s="41"/>
      <c r="AE137" s="41"/>
      <c r="AF137" s="31"/>
      <c r="AG137" s="31"/>
      <c r="AH137" s="42"/>
      <c r="AI137" s="42"/>
      <c r="AJ137" s="42"/>
      <c r="AK137" s="42"/>
      <c r="AL137" s="52"/>
      <c r="AM137" s="41"/>
      <c r="AN137" s="41"/>
      <c r="AO137" s="41"/>
      <c r="AP137" s="41"/>
      <c r="AQ137" s="41"/>
      <c r="AR137" s="41"/>
      <c r="AS137" s="41"/>
    </row>
    <row r="138" spans="1:45" x14ac:dyDescent="0.25">
      <c r="A138" s="31"/>
      <c r="B138" s="41"/>
      <c r="C138" s="41"/>
      <c r="D138" s="41"/>
      <c r="E138" s="41"/>
      <c r="F138" s="49"/>
      <c r="G138" s="50"/>
      <c r="H138" s="44"/>
      <c r="I138" s="44"/>
      <c r="J138" s="44"/>
      <c r="K138" s="44"/>
      <c r="L138" s="44"/>
      <c r="M138" s="45"/>
      <c r="N138" s="36"/>
      <c r="O138" s="36"/>
      <c r="P138" s="36"/>
      <c r="Q138" s="39"/>
      <c r="R138" s="41"/>
      <c r="S138" s="51"/>
      <c r="T138" s="31"/>
      <c r="U138" s="41"/>
      <c r="V138" s="41"/>
      <c r="W138" s="41"/>
      <c r="X138" s="41"/>
      <c r="Y138" s="41"/>
      <c r="Z138" s="41"/>
      <c r="AA138" s="52"/>
      <c r="AB138" s="41"/>
      <c r="AC138" s="41"/>
      <c r="AD138" s="41"/>
      <c r="AE138" s="41"/>
      <c r="AF138" s="31"/>
      <c r="AG138" s="31"/>
      <c r="AH138" s="42"/>
      <c r="AI138" s="42"/>
      <c r="AJ138" s="42"/>
      <c r="AK138" s="42"/>
      <c r="AL138" s="52"/>
      <c r="AM138" s="41"/>
      <c r="AN138" s="41"/>
      <c r="AO138" s="41"/>
      <c r="AP138" s="41"/>
      <c r="AQ138" s="41"/>
      <c r="AR138" s="41"/>
      <c r="AS138" s="41"/>
    </row>
    <row r="139" spans="1:45" x14ac:dyDescent="0.25">
      <c r="A139" s="31"/>
      <c r="B139" s="41"/>
      <c r="C139" s="41"/>
      <c r="D139" s="41"/>
      <c r="E139" s="41"/>
      <c r="F139" s="49"/>
      <c r="G139" s="50"/>
      <c r="H139" s="44"/>
      <c r="I139" s="44"/>
      <c r="J139" s="44"/>
      <c r="K139" s="44"/>
      <c r="L139" s="44"/>
      <c r="M139" s="45"/>
      <c r="N139" s="36"/>
      <c r="O139" s="36"/>
      <c r="P139" s="36"/>
      <c r="Q139" s="39"/>
      <c r="R139" s="41"/>
      <c r="S139" s="51"/>
      <c r="T139" s="31"/>
      <c r="U139" s="41"/>
      <c r="V139" s="41"/>
      <c r="W139" s="41"/>
      <c r="X139" s="41"/>
      <c r="Y139" s="41"/>
      <c r="Z139" s="41"/>
      <c r="AA139" s="52"/>
      <c r="AB139" s="41"/>
      <c r="AC139" s="41"/>
      <c r="AD139" s="41"/>
      <c r="AE139" s="41"/>
      <c r="AF139" s="31"/>
      <c r="AG139" s="31"/>
      <c r="AH139" s="42"/>
      <c r="AI139" s="42"/>
      <c r="AJ139" s="42"/>
      <c r="AK139" s="42"/>
      <c r="AL139" s="52"/>
      <c r="AM139" s="41"/>
      <c r="AN139" s="41"/>
      <c r="AO139" s="41"/>
      <c r="AP139" s="41"/>
      <c r="AQ139" s="41"/>
      <c r="AR139" s="41"/>
      <c r="AS139" s="41"/>
    </row>
    <row r="140" spans="1:45" x14ac:dyDescent="0.25">
      <c r="A140" s="31"/>
      <c r="B140" s="41"/>
      <c r="C140" s="41"/>
      <c r="D140" s="41"/>
      <c r="E140" s="41"/>
      <c r="F140" s="49"/>
      <c r="G140" s="50"/>
      <c r="H140" s="44"/>
      <c r="I140" s="44"/>
      <c r="J140" s="44"/>
      <c r="K140" s="44"/>
      <c r="L140" s="44"/>
      <c r="M140" s="45"/>
      <c r="N140" s="36"/>
      <c r="O140" s="36"/>
      <c r="P140" s="36"/>
      <c r="Q140" s="39"/>
      <c r="R140" s="41"/>
      <c r="S140" s="51"/>
      <c r="T140" s="31"/>
      <c r="U140" s="41"/>
      <c r="V140" s="41"/>
      <c r="W140" s="41"/>
      <c r="X140" s="41"/>
      <c r="Y140" s="41"/>
      <c r="Z140" s="41"/>
      <c r="AA140" s="52"/>
      <c r="AB140" s="41"/>
      <c r="AC140" s="41"/>
      <c r="AD140" s="41"/>
      <c r="AE140" s="41"/>
      <c r="AF140" s="31"/>
      <c r="AG140" s="31"/>
      <c r="AH140" s="42"/>
      <c r="AI140" s="42"/>
      <c r="AJ140" s="42"/>
      <c r="AK140" s="42"/>
      <c r="AL140" s="52"/>
      <c r="AM140" s="41"/>
      <c r="AN140" s="41"/>
      <c r="AO140" s="41"/>
      <c r="AP140" s="41"/>
      <c r="AQ140" s="41"/>
      <c r="AR140" s="41"/>
      <c r="AS140" s="41"/>
    </row>
    <row r="141" spans="1:45" x14ac:dyDescent="0.25">
      <c r="A141" s="31"/>
      <c r="B141" s="41"/>
      <c r="C141" s="41"/>
      <c r="D141" s="41"/>
      <c r="E141" s="41"/>
      <c r="F141" s="49"/>
      <c r="G141" s="50"/>
      <c r="H141" s="44"/>
      <c r="I141" s="44"/>
      <c r="J141" s="44"/>
      <c r="K141" s="44"/>
      <c r="L141" s="44"/>
      <c r="M141" s="45"/>
      <c r="N141" s="36"/>
      <c r="O141" s="36"/>
      <c r="P141" s="36"/>
      <c r="Q141" s="39"/>
      <c r="R141" s="41"/>
      <c r="S141" s="51"/>
      <c r="T141" s="31"/>
      <c r="U141" s="41"/>
      <c r="V141" s="41"/>
      <c r="W141" s="41"/>
      <c r="X141" s="41"/>
      <c r="Y141" s="41"/>
      <c r="Z141" s="41"/>
      <c r="AA141" s="52"/>
      <c r="AB141" s="41"/>
      <c r="AC141" s="41"/>
      <c r="AD141" s="41"/>
      <c r="AE141" s="41"/>
      <c r="AF141" s="31"/>
      <c r="AG141" s="31"/>
      <c r="AH141" s="42"/>
      <c r="AI141" s="42"/>
      <c r="AJ141" s="42"/>
      <c r="AK141" s="42"/>
      <c r="AL141" s="52"/>
      <c r="AM141" s="41"/>
      <c r="AN141" s="41"/>
      <c r="AO141" s="41"/>
      <c r="AP141" s="41"/>
      <c r="AQ141" s="41"/>
      <c r="AR141" s="41"/>
      <c r="AS141" s="41"/>
    </row>
    <row r="142" spans="1:45" x14ac:dyDescent="0.25">
      <c r="A142" s="31"/>
      <c r="B142" s="41"/>
      <c r="C142" s="41"/>
      <c r="D142" s="41"/>
      <c r="E142" s="41"/>
      <c r="F142" s="49"/>
      <c r="G142" s="50"/>
      <c r="H142" s="44"/>
      <c r="I142" s="44"/>
      <c r="J142" s="44"/>
      <c r="K142" s="44"/>
      <c r="L142" s="44"/>
      <c r="M142" s="45"/>
      <c r="N142" s="36"/>
      <c r="O142" s="36"/>
      <c r="P142" s="36"/>
      <c r="Q142" s="39"/>
      <c r="R142" s="41"/>
      <c r="S142" s="51"/>
      <c r="T142" s="31"/>
      <c r="U142" s="41"/>
      <c r="V142" s="41"/>
      <c r="W142" s="41"/>
      <c r="X142" s="41"/>
      <c r="Y142" s="41"/>
      <c r="Z142" s="41"/>
      <c r="AA142" s="52"/>
      <c r="AB142" s="41"/>
      <c r="AC142" s="41"/>
      <c r="AD142" s="41"/>
      <c r="AE142" s="41"/>
      <c r="AF142" s="31"/>
      <c r="AG142" s="31"/>
      <c r="AH142" s="42"/>
      <c r="AI142" s="42"/>
      <c r="AJ142" s="42"/>
      <c r="AK142" s="42"/>
      <c r="AL142" s="52"/>
      <c r="AM142" s="41"/>
      <c r="AN142" s="41"/>
      <c r="AO142" s="41"/>
      <c r="AP142" s="41"/>
      <c r="AQ142" s="41"/>
      <c r="AR142" s="41"/>
      <c r="AS142" s="41"/>
    </row>
    <row r="143" spans="1:45" x14ac:dyDescent="0.25">
      <c r="A143" s="31"/>
      <c r="B143" s="41"/>
      <c r="C143" s="41"/>
      <c r="D143" s="41"/>
      <c r="E143" s="41"/>
      <c r="F143" s="49"/>
      <c r="G143" s="50"/>
      <c r="H143" s="44"/>
      <c r="I143" s="44"/>
      <c r="J143" s="44"/>
      <c r="K143" s="44"/>
      <c r="L143" s="44"/>
      <c r="M143" s="45"/>
      <c r="N143" s="36"/>
      <c r="O143" s="36"/>
      <c r="P143" s="36"/>
      <c r="Q143" s="39"/>
      <c r="R143" s="41"/>
      <c r="S143" s="51"/>
      <c r="T143" s="31"/>
      <c r="U143" s="41"/>
      <c r="V143" s="41"/>
      <c r="W143" s="41"/>
      <c r="X143" s="41"/>
      <c r="Y143" s="41"/>
      <c r="Z143" s="41"/>
      <c r="AA143" s="52"/>
      <c r="AB143" s="41"/>
      <c r="AC143" s="41"/>
      <c r="AD143" s="41"/>
      <c r="AE143" s="41"/>
      <c r="AF143" s="31"/>
      <c r="AG143" s="31"/>
      <c r="AH143" s="42"/>
      <c r="AI143" s="42"/>
      <c r="AJ143" s="42"/>
      <c r="AK143" s="42"/>
      <c r="AL143" s="52"/>
      <c r="AM143" s="41"/>
      <c r="AN143" s="41"/>
      <c r="AO143" s="41"/>
      <c r="AP143" s="41"/>
      <c r="AQ143" s="41"/>
      <c r="AR143" s="41"/>
      <c r="AS143" s="41"/>
    </row>
    <row r="144" spans="1:45" x14ac:dyDescent="0.25">
      <c r="A144" s="31"/>
      <c r="B144" s="41"/>
      <c r="C144" s="41"/>
      <c r="D144" s="41"/>
      <c r="E144" s="41"/>
      <c r="F144" s="49"/>
      <c r="G144" s="50"/>
      <c r="H144" s="44"/>
      <c r="I144" s="44"/>
      <c r="J144" s="44"/>
      <c r="K144" s="44"/>
      <c r="L144" s="44"/>
      <c r="M144" s="45"/>
      <c r="N144" s="36"/>
      <c r="O144" s="36"/>
      <c r="P144" s="36"/>
      <c r="Q144" s="39"/>
      <c r="R144" s="41"/>
      <c r="S144" s="51"/>
      <c r="T144" s="31"/>
      <c r="U144" s="41"/>
      <c r="V144" s="41"/>
      <c r="W144" s="41"/>
      <c r="X144" s="41"/>
      <c r="Y144" s="41"/>
      <c r="Z144" s="41"/>
      <c r="AA144" s="52"/>
      <c r="AB144" s="41"/>
      <c r="AC144" s="41"/>
      <c r="AD144" s="41"/>
      <c r="AE144" s="41"/>
      <c r="AF144" s="31"/>
      <c r="AG144" s="31"/>
      <c r="AH144" s="42"/>
      <c r="AI144" s="42"/>
      <c r="AJ144" s="42"/>
      <c r="AK144" s="42"/>
      <c r="AL144" s="52"/>
      <c r="AM144" s="41"/>
      <c r="AN144" s="41"/>
      <c r="AO144" s="41"/>
      <c r="AP144" s="41"/>
      <c r="AQ144" s="41"/>
      <c r="AR144" s="41"/>
      <c r="AS144" s="41"/>
    </row>
    <row r="145" spans="1:45" x14ac:dyDescent="0.25">
      <c r="A145" s="31"/>
      <c r="B145" s="41"/>
      <c r="C145" s="41"/>
      <c r="D145" s="41"/>
      <c r="E145" s="41"/>
      <c r="F145" s="49"/>
      <c r="G145" s="50"/>
      <c r="H145" s="44"/>
      <c r="I145" s="44"/>
      <c r="J145" s="44"/>
      <c r="K145" s="44"/>
      <c r="L145" s="44"/>
      <c r="M145" s="45"/>
      <c r="N145" s="36"/>
      <c r="O145" s="36"/>
      <c r="P145" s="36"/>
      <c r="Q145" s="39"/>
      <c r="R145" s="41"/>
      <c r="S145" s="51"/>
      <c r="T145" s="31"/>
      <c r="U145" s="41"/>
      <c r="V145" s="41"/>
      <c r="W145" s="41"/>
      <c r="X145" s="41"/>
      <c r="Y145" s="41"/>
      <c r="Z145" s="41"/>
      <c r="AA145" s="52"/>
      <c r="AB145" s="41"/>
      <c r="AC145" s="41"/>
      <c r="AD145" s="41"/>
      <c r="AE145" s="41"/>
      <c r="AF145" s="31"/>
      <c r="AG145" s="31"/>
      <c r="AH145" s="42"/>
      <c r="AI145" s="42"/>
      <c r="AJ145" s="42"/>
      <c r="AK145" s="42"/>
      <c r="AL145" s="52"/>
      <c r="AM145" s="41"/>
      <c r="AN145" s="41"/>
      <c r="AO145" s="41"/>
      <c r="AP145" s="41"/>
      <c r="AQ145" s="41"/>
      <c r="AR145" s="41"/>
      <c r="AS145" s="41"/>
    </row>
    <row r="146" spans="1:45" x14ac:dyDescent="0.25">
      <c r="A146" s="31"/>
      <c r="B146" s="41"/>
      <c r="C146" s="41"/>
      <c r="D146" s="41"/>
      <c r="E146" s="41"/>
      <c r="F146" s="49"/>
      <c r="G146" s="50"/>
      <c r="H146" s="44"/>
      <c r="I146" s="44"/>
      <c r="J146" s="44"/>
      <c r="K146" s="44"/>
      <c r="L146" s="44"/>
      <c r="M146" s="45"/>
      <c r="N146" s="36"/>
      <c r="O146" s="36"/>
      <c r="P146" s="36"/>
      <c r="Q146" s="39"/>
      <c r="R146" s="41"/>
      <c r="S146" s="51"/>
      <c r="T146" s="31"/>
      <c r="U146" s="41"/>
      <c r="V146" s="41"/>
      <c r="W146" s="41"/>
      <c r="X146" s="41"/>
      <c r="Y146" s="41"/>
      <c r="Z146" s="41"/>
      <c r="AA146" s="52"/>
      <c r="AB146" s="41"/>
      <c r="AC146" s="41"/>
      <c r="AD146" s="41"/>
      <c r="AE146" s="41"/>
      <c r="AF146" s="31"/>
      <c r="AG146" s="31"/>
      <c r="AH146" s="42"/>
      <c r="AI146" s="42"/>
      <c r="AJ146" s="42"/>
      <c r="AK146" s="42"/>
      <c r="AL146" s="52"/>
      <c r="AM146" s="41"/>
      <c r="AN146" s="41"/>
      <c r="AO146" s="41"/>
      <c r="AP146" s="41"/>
      <c r="AQ146" s="41"/>
      <c r="AR146" s="41"/>
      <c r="AS146" s="41"/>
    </row>
    <row r="147" spans="1:45" x14ac:dyDescent="0.25">
      <c r="A147" s="31"/>
      <c r="B147" s="41"/>
      <c r="C147" s="41"/>
      <c r="D147" s="41"/>
      <c r="E147" s="41"/>
      <c r="F147" s="49"/>
      <c r="G147" s="50"/>
      <c r="H147" s="44"/>
      <c r="I147" s="44"/>
      <c r="J147" s="44"/>
      <c r="K147" s="44"/>
      <c r="L147" s="44"/>
      <c r="M147" s="45"/>
      <c r="N147" s="36"/>
      <c r="O147" s="36"/>
      <c r="P147" s="36"/>
      <c r="Q147" s="39"/>
      <c r="R147" s="41"/>
      <c r="S147" s="51"/>
      <c r="T147" s="31"/>
      <c r="U147" s="41"/>
      <c r="V147" s="41"/>
      <c r="W147" s="41"/>
      <c r="X147" s="41"/>
      <c r="Y147" s="41"/>
      <c r="Z147" s="41"/>
      <c r="AA147" s="52"/>
      <c r="AB147" s="41"/>
      <c r="AC147" s="41"/>
      <c r="AD147" s="41"/>
      <c r="AE147" s="41"/>
      <c r="AF147" s="31"/>
      <c r="AG147" s="31"/>
      <c r="AH147" s="42"/>
      <c r="AI147" s="42"/>
      <c r="AJ147" s="42"/>
      <c r="AK147" s="42"/>
      <c r="AL147" s="52"/>
      <c r="AM147" s="41"/>
      <c r="AN147" s="41"/>
      <c r="AO147" s="41"/>
      <c r="AP147" s="41"/>
      <c r="AQ147" s="41"/>
      <c r="AR147" s="41"/>
      <c r="AS147" s="41"/>
    </row>
    <row r="148" spans="1:45" x14ac:dyDescent="0.25">
      <c r="A148" s="31"/>
      <c r="B148" s="41"/>
      <c r="C148" s="41"/>
      <c r="D148" s="41"/>
      <c r="E148" s="41"/>
      <c r="F148" s="49"/>
      <c r="G148" s="50"/>
      <c r="H148" s="44"/>
      <c r="I148" s="44"/>
      <c r="J148" s="44"/>
      <c r="K148" s="44"/>
      <c r="L148" s="44"/>
      <c r="M148" s="45"/>
      <c r="N148" s="36"/>
      <c r="O148" s="36"/>
      <c r="P148" s="36"/>
      <c r="Q148" s="39"/>
      <c r="R148" s="41"/>
      <c r="S148" s="51"/>
      <c r="T148" s="31"/>
      <c r="U148" s="41"/>
      <c r="V148" s="41"/>
      <c r="W148" s="41"/>
      <c r="X148" s="41"/>
      <c r="Y148" s="41"/>
      <c r="Z148" s="41"/>
      <c r="AA148" s="52"/>
      <c r="AB148" s="41"/>
      <c r="AC148" s="41"/>
      <c r="AD148" s="41"/>
      <c r="AE148" s="41"/>
      <c r="AF148" s="31"/>
      <c r="AG148" s="31"/>
      <c r="AH148" s="42"/>
      <c r="AI148" s="42"/>
      <c r="AJ148" s="42"/>
      <c r="AK148" s="42"/>
      <c r="AL148" s="52"/>
      <c r="AM148" s="41"/>
      <c r="AN148" s="41"/>
      <c r="AO148" s="41"/>
      <c r="AP148" s="41"/>
      <c r="AQ148" s="41"/>
      <c r="AR148" s="41"/>
      <c r="AS148" s="41"/>
    </row>
    <row r="149" spans="1:45" x14ac:dyDescent="0.25">
      <c r="A149" s="31"/>
      <c r="B149" s="41"/>
      <c r="C149" s="41"/>
      <c r="D149" s="41"/>
      <c r="E149" s="41"/>
      <c r="F149" s="49"/>
      <c r="G149" s="50"/>
      <c r="H149" s="44"/>
      <c r="I149" s="44"/>
      <c r="J149" s="44"/>
      <c r="K149" s="44"/>
      <c r="L149" s="44"/>
      <c r="M149" s="45"/>
      <c r="N149" s="36"/>
      <c r="O149" s="36"/>
      <c r="P149" s="36"/>
      <c r="Q149" s="39"/>
      <c r="R149" s="41"/>
      <c r="S149" s="51"/>
      <c r="T149" s="31"/>
      <c r="U149" s="41"/>
      <c r="V149" s="41"/>
      <c r="W149" s="41"/>
      <c r="X149" s="41"/>
      <c r="Y149" s="41"/>
      <c r="Z149" s="41"/>
      <c r="AA149" s="52"/>
      <c r="AB149" s="41"/>
      <c r="AC149" s="41"/>
      <c r="AD149" s="41"/>
      <c r="AE149" s="41"/>
      <c r="AF149" s="31"/>
      <c r="AG149" s="31"/>
      <c r="AH149" s="42"/>
      <c r="AI149" s="42"/>
      <c r="AJ149" s="42"/>
      <c r="AK149" s="42"/>
      <c r="AL149" s="52"/>
      <c r="AM149" s="41"/>
      <c r="AN149" s="41"/>
      <c r="AO149" s="41"/>
      <c r="AP149" s="41"/>
      <c r="AQ149" s="41"/>
      <c r="AR149" s="41"/>
      <c r="AS149" s="41"/>
    </row>
    <row r="150" spans="1:45" x14ac:dyDescent="0.25">
      <c r="A150" s="31"/>
      <c r="B150" s="41"/>
      <c r="C150" s="41"/>
      <c r="D150" s="41"/>
      <c r="E150" s="41"/>
      <c r="F150" s="49"/>
      <c r="G150" s="50"/>
      <c r="H150" s="44"/>
      <c r="I150" s="44"/>
      <c r="J150" s="44"/>
      <c r="K150" s="44"/>
      <c r="L150" s="44"/>
      <c r="M150" s="45"/>
      <c r="N150" s="36"/>
      <c r="O150" s="36"/>
      <c r="P150" s="36"/>
      <c r="Q150" s="39"/>
      <c r="R150" s="41"/>
      <c r="S150" s="51"/>
      <c r="T150" s="31"/>
      <c r="U150" s="41"/>
      <c r="V150" s="41"/>
      <c r="W150" s="41"/>
      <c r="X150" s="41"/>
      <c r="Y150" s="41"/>
      <c r="Z150" s="41"/>
      <c r="AA150" s="52"/>
      <c r="AB150" s="41"/>
      <c r="AC150" s="41"/>
      <c r="AD150" s="41"/>
      <c r="AE150" s="41"/>
      <c r="AF150" s="31"/>
      <c r="AG150" s="31"/>
      <c r="AH150" s="42"/>
      <c r="AI150" s="42"/>
      <c r="AJ150" s="42"/>
      <c r="AK150" s="42"/>
      <c r="AL150" s="52"/>
      <c r="AM150" s="41"/>
      <c r="AN150" s="41"/>
      <c r="AO150" s="41"/>
      <c r="AP150" s="41"/>
      <c r="AQ150" s="41"/>
      <c r="AR150" s="41"/>
      <c r="AS150" s="41"/>
    </row>
    <row r="151" spans="1:45" x14ac:dyDescent="0.25">
      <c r="A151" s="31"/>
      <c r="B151" s="41"/>
      <c r="C151" s="41"/>
      <c r="D151" s="41"/>
      <c r="E151" s="41"/>
      <c r="F151" s="49"/>
      <c r="G151" s="50"/>
      <c r="H151" s="44"/>
      <c r="I151" s="44"/>
      <c r="J151" s="44"/>
      <c r="K151" s="44"/>
      <c r="L151" s="44"/>
      <c r="M151" s="45"/>
      <c r="N151" s="36"/>
      <c r="O151" s="36"/>
      <c r="P151" s="36"/>
      <c r="Q151" s="39"/>
      <c r="R151" s="41"/>
      <c r="S151" s="51"/>
      <c r="T151" s="31"/>
      <c r="U151" s="41"/>
      <c r="V151" s="41"/>
      <c r="W151" s="41"/>
      <c r="X151" s="41"/>
      <c r="Y151" s="41"/>
      <c r="Z151" s="41"/>
      <c r="AA151" s="52"/>
      <c r="AB151" s="41"/>
      <c r="AC151" s="41"/>
      <c r="AD151" s="41"/>
      <c r="AE151" s="41"/>
      <c r="AF151" s="31"/>
      <c r="AG151" s="31"/>
      <c r="AH151" s="42"/>
      <c r="AI151" s="42"/>
      <c r="AJ151" s="42"/>
      <c r="AK151" s="42"/>
      <c r="AL151" s="52"/>
      <c r="AM151" s="41"/>
      <c r="AN151" s="41"/>
      <c r="AO151" s="41"/>
      <c r="AP151" s="41"/>
      <c r="AQ151" s="41"/>
      <c r="AR151" s="41"/>
      <c r="AS151" s="41"/>
    </row>
    <row r="152" spans="1:45" x14ac:dyDescent="0.25">
      <c r="A152" s="31"/>
      <c r="B152" s="41"/>
      <c r="C152" s="41"/>
      <c r="D152" s="41"/>
      <c r="E152" s="41"/>
      <c r="F152" s="49"/>
      <c r="G152" s="50"/>
      <c r="H152" s="44"/>
      <c r="I152" s="44"/>
      <c r="J152" s="44"/>
      <c r="K152" s="44"/>
      <c r="L152" s="44"/>
      <c r="M152" s="45"/>
      <c r="N152" s="36"/>
      <c r="O152" s="36"/>
      <c r="P152" s="36"/>
      <c r="Q152" s="39"/>
      <c r="R152" s="41"/>
      <c r="S152" s="51"/>
      <c r="T152" s="31"/>
      <c r="U152" s="41"/>
      <c r="V152" s="41"/>
      <c r="W152" s="41"/>
      <c r="X152" s="41"/>
      <c r="Y152" s="41"/>
      <c r="Z152" s="41"/>
      <c r="AA152" s="52"/>
      <c r="AB152" s="41"/>
      <c r="AC152" s="41"/>
      <c r="AD152" s="41"/>
      <c r="AE152" s="41"/>
      <c r="AF152" s="31"/>
      <c r="AG152" s="31"/>
      <c r="AH152" s="42"/>
      <c r="AI152" s="42"/>
      <c r="AJ152" s="42"/>
      <c r="AK152" s="42"/>
      <c r="AL152" s="52"/>
      <c r="AM152" s="41"/>
      <c r="AN152" s="41"/>
      <c r="AO152" s="41"/>
      <c r="AP152" s="41"/>
      <c r="AQ152" s="41"/>
      <c r="AR152" s="41"/>
      <c r="AS152" s="41"/>
    </row>
    <row r="153" spans="1:45" x14ac:dyDescent="0.25">
      <c r="A153" s="31"/>
      <c r="B153" s="41"/>
      <c r="C153" s="41"/>
      <c r="D153" s="41"/>
      <c r="E153" s="41"/>
      <c r="F153" s="49"/>
      <c r="G153" s="50"/>
      <c r="H153" s="44"/>
      <c r="I153" s="44"/>
      <c r="J153" s="44"/>
      <c r="K153" s="44"/>
      <c r="L153" s="44"/>
      <c r="M153" s="45"/>
      <c r="N153" s="36"/>
      <c r="O153" s="36"/>
      <c r="P153" s="36"/>
      <c r="Q153" s="39"/>
      <c r="R153" s="41"/>
      <c r="S153" s="51"/>
      <c r="T153" s="31"/>
      <c r="U153" s="41"/>
      <c r="V153" s="41"/>
      <c r="W153" s="41"/>
      <c r="X153" s="41"/>
      <c r="Y153" s="41"/>
      <c r="Z153" s="41"/>
      <c r="AA153" s="52"/>
      <c r="AB153" s="41"/>
      <c r="AC153" s="41"/>
      <c r="AD153" s="41"/>
      <c r="AE153" s="41"/>
      <c r="AF153" s="31"/>
      <c r="AG153" s="31"/>
      <c r="AH153" s="42"/>
      <c r="AI153" s="42"/>
      <c r="AJ153" s="42"/>
      <c r="AK153" s="42"/>
      <c r="AL153" s="52"/>
      <c r="AM153" s="41"/>
      <c r="AN153" s="41"/>
      <c r="AO153" s="41"/>
      <c r="AP153" s="41"/>
      <c r="AQ153" s="41"/>
      <c r="AR153" s="41"/>
      <c r="AS153" s="41"/>
    </row>
    <row r="154" spans="1:45" x14ac:dyDescent="0.25">
      <c r="A154" s="31"/>
      <c r="B154" s="41"/>
      <c r="C154" s="41"/>
      <c r="D154" s="41"/>
      <c r="E154" s="41"/>
      <c r="F154" s="49"/>
      <c r="G154" s="50"/>
      <c r="H154" s="44"/>
      <c r="I154" s="44"/>
      <c r="J154" s="44"/>
      <c r="K154" s="44"/>
      <c r="L154" s="44"/>
      <c r="M154" s="45"/>
      <c r="N154" s="36"/>
      <c r="O154" s="36"/>
      <c r="P154" s="36"/>
      <c r="Q154" s="39"/>
      <c r="R154" s="41"/>
      <c r="S154" s="51"/>
      <c r="T154" s="31"/>
      <c r="U154" s="41"/>
      <c r="V154" s="41"/>
      <c r="W154" s="41"/>
      <c r="X154" s="41"/>
      <c r="Y154" s="41"/>
      <c r="Z154" s="41"/>
      <c r="AA154" s="52"/>
      <c r="AB154" s="41"/>
      <c r="AC154" s="41"/>
      <c r="AD154" s="41"/>
      <c r="AE154" s="41"/>
      <c r="AF154" s="31"/>
      <c r="AG154" s="31"/>
      <c r="AH154" s="42"/>
      <c r="AI154" s="42"/>
      <c r="AJ154" s="42"/>
      <c r="AK154" s="42"/>
      <c r="AL154" s="52"/>
      <c r="AM154" s="41"/>
      <c r="AN154" s="41"/>
      <c r="AO154" s="41"/>
      <c r="AP154" s="41"/>
      <c r="AQ154" s="41"/>
      <c r="AR154" s="41"/>
      <c r="AS154" s="41"/>
    </row>
    <row r="155" spans="1:45" x14ac:dyDescent="0.25">
      <c r="A155" s="31"/>
      <c r="B155" s="41"/>
      <c r="C155" s="41"/>
      <c r="D155" s="41"/>
      <c r="E155" s="41"/>
      <c r="F155" s="49"/>
      <c r="G155" s="50"/>
      <c r="H155" s="44"/>
      <c r="I155" s="44"/>
      <c r="J155" s="44"/>
      <c r="K155" s="44"/>
      <c r="L155" s="44"/>
      <c r="M155" s="45"/>
      <c r="N155" s="36"/>
      <c r="O155" s="36"/>
      <c r="P155" s="36"/>
      <c r="Q155" s="39"/>
      <c r="R155" s="41"/>
      <c r="S155" s="51"/>
      <c r="T155" s="31"/>
      <c r="U155" s="41"/>
      <c r="V155" s="41"/>
      <c r="W155" s="41"/>
      <c r="X155" s="41"/>
      <c r="Y155" s="41"/>
      <c r="Z155" s="41"/>
      <c r="AA155" s="52"/>
      <c r="AB155" s="41"/>
      <c r="AC155" s="41"/>
      <c r="AD155" s="41"/>
      <c r="AE155" s="41"/>
      <c r="AF155" s="31"/>
      <c r="AG155" s="31"/>
      <c r="AH155" s="42"/>
      <c r="AI155" s="42"/>
      <c r="AJ155" s="42"/>
      <c r="AK155" s="42"/>
      <c r="AL155" s="52"/>
      <c r="AM155" s="41"/>
      <c r="AN155" s="41"/>
      <c r="AO155" s="41"/>
      <c r="AP155" s="41"/>
      <c r="AQ155" s="41"/>
      <c r="AR155" s="41"/>
      <c r="AS155" s="41"/>
    </row>
    <row r="156" spans="1:45" x14ac:dyDescent="0.25">
      <c r="A156" s="31"/>
      <c r="B156" s="41"/>
      <c r="C156" s="41"/>
      <c r="D156" s="41"/>
      <c r="E156" s="41"/>
      <c r="F156" s="49"/>
      <c r="G156" s="50"/>
      <c r="H156" s="44"/>
      <c r="I156" s="44"/>
      <c r="J156" s="44"/>
      <c r="K156" s="44"/>
      <c r="L156" s="44"/>
      <c r="M156" s="45"/>
      <c r="N156" s="36"/>
      <c r="O156" s="36"/>
      <c r="P156" s="36"/>
      <c r="Q156" s="39"/>
      <c r="R156" s="41"/>
      <c r="S156" s="51"/>
      <c r="T156" s="31"/>
      <c r="U156" s="41"/>
      <c r="V156" s="41"/>
      <c r="W156" s="41"/>
      <c r="X156" s="41"/>
      <c r="Y156" s="41"/>
      <c r="Z156" s="41"/>
      <c r="AA156" s="52"/>
      <c r="AB156" s="41"/>
      <c r="AC156" s="41"/>
      <c r="AD156" s="41"/>
      <c r="AE156" s="41"/>
      <c r="AF156" s="31"/>
      <c r="AG156" s="31"/>
      <c r="AH156" s="42"/>
      <c r="AI156" s="42"/>
      <c r="AJ156" s="42"/>
      <c r="AK156" s="42"/>
      <c r="AL156" s="52"/>
      <c r="AM156" s="41"/>
      <c r="AN156" s="41"/>
      <c r="AO156" s="41"/>
      <c r="AP156" s="41"/>
      <c r="AQ156" s="41"/>
      <c r="AR156" s="41"/>
      <c r="AS156" s="41"/>
    </row>
    <row r="157" spans="1:45" x14ac:dyDescent="0.25">
      <c r="A157" s="31"/>
      <c r="B157" s="41"/>
      <c r="C157" s="41"/>
      <c r="D157" s="41"/>
      <c r="E157" s="41"/>
      <c r="F157" s="49"/>
      <c r="G157" s="50"/>
      <c r="H157" s="44"/>
      <c r="I157" s="44"/>
      <c r="J157" s="44"/>
      <c r="K157" s="44"/>
      <c r="L157" s="44"/>
      <c r="M157" s="45"/>
      <c r="N157" s="36"/>
      <c r="O157" s="36"/>
      <c r="P157" s="36"/>
      <c r="Q157" s="39"/>
      <c r="R157" s="41"/>
      <c r="S157" s="51"/>
      <c r="T157" s="31"/>
      <c r="U157" s="41"/>
      <c r="V157" s="41"/>
      <c r="W157" s="41"/>
      <c r="X157" s="41"/>
      <c r="Y157" s="41"/>
      <c r="Z157" s="41"/>
      <c r="AA157" s="52"/>
      <c r="AB157" s="41"/>
      <c r="AC157" s="41"/>
      <c r="AD157" s="41"/>
      <c r="AE157" s="41"/>
      <c r="AF157" s="31"/>
      <c r="AG157" s="31"/>
      <c r="AH157" s="42"/>
      <c r="AI157" s="42"/>
      <c r="AJ157" s="42"/>
      <c r="AK157" s="42"/>
      <c r="AL157" s="52"/>
      <c r="AM157" s="41"/>
      <c r="AN157" s="41"/>
      <c r="AO157" s="41"/>
      <c r="AP157" s="41"/>
      <c r="AQ157" s="41"/>
      <c r="AR157" s="41"/>
      <c r="AS157" s="41"/>
    </row>
    <row r="158" spans="1:45" x14ac:dyDescent="0.25">
      <c r="A158" s="31"/>
      <c r="B158" s="41"/>
      <c r="C158" s="41"/>
      <c r="D158" s="41"/>
      <c r="E158" s="41"/>
      <c r="F158" s="49"/>
      <c r="G158" s="50"/>
      <c r="H158" s="44"/>
      <c r="I158" s="44"/>
      <c r="J158" s="44"/>
      <c r="K158" s="44"/>
      <c r="L158" s="44"/>
      <c r="M158" s="45"/>
      <c r="N158" s="36"/>
      <c r="O158" s="36"/>
      <c r="P158" s="36"/>
      <c r="Q158" s="39"/>
      <c r="R158" s="41"/>
      <c r="S158" s="51"/>
      <c r="T158" s="31"/>
      <c r="U158" s="41"/>
      <c r="V158" s="41"/>
      <c r="W158" s="41"/>
      <c r="X158" s="41"/>
      <c r="Y158" s="41"/>
      <c r="Z158" s="41"/>
      <c r="AA158" s="52"/>
      <c r="AB158" s="41"/>
      <c r="AC158" s="41"/>
      <c r="AD158" s="41"/>
      <c r="AE158" s="41"/>
      <c r="AF158" s="31"/>
      <c r="AG158" s="31"/>
      <c r="AH158" s="42"/>
      <c r="AI158" s="42"/>
      <c r="AJ158" s="42"/>
      <c r="AK158" s="42"/>
      <c r="AL158" s="52"/>
      <c r="AM158" s="41"/>
      <c r="AN158" s="41"/>
      <c r="AO158" s="41"/>
      <c r="AP158" s="41"/>
      <c r="AQ158" s="41"/>
      <c r="AR158" s="41"/>
      <c r="AS158" s="41"/>
    </row>
    <row r="159" spans="1:45" x14ac:dyDescent="0.25">
      <c r="A159" s="31"/>
      <c r="B159" s="41"/>
      <c r="C159" s="41"/>
      <c r="D159" s="41"/>
      <c r="E159" s="41"/>
      <c r="F159" s="49"/>
      <c r="G159" s="50"/>
      <c r="H159" s="44"/>
      <c r="I159" s="44"/>
      <c r="J159" s="44"/>
      <c r="K159" s="44"/>
      <c r="L159" s="44"/>
      <c r="M159" s="45"/>
      <c r="N159" s="36"/>
      <c r="O159" s="36"/>
      <c r="P159" s="36"/>
      <c r="Q159" s="39"/>
      <c r="R159" s="41"/>
      <c r="S159" s="51"/>
      <c r="T159" s="31"/>
      <c r="U159" s="41"/>
      <c r="V159" s="41"/>
      <c r="W159" s="41"/>
      <c r="X159" s="41"/>
      <c r="Y159" s="41"/>
      <c r="Z159" s="41"/>
      <c r="AA159" s="52"/>
      <c r="AB159" s="41"/>
      <c r="AC159" s="41"/>
      <c r="AD159" s="41"/>
      <c r="AE159" s="41"/>
      <c r="AF159" s="31"/>
      <c r="AG159" s="31"/>
      <c r="AH159" s="42"/>
      <c r="AI159" s="42"/>
      <c r="AJ159" s="42"/>
      <c r="AK159" s="42"/>
      <c r="AL159" s="52"/>
      <c r="AM159" s="41"/>
      <c r="AN159" s="41"/>
      <c r="AO159" s="41"/>
      <c r="AP159" s="41"/>
      <c r="AQ159" s="41"/>
      <c r="AR159" s="41"/>
      <c r="AS159" s="41"/>
    </row>
    <row r="160" spans="1:45" x14ac:dyDescent="0.25">
      <c r="A160" s="31"/>
      <c r="B160" s="41"/>
      <c r="C160" s="41"/>
      <c r="D160" s="41"/>
      <c r="E160" s="41"/>
      <c r="F160" s="49"/>
      <c r="G160" s="50"/>
      <c r="H160" s="44"/>
      <c r="I160" s="44"/>
      <c r="J160" s="44"/>
      <c r="K160" s="44"/>
      <c r="L160" s="44"/>
      <c r="M160" s="45"/>
      <c r="N160" s="36"/>
      <c r="O160" s="36"/>
      <c r="P160" s="36"/>
      <c r="Q160" s="39"/>
      <c r="R160" s="41"/>
      <c r="S160" s="51"/>
      <c r="T160" s="31"/>
      <c r="U160" s="41"/>
      <c r="V160" s="41"/>
      <c r="W160" s="41"/>
      <c r="X160" s="41"/>
      <c r="Y160" s="41"/>
      <c r="Z160" s="41"/>
      <c r="AA160" s="52"/>
      <c r="AB160" s="41"/>
      <c r="AC160" s="41"/>
      <c r="AD160" s="41"/>
      <c r="AE160" s="41"/>
      <c r="AF160" s="31"/>
      <c r="AG160" s="31"/>
      <c r="AH160" s="42"/>
      <c r="AI160" s="42"/>
      <c r="AJ160" s="42"/>
      <c r="AK160" s="42"/>
      <c r="AL160" s="52"/>
      <c r="AM160" s="41"/>
      <c r="AN160" s="41"/>
      <c r="AO160" s="41"/>
      <c r="AP160" s="41"/>
      <c r="AQ160" s="41"/>
      <c r="AR160" s="41"/>
      <c r="AS160" s="41"/>
    </row>
    <row r="161" spans="1:45" x14ac:dyDescent="0.25">
      <c r="A161" s="31"/>
      <c r="B161" s="41"/>
      <c r="C161" s="41"/>
      <c r="D161" s="41"/>
      <c r="E161" s="41"/>
      <c r="F161" s="49"/>
      <c r="G161" s="50"/>
      <c r="H161" s="44"/>
      <c r="I161" s="44"/>
      <c r="J161" s="44"/>
      <c r="K161" s="44"/>
      <c r="L161" s="44"/>
      <c r="M161" s="45"/>
      <c r="N161" s="36"/>
      <c r="O161" s="36"/>
      <c r="P161" s="36"/>
      <c r="Q161" s="39"/>
      <c r="R161" s="41"/>
      <c r="S161" s="51"/>
      <c r="T161" s="31"/>
      <c r="U161" s="41"/>
      <c r="V161" s="41"/>
      <c r="W161" s="41"/>
      <c r="X161" s="41"/>
      <c r="Y161" s="41"/>
      <c r="Z161" s="41"/>
      <c r="AA161" s="52"/>
      <c r="AB161" s="41"/>
      <c r="AC161" s="41"/>
      <c r="AD161" s="41"/>
      <c r="AE161" s="41"/>
      <c r="AF161" s="31"/>
      <c r="AG161" s="31"/>
      <c r="AH161" s="42"/>
      <c r="AI161" s="42"/>
      <c r="AJ161" s="42"/>
      <c r="AK161" s="42"/>
      <c r="AL161" s="52"/>
      <c r="AM161" s="41"/>
      <c r="AN161" s="41"/>
      <c r="AO161" s="41"/>
      <c r="AP161" s="41"/>
      <c r="AQ161" s="41"/>
      <c r="AR161" s="41"/>
      <c r="AS161" s="41"/>
    </row>
    <row r="162" spans="1:45" x14ac:dyDescent="0.25">
      <c r="A162" s="31"/>
      <c r="B162" s="41"/>
      <c r="C162" s="41"/>
      <c r="D162" s="41"/>
      <c r="E162" s="41"/>
      <c r="F162" s="49"/>
      <c r="G162" s="50"/>
      <c r="H162" s="44"/>
      <c r="I162" s="44"/>
      <c r="J162" s="44"/>
      <c r="K162" s="44"/>
      <c r="L162" s="44"/>
      <c r="M162" s="45"/>
      <c r="N162" s="36"/>
      <c r="O162" s="36"/>
      <c r="P162" s="36"/>
      <c r="Q162" s="39"/>
      <c r="R162" s="41"/>
      <c r="S162" s="51"/>
      <c r="T162" s="31"/>
      <c r="U162" s="41"/>
      <c r="V162" s="41"/>
      <c r="W162" s="41"/>
      <c r="X162" s="41"/>
      <c r="Y162" s="41"/>
      <c r="Z162" s="41"/>
      <c r="AA162" s="52"/>
      <c r="AB162" s="41"/>
      <c r="AC162" s="41"/>
      <c r="AD162" s="41"/>
      <c r="AE162" s="41"/>
      <c r="AF162" s="31"/>
      <c r="AG162" s="31"/>
      <c r="AH162" s="42"/>
      <c r="AI162" s="42"/>
      <c r="AJ162" s="42"/>
      <c r="AK162" s="42"/>
      <c r="AL162" s="52"/>
      <c r="AM162" s="41"/>
      <c r="AN162" s="41"/>
      <c r="AO162" s="41"/>
      <c r="AP162" s="41"/>
      <c r="AQ162" s="41"/>
      <c r="AR162" s="41"/>
      <c r="AS162" s="41"/>
    </row>
    <row r="163" spans="1:45" x14ac:dyDescent="0.25">
      <c r="A163" s="31"/>
      <c r="B163" s="41"/>
      <c r="C163" s="41"/>
      <c r="D163" s="41"/>
      <c r="E163" s="41"/>
      <c r="F163" s="49"/>
      <c r="G163" s="50"/>
      <c r="H163" s="44"/>
      <c r="I163" s="44"/>
      <c r="J163" s="44"/>
      <c r="K163" s="44"/>
      <c r="L163" s="44"/>
      <c r="M163" s="45"/>
      <c r="N163" s="36"/>
      <c r="O163" s="36"/>
      <c r="P163" s="36"/>
      <c r="Q163" s="39"/>
      <c r="R163" s="41"/>
      <c r="S163" s="51"/>
      <c r="T163" s="31"/>
      <c r="U163" s="41"/>
      <c r="V163" s="41"/>
      <c r="W163" s="41"/>
      <c r="X163" s="41"/>
      <c r="Y163" s="41"/>
      <c r="Z163" s="41"/>
      <c r="AA163" s="52"/>
      <c r="AB163" s="41"/>
      <c r="AC163" s="41"/>
      <c r="AD163" s="41"/>
      <c r="AE163" s="41"/>
      <c r="AF163" s="31"/>
      <c r="AG163" s="31"/>
      <c r="AH163" s="42"/>
      <c r="AI163" s="42"/>
      <c r="AJ163" s="42"/>
      <c r="AK163" s="42"/>
      <c r="AL163" s="52"/>
      <c r="AM163" s="41"/>
      <c r="AN163" s="41"/>
      <c r="AO163" s="41"/>
      <c r="AP163" s="41"/>
      <c r="AQ163" s="41"/>
      <c r="AR163" s="41"/>
      <c r="AS163" s="41"/>
    </row>
    <row r="164" spans="1:45" x14ac:dyDescent="0.25">
      <c r="A164" s="31"/>
      <c r="B164" s="41"/>
      <c r="C164" s="41"/>
      <c r="D164" s="41"/>
      <c r="E164" s="41"/>
      <c r="F164" s="49"/>
      <c r="G164" s="50"/>
      <c r="H164" s="44"/>
      <c r="I164" s="44"/>
      <c r="J164" s="44"/>
      <c r="K164" s="44"/>
      <c r="L164" s="44"/>
      <c r="M164" s="45"/>
      <c r="N164" s="36"/>
      <c r="O164" s="36"/>
      <c r="P164" s="36"/>
      <c r="Q164" s="39"/>
      <c r="R164" s="41"/>
      <c r="S164" s="51"/>
      <c r="T164" s="31"/>
      <c r="U164" s="41"/>
      <c r="V164" s="41"/>
      <c r="W164" s="41"/>
      <c r="X164" s="41"/>
      <c r="Y164" s="41"/>
      <c r="Z164" s="41"/>
      <c r="AA164" s="52"/>
      <c r="AB164" s="41"/>
      <c r="AC164" s="41"/>
      <c r="AD164" s="41"/>
      <c r="AE164" s="41"/>
      <c r="AF164" s="31"/>
      <c r="AG164" s="31"/>
      <c r="AH164" s="42"/>
      <c r="AI164" s="42"/>
      <c r="AJ164" s="42"/>
      <c r="AK164" s="42"/>
      <c r="AL164" s="52"/>
      <c r="AM164" s="41"/>
      <c r="AN164" s="41"/>
      <c r="AO164" s="41"/>
      <c r="AP164" s="41"/>
      <c r="AQ164" s="41"/>
      <c r="AR164" s="41"/>
      <c r="AS164" s="41"/>
    </row>
    <row r="165" spans="1:45" x14ac:dyDescent="0.25">
      <c r="A165" s="31"/>
      <c r="B165" s="41"/>
      <c r="C165" s="41"/>
      <c r="D165" s="41"/>
      <c r="E165" s="41"/>
      <c r="F165" s="49"/>
      <c r="G165" s="50"/>
      <c r="H165" s="44"/>
      <c r="I165" s="44"/>
      <c r="J165" s="44"/>
      <c r="K165" s="44"/>
      <c r="L165" s="44"/>
      <c r="M165" s="45"/>
      <c r="N165" s="36"/>
      <c r="O165" s="36"/>
      <c r="P165" s="36"/>
      <c r="Q165" s="39"/>
      <c r="R165" s="41"/>
      <c r="S165" s="51"/>
      <c r="T165" s="31"/>
      <c r="U165" s="41"/>
      <c r="V165" s="41"/>
      <c r="W165" s="41"/>
      <c r="X165" s="41"/>
      <c r="Y165" s="41"/>
      <c r="Z165" s="41"/>
      <c r="AA165" s="52"/>
      <c r="AB165" s="41"/>
      <c r="AC165" s="41"/>
      <c r="AD165" s="41"/>
      <c r="AE165" s="41"/>
      <c r="AF165" s="31"/>
      <c r="AG165" s="31"/>
      <c r="AH165" s="42"/>
      <c r="AI165" s="42"/>
      <c r="AJ165" s="42"/>
      <c r="AK165" s="42"/>
      <c r="AL165" s="52"/>
      <c r="AM165" s="41"/>
      <c r="AN165" s="41"/>
      <c r="AO165" s="41"/>
      <c r="AP165" s="41"/>
      <c r="AQ165" s="41"/>
      <c r="AR165" s="41"/>
      <c r="AS165" s="41"/>
    </row>
    <row r="166" spans="1:45" x14ac:dyDescent="0.25">
      <c r="A166" s="31"/>
      <c r="B166" s="41"/>
      <c r="C166" s="41"/>
      <c r="D166" s="41"/>
      <c r="E166" s="41"/>
      <c r="F166" s="49"/>
      <c r="G166" s="50"/>
      <c r="H166" s="44"/>
      <c r="I166" s="44"/>
      <c r="J166" s="44"/>
      <c r="K166" s="44"/>
      <c r="L166" s="44"/>
      <c r="M166" s="45"/>
      <c r="N166" s="36"/>
      <c r="O166" s="36"/>
      <c r="P166" s="36"/>
      <c r="Q166" s="39"/>
      <c r="R166" s="41"/>
      <c r="S166" s="51"/>
      <c r="T166" s="31"/>
      <c r="U166" s="41"/>
      <c r="V166" s="41"/>
      <c r="W166" s="41"/>
      <c r="X166" s="41"/>
      <c r="Y166" s="41"/>
      <c r="Z166" s="41"/>
      <c r="AA166" s="52"/>
      <c r="AB166" s="41"/>
      <c r="AC166" s="41"/>
      <c r="AD166" s="41"/>
      <c r="AE166" s="41"/>
      <c r="AF166" s="31"/>
      <c r="AG166" s="31"/>
      <c r="AH166" s="42"/>
      <c r="AI166" s="42"/>
      <c r="AJ166" s="42"/>
      <c r="AK166" s="42"/>
      <c r="AL166" s="52"/>
      <c r="AM166" s="41"/>
      <c r="AN166" s="41"/>
      <c r="AO166" s="41"/>
      <c r="AP166" s="41"/>
      <c r="AQ166" s="41"/>
      <c r="AR166" s="41"/>
      <c r="AS166" s="41"/>
    </row>
    <row r="167" spans="1:45" x14ac:dyDescent="0.25">
      <c r="A167" s="31"/>
      <c r="B167" s="41"/>
      <c r="C167" s="41"/>
      <c r="D167" s="41"/>
      <c r="E167" s="41"/>
      <c r="F167" s="49"/>
      <c r="G167" s="50"/>
      <c r="H167" s="44"/>
      <c r="I167" s="44"/>
      <c r="J167" s="44"/>
      <c r="K167" s="44"/>
      <c r="L167" s="44"/>
      <c r="M167" s="45"/>
      <c r="N167" s="36"/>
      <c r="O167" s="36"/>
      <c r="P167" s="36"/>
      <c r="Q167" s="39"/>
      <c r="R167" s="41"/>
      <c r="S167" s="51"/>
      <c r="T167" s="31"/>
      <c r="U167" s="41"/>
      <c r="V167" s="41"/>
      <c r="W167" s="41"/>
      <c r="X167" s="41"/>
      <c r="Y167" s="41"/>
      <c r="Z167" s="41"/>
      <c r="AA167" s="52"/>
      <c r="AB167" s="41"/>
      <c r="AC167" s="41"/>
      <c r="AD167" s="41"/>
      <c r="AE167" s="41"/>
      <c r="AF167" s="31"/>
      <c r="AG167" s="31"/>
      <c r="AH167" s="42"/>
      <c r="AI167" s="42"/>
      <c r="AJ167" s="42"/>
      <c r="AK167" s="42"/>
      <c r="AL167" s="52"/>
      <c r="AM167" s="41"/>
      <c r="AN167" s="41"/>
      <c r="AO167" s="41"/>
      <c r="AP167" s="41"/>
      <c r="AQ167" s="41"/>
      <c r="AR167" s="41"/>
      <c r="AS167" s="41"/>
    </row>
    <row r="168" spans="1:45" x14ac:dyDescent="0.25">
      <c r="A168" s="31"/>
      <c r="B168" s="41"/>
      <c r="C168" s="41"/>
      <c r="D168" s="41"/>
      <c r="E168" s="41"/>
      <c r="F168" s="49"/>
      <c r="G168" s="50"/>
      <c r="H168" s="44"/>
      <c r="I168" s="44"/>
      <c r="J168" s="44"/>
      <c r="K168" s="44"/>
      <c r="L168" s="44"/>
      <c r="M168" s="45"/>
      <c r="N168" s="36"/>
      <c r="O168" s="36"/>
      <c r="P168" s="36"/>
      <c r="Q168" s="39"/>
      <c r="R168" s="41"/>
      <c r="S168" s="51"/>
      <c r="T168" s="31"/>
      <c r="U168" s="41"/>
      <c r="V168" s="41"/>
      <c r="W168" s="41"/>
      <c r="X168" s="41"/>
      <c r="Y168" s="41"/>
      <c r="Z168" s="41"/>
      <c r="AA168" s="52"/>
      <c r="AB168" s="41"/>
      <c r="AC168" s="41"/>
      <c r="AD168" s="41"/>
      <c r="AE168" s="41"/>
      <c r="AF168" s="31"/>
      <c r="AG168" s="31"/>
      <c r="AH168" s="42"/>
      <c r="AI168" s="42"/>
      <c r="AJ168" s="42"/>
      <c r="AK168" s="42"/>
      <c r="AL168" s="52"/>
      <c r="AM168" s="41"/>
      <c r="AN168" s="41"/>
      <c r="AO168" s="41"/>
      <c r="AP168" s="41"/>
      <c r="AQ168" s="41"/>
      <c r="AR168" s="41"/>
      <c r="AS168" s="41"/>
    </row>
    <row r="169" spans="1:45" x14ac:dyDescent="0.25">
      <c r="A169" s="31"/>
      <c r="B169" s="41"/>
      <c r="C169" s="41"/>
      <c r="D169" s="41"/>
      <c r="E169" s="41"/>
      <c r="F169" s="49"/>
      <c r="G169" s="50"/>
      <c r="H169" s="44"/>
      <c r="I169" s="44"/>
      <c r="J169" s="44"/>
      <c r="K169" s="44"/>
      <c r="L169" s="44"/>
      <c r="M169" s="45"/>
      <c r="N169" s="36"/>
      <c r="O169" s="36"/>
      <c r="P169" s="36"/>
      <c r="Q169" s="39"/>
      <c r="R169" s="41"/>
      <c r="S169" s="51"/>
      <c r="T169" s="31"/>
      <c r="U169" s="41"/>
      <c r="V169" s="41"/>
      <c r="W169" s="41"/>
      <c r="X169" s="41"/>
      <c r="Y169" s="41"/>
      <c r="Z169" s="41"/>
      <c r="AA169" s="52"/>
      <c r="AB169" s="41"/>
      <c r="AC169" s="41"/>
      <c r="AD169" s="41"/>
      <c r="AE169" s="41"/>
      <c r="AF169" s="31"/>
      <c r="AG169" s="31"/>
      <c r="AH169" s="42"/>
      <c r="AI169" s="42"/>
      <c r="AJ169" s="42"/>
      <c r="AK169" s="42"/>
      <c r="AL169" s="52"/>
      <c r="AM169" s="41"/>
      <c r="AN169" s="41"/>
      <c r="AO169" s="41"/>
      <c r="AP169" s="41"/>
      <c r="AQ169" s="41"/>
      <c r="AR169" s="41"/>
      <c r="AS169" s="41"/>
    </row>
    <row r="170" spans="1:45" x14ac:dyDescent="0.25">
      <c r="A170" s="31"/>
      <c r="B170" s="41"/>
      <c r="C170" s="41"/>
      <c r="D170" s="41"/>
      <c r="E170" s="41"/>
      <c r="F170" s="49"/>
      <c r="G170" s="50"/>
      <c r="H170" s="44"/>
      <c r="I170" s="44"/>
      <c r="J170" s="44"/>
      <c r="K170" s="44"/>
      <c r="L170" s="44"/>
      <c r="M170" s="45"/>
      <c r="N170" s="36"/>
      <c r="O170" s="36"/>
      <c r="P170" s="36"/>
      <c r="Q170" s="39"/>
      <c r="R170" s="41"/>
      <c r="S170" s="51"/>
      <c r="T170" s="31"/>
      <c r="U170" s="41"/>
      <c r="V170" s="41"/>
      <c r="W170" s="41"/>
      <c r="X170" s="41"/>
      <c r="Y170" s="41"/>
      <c r="Z170" s="41"/>
      <c r="AA170" s="52"/>
      <c r="AB170" s="41"/>
      <c r="AC170" s="41"/>
      <c r="AD170" s="41"/>
      <c r="AE170" s="41"/>
      <c r="AF170" s="31"/>
      <c r="AG170" s="31"/>
      <c r="AH170" s="42"/>
      <c r="AI170" s="42"/>
      <c r="AJ170" s="42"/>
      <c r="AK170" s="42"/>
      <c r="AL170" s="52"/>
      <c r="AM170" s="41"/>
      <c r="AN170" s="41"/>
      <c r="AO170" s="41"/>
      <c r="AP170" s="41"/>
      <c r="AQ170" s="41"/>
      <c r="AR170" s="41"/>
      <c r="AS170" s="41"/>
    </row>
    <row r="171" spans="1:45" x14ac:dyDescent="0.25">
      <c r="A171" s="31"/>
      <c r="B171" s="41"/>
      <c r="C171" s="41"/>
      <c r="D171" s="41"/>
      <c r="E171" s="41"/>
      <c r="F171" s="49"/>
      <c r="G171" s="50"/>
      <c r="H171" s="44"/>
      <c r="I171" s="44"/>
      <c r="J171" s="44"/>
      <c r="K171" s="44"/>
      <c r="L171" s="44"/>
      <c r="M171" s="45"/>
      <c r="N171" s="36"/>
      <c r="O171" s="36"/>
      <c r="P171" s="36"/>
      <c r="Q171" s="39"/>
      <c r="R171" s="41"/>
      <c r="S171" s="51"/>
      <c r="T171" s="31"/>
      <c r="U171" s="41"/>
      <c r="V171" s="41"/>
      <c r="W171" s="41"/>
      <c r="X171" s="41"/>
      <c r="Y171" s="41"/>
      <c r="Z171" s="41"/>
      <c r="AA171" s="52"/>
      <c r="AB171" s="41"/>
      <c r="AC171" s="41"/>
      <c r="AD171" s="41"/>
      <c r="AE171" s="41"/>
      <c r="AF171" s="31"/>
      <c r="AG171" s="31"/>
      <c r="AH171" s="42"/>
      <c r="AI171" s="42"/>
      <c r="AJ171" s="42"/>
      <c r="AK171" s="42"/>
      <c r="AL171" s="52"/>
      <c r="AM171" s="41"/>
      <c r="AN171" s="41"/>
      <c r="AO171" s="41"/>
      <c r="AP171" s="41"/>
      <c r="AQ171" s="41"/>
      <c r="AR171" s="41"/>
      <c r="AS171" s="41"/>
    </row>
    <row r="172" spans="1:45" x14ac:dyDescent="0.25">
      <c r="A172" s="31"/>
      <c r="B172" s="41"/>
      <c r="C172" s="41"/>
      <c r="D172" s="41"/>
      <c r="E172" s="41"/>
      <c r="F172" s="49"/>
      <c r="G172" s="50"/>
      <c r="H172" s="44"/>
      <c r="I172" s="44"/>
      <c r="J172" s="44"/>
      <c r="K172" s="44"/>
      <c r="L172" s="44"/>
      <c r="M172" s="45"/>
      <c r="N172" s="36"/>
      <c r="O172" s="36"/>
      <c r="P172" s="36"/>
      <c r="Q172" s="39"/>
      <c r="R172" s="41"/>
      <c r="S172" s="51"/>
      <c r="T172" s="31"/>
      <c r="U172" s="41"/>
      <c r="V172" s="41"/>
      <c r="W172" s="41"/>
      <c r="X172" s="41"/>
      <c r="Y172" s="41"/>
      <c r="Z172" s="41"/>
      <c r="AA172" s="52"/>
      <c r="AB172" s="41"/>
      <c r="AC172" s="41"/>
      <c r="AD172" s="41"/>
      <c r="AE172" s="41"/>
      <c r="AF172" s="31"/>
      <c r="AG172" s="31"/>
      <c r="AH172" s="42"/>
      <c r="AI172" s="42"/>
      <c r="AJ172" s="42"/>
      <c r="AK172" s="42"/>
      <c r="AL172" s="52"/>
      <c r="AM172" s="41"/>
      <c r="AN172" s="41"/>
      <c r="AO172" s="41"/>
      <c r="AP172" s="41"/>
      <c r="AQ172" s="41"/>
      <c r="AR172" s="41"/>
      <c r="AS172" s="41"/>
    </row>
    <row r="173" spans="1:45" x14ac:dyDescent="0.25">
      <c r="A173" s="31"/>
      <c r="B173" s="41"/>
      <c r="C173" s="41"/>
      <c r="D173" s="41"/>
      <c r="E173" s="41"/>
      <c r="F173" s="49"/>
      <c r="G173" s="50"/>
      <c r="H173" s="44"/>
      <c r="I173" s="44"/>
      <c r="J173" s="44"/>
      <c r="K173" s="44"/>
      <c r="L173" s="44"/>
      <c r="M173" s="45"/>
      <c r="N173" s="36"/>
      <c r="O173" s="36"/>
      <c r="P173" s="36"/>
      <c r="Q173" s="39"/>
      <c r="R173" s="41"/>
      <c r="S173" s="51"/>
      <c r="T173" s="31"/>
      <c r="U173" s="41"/>
      <c r="V173" s="41"/>
      <c r="W173" s="41"/>
      <c r="X173" s="41"/>
      <c r="Y173" s="41"/>
      <c r="Z173" s="41"/>
      <c r="AA173" s="52"/>
      <c r="AB173" s="41"/>
      <c r="AC173" s="41"/>
      <c r="AD173" s="41"/>
      <c r="AE173" s="41"/>
      <c r="AF173" s="31"/>
      <c r="AG173" s="31"/>
      <c r="AH173" s="42"/>
      <c r="AI173" s="42"/>
      <c r="AJ173" s="42"/>
      <c r="AK173" s="42"/>
      <c r="AL173" s="52"/>
      <c r="AM173" s="41"/>
      <c r="AN173" s="41"/>
      <c r="AO173" s="41"/>
      <c r="AP173" s="41"/>
      <c r="AQ173" s="41"/>
      <c r="AR173" s="41"/>
      <c r="AS173" s="41"/>
    </row>
    <row r="174" spans="1:45" x14ac:dyDescent="0.25">
      <c r="A174" s="31"/>
      <c r="B174" s="41"/>
      <c r="C174" s="41"/>
      <c r="D174" s="41"/>
      <c r="E174" s="41"/>
      <c r="F174" s="49"/>
      <c r="G174" s="50"/>
      <c r="H174" s="44"/>
      <c r="I174" s="44"/>
      <c r="J174" s="44"/>
      <c r="K174" s="44"/>
      <c r="L174" s="44"/>
      <c r="M174" s="45"/>
      <c r="N174" s="36"/>
      <c r="O174" s="36"/>
      <c r="P174" s="36"/>
      <c r="Q174" s="39"/>
      <c r="R174" s="41"/>
      <c r="S174" s="51"/>
      <c r="T174" s="31"/>
      <c r="U174" s="41"/>
      <c r="V174" s="41"/>
      <c r="W174" s="41"/>
      <c r="X174" s="41"/>
      <c r="Y174" s="41"/>
      <c r="Z174" s="41"/>
      <c r="AA174" s="52"/>
      <c r="AB174" s="41"/>
      <c r="AC174" s="41"/>
      <c r="AD174" s="41"/>
      <c r="AE174" s="41"/>
      <c r="AF174" s="31"/>
      <c r="AG174" s="31"/>
      <c r="AH174" s="42"/>
      <c r="AI174" s="42"/>
      <c r="AJ174" s="42"/>
      <c r="AK174" s="42"/>
      <c r="AL174" s="52"/>
      <c r="AM174" s="41"/>
      <c r="AN174" s="41"/>
      <c r="AO174" s="41"/>
      <c r="AP174" s="41"/>
      <c r="AQ174" s="41"/>
      <c r="AR174" s="41"/>
      <c r="AS174" s="41"/>
    </row>
    <row r="175" spans="1:45" x14ac:dyDescent="0.25">
      <c r="A175" s="31"/>
      <c r="B175" s="41"/>
      <c r="C175" s="41"/>
      <c r="D175" s="41"/>
      <c r="E175" s="41"/>
      <c r="F175" s="49"/>
      <c r="G175" s="50"/>
      <c r="H175" s="44"/>
      <c r="I175" s="44"/>
      <c r="J175" s="44"/>
      <c r="K175" s="44"/>
      <c r="L175" s="44"/>
      <c r="M175" s="45"/>
      <c r="N175" s="36"/>
      <c r="O175" s="36"/>
      <c r="P175" s="36"/>
      <c r="Q175" s="39"/>
      <c r="R175" s="41"/>
      <c r="S175" s="51"/>
      <c r="T175" s="31"/>
      <c r="U175" s="41"/>
      <c r="V175" s="41"/>
      <c r="W175" s="41"/>
      <c r="X175" s="41"/>
      <c r="Y175" s="41"/>
      <c r="Z175" s="41"/>
      <c r="AA175" s="52"/>
      <c r="AB175" s="41"/>
      <c r="AC175" s="41"/>
      <c r="AD175" s="41"/>
      <c r="AE175" s="41"/>
      <c r="AF175" s="31"/>
      <c r="AG175" s="31"/>
      <c r="AH175" s="42"/>
      <c r="AI175" s="42"/>
      <c r="AJ175" s="42"/>
      <c r="AK175" s="42"/>
      <c r="AL175" s="52"/>
      <c r="AM175" s="41"/>
      <c r="AN175" s="41"/>
      <c r="AO175" s="41"/>
      <c r="AP175" s="41"/>
      <c r="AQ175" s="41"/>
      <c r="AR175" s="41"/>
      <c r="AS175" s="41"/>
    </row>
    <row r="176" spans="1:45" x14ac:dyDescent="0.25">
      <c r="A176" s="31"/>
      <c r="B176" s="41"/>
      <c r="C176" s="41"/>
      <c r="D176" s="41"/>
      <c r="E176" s="41"/>
      <c r="F176" s="49"/>
      <c r="G176" s="50"/>
      <c r="H176" s="44"/>
      <c r="I176" s="44"/>
      <c r="J176" s="44"/>
      <c r="K176" s="44"/>
      <c r="L176" s="44"/>
      <c r="M176" s="45"/>
      <c r="N176" s="36"/>
      <c r="O176" s="36"/>
      <c r="P176" s="36"/>
      <c r="Q176" s="39"/>
      <c r="R176" s="41"/>
      <c r="S176" s="51"/>
      <c r="T176" s="31"/>
      <c r="U176" s="41"/>
      <c r="V176" s="41"/>
      <c r="W176" s="41"/>
      <c r="X176" s="41"/>
      <c r="Y176" s="41"/>
      <c r="Z176" s="41"/>
      <c r="AA176" s="52"/>
      <c r="AB176" s="41"/>
      <c r="AC176" s="41"/>
      <c r="AD176" s="41"/>
      <c r="AE176" s="41"/>
      <c r="AF176" s="31"/>
      <c r="AG176" s="31"/>
      <c r="AH176" s="42"/>
      <c r="AI176" s="42"/>
      <c r="AJ176" s="42"/>
      <c r="AK176" s="42"/>
      <c r="AL176" s="52"/>
      <c r="AM176" s="41"/>
      <c r="AN176" s="41"/>
      <c r="AO176" s="41"/>
      <c r="AP176" s="41"/>
      <c r="AQ176" s="41"/>
      <c r="AR176" s="41"/>
      <c r="AS176" s="41"/>
    </row>
    <row r="177" spans="1:45" x14ac:dyDescent="0.25">
      <c r="A177" s="31"/>
      <c r="B177" s="41"/>
      <c r="C177" s="41"/>
      <c r="D177" s="41"/>
      <c r="E177" s="41"/>
      <c r="F177" s="49"/>
      <c r="G177" s="50"/>
      <c r="H177" s="44"/>
      <c r="I177" s="44"/>
      <c r="J177" s="44"/>
      <c r="K177" s="44"/>
      <c r="L177" s="44"/>
      <c r="M177" s="45"/>
      <c r="N177" s="36"/>
      <c r="O177" s="36"/>
      <c r="P177" s="36"/>
      <c r="Q177" s="39"/>
      <c r="R177" s="41"/>
      <c r="S177" s="51"/>
      <c r="T177" s="31"/>
      <c r="U177" s="41"/>
      <c r="V177" s="41"/>
      <c r="W177" s="41"/>
      <c r="X177" s="41"/>
      <c r="Y177" s="41"/>
      <c r="Z177" s="41"/>
      <c r="AA177" s="52"/>
      <c r="AB177" s="41"/>
      <c r="AC177" s="41"/>
      <c r="AD177" s="41"/>
      <c r="AE177" s="41"/>
      <c r="AF177" s="31"/>
      <c r="AG177" s="31"/>
      <c r="AH177" s="42"/>
      <c r="AI177" s="42"/>
      <c r="AJ177" s="42"/>
      <c r="AK177" s="42"/>
      <c r="AL177" s="52"/>
      <c r="AM177" s="41"/>
      <c r="AN177" s="41"/>
      <c r="AO177" s="41"/>
      <c r="AP177" s="41"/>
      <c r="AQ177" s="41"/>
      <c r="AR177" s="41"/>
      <c r="AS177" s="41"/>
    </row>
    <row r="178" spans="1:45" x14ac:dyDescent="0.25">
      <c r="A178" s="31"/>
      <c r="B178" s="41"/>
      <c r="C178" s="41"/>
      <c r="D178" s="41"/>
      <c r="E178" s="41"/>
      <c r="F178" s="49"/>
      <c r="G178" s="50"/>
      <c r="H178" s="44"/>
      <c r="I178" s="44"/>
      <c r="J178" s="44"/>
      <c r="K178" s="44"/>
      <c r="L178" s="44"/>
      <c r="M178" s="45"/>
      <c r="N178" s="36"/>
      <c r="O178" s="36"/>
      <c r="P178" s="36"/>
      <c r="Q178" s="39"/>
      <c r="R178" s="41"/>
      <c r="S178" s="51"/>
      <c r="T178" s="31"/>
      <c r="U178" s="41"/>
      <c r="V178" s="41"/>
      <c r="W178" s="41"/>
      <c r="X178" s="41"/>
      <c r="Y178" s="41"/>
      <c r="Z178" s="41"/>
      <c r="AA178" s="52"/>
      <c r="AB178" s="41"/>
      <c r="AC178" s="41"/>
      <c r="AD178" s="41"/>
      <c r="AE178" s="41"/>
      <c r="AF178" s="31"/>
      <c r="AG178" s="31"/>
      <c r="AH178" s="42"/>
      <c r="AI178" s="42"/>
      <c r="AJ178" s="42"/>
      <c r="AK178" s="42"/>
      <c r="AL178" s="52"/>
      <c r="AM178" s="41"/>
      <c r="AN178" s="41"/>
      <c r="AO178" s="41"/>
      <c r="AP178" s="41"/>
      <c r="AQ178" s="41"/>
      <c r="AR178" s="41"/>
      <c r="AS178" s="41"/>
    </row>
    <row r="179" spans="1:45" x14ac:dyDescent="0.25">
      <c r="A179" s="31"/>
      <c r="B179" s="41"/>
      <c r="C179" s="41"/>
      <c r="D179" s="41"/>
      <c r="E179" s="41"/>
      <c r="F179" s="49"/>
      <c r="G179" s="50"/>
      <c r="H179" s="44"/>
      <c r="I179" s="44"/>
      <c r="J179" s="44"/>
      <c r="K179" s="44"/>
      <c r="L179" s="44"/>
      <c r="M179" s="45"/>
      <c r="N179" s="36"/>
      <c r="O179" s="36"/>
      <c r="P179" s="36"/>
      <c r="Q179" s="39"/>
      <c r="R179" s="41"/>
      <c r="S179" s="51"/>
      <c r="T179" s="31"/>
      <c r="U179" s="41"/>
      <c r="V179" s="41"/>
      <c r="W179" s="41"/>
      <c r="X179" s="41"/>
      <c r="Y179" s="41"/>
      <c r="Z179" s="41"/>
      <c r="AA179" s="52"/>
      <c r="AB179" s="41"/>
      <c r="AC179" s="41"/>
      <c r="AD179" s="41"/>
      <c r="AE179" s="41"/>
      <c r="AF179" s="31"/>
      <c r="AG179" s="31"/>
      <c r="AH179" s="42"/>
      <c r="AI179" s="42"/>
      <c r="AJ179" s="42"/>
      <c r="AK179" s="42"/>
      <c r="AL179" s="52"/>
      <c r="AM179" s="41"/>
      <c r="AN179" s="41"/>
      <c r="AO179" s="41"/>
      <c r="AP179" s="41"/>
      <c r="AQ179" s="41"/>
      <c r="AR179" s="41"/>
      <c r="AS179" s="41"/>
    </row>
    <row r="180" spans="1:45" x14ac:dyDescent="0.25">
      <c r="A180" s="31"/>
      <c r="B180" s="41"/>
      <c r="C180" s="41"/>
      <c r="D180" s="41"/>
      <c r="E180" s="41"/>
      <c r="F180" s="49"/>
      <c r="G180" s="50"/>
      <c r="H180" s="44"/>
      <c r="I180" s="44"/>
      <c r="J180" s="44"/>
      <c r="K180" s="44"/>
      <c r="L180" s="44"/>
      <c r="M180" s="45"/>
      <c r="N180" s="36"/>
      <c r="O180" s="36"/>
      <c r="P180" s="36"/>
      <c r="Q180" s="39"/>
      <c r="R180" s="41"/>
      <c r="S180" s="51"/>
      <c r="T180" s="31"/>
      <c r="U180" s="41"/>
      <c r="V180" s="41"/>
      <c r="W180" s="41"/>
      <c r="X180" s="41"/>
      <c r="Y180" s="41"/>
      <c r="Z180" s="41"/>
      <c r="AA180" s="52"/>
      <c r="AB180" s="41"/>
      <c r="AC180" s="41"/>
      <c r="AD180" s="41"/>
      <c r="AE180" s="41"/>
      <c r="AF180" s="31"/>
      <c r="AG180" s="31"/>
      <c r="AH180" s="42"/>
      <c r="AI180" s="42"/>
      <c r="AJ180" s="42"/>
      <c r="AK180" s="42"/>
      <c r="AL180" s="52"/>
      <c r="AM180" s="41"/>
      <c r="AN180" s="41"/>
      <c r="AO180" s="41"/>
      <c r="AP180" s="41"/>
      <c r="AQ180" s="41"/>
      <c r="AR180" s="41"/>
      <c r="AS180" s="41"/>
    </row>
    <row r="181" spans="1:45" x14ac:dyDescent="0.25">
      <c r="A181" s="31"/>
      <c r="B181" s="41"/>
      <c r="C181" s="41"/>
      <c r="D181" s="41"/>
      <c r="E181" s="41"/>
      <c r="F181" s="49"/>
      <c r="G181" s="50"/>
      <c r="H181" s="44"/>
      <c r="I181" s="44"/>
      <c r="J181" s="44"/>
      <c r="K181" s="44"/>
      <c r="L181" s="44"/>
      <c r="M181" s="45"/>
      <c r="N181" s="36"/>
      <c r="O181" s="36"/>
      <c r="P181" s="36"/>
      <c r="Q181" s="39"/>
      <c r="R181" s="41"/>
      <c r="S181" s="51"/>
      <c r="T181" s="31"/>
      <c r="U181" s="41"/>
      <c r="V181" s="41"/>
      <c r="W181" s="41"/>
      <c r="X181" s="41"/>
      <c r="Y181" s="41"/>
      <c r="Z181" s="41"/>
      <c r="AA181" s="52"/>
      <c r="AB181" s="41"/>
      <c r="AC181" s="41"/>
      <c r="AD181" s="41"/>
      <c r="AE181" s="41"/>
      <c r="AF181" s="31"/>
      <c r="AG181" s="31"/>
      <c r="AH181" s="42"/>
      <c r="AI181" s="42"/>
      <c r="AJ181" s="42"/>
      <c r="AK181" s="42"/>
      <c r="AL181" s="52"/>
      <c r="AM181" s="41"/>
      <c r="AN181" s="41"/>
      <c r="AO181" s="41"/>
      <c r="AP181" s="41"/>
      <c r="AQ181" s="41"/>
      <c r="AR181" s="41"/>
      <c r="AS181" s="41"/>
    </row>
    <row r="182" spans="1:45" x14ac:dyDescent="0.25">
      <c r="A182" s="31"/>
      <c r="B182" s="41"/>
      <c r="C182" s="41"/>
      <c r="D182" s="41"/>
      <c r="E182" s="41"/>
      <c r="F182" s="49"/>
      <c r="G182" s="50"/>
      <c r="H182" s="44"/>
      <c r="I182" s="44"/>
      <c r="J182" s="44"/>
      <c r="K182" s="44"/>
      <c r="L182" s="44"/>
      <c r="M182" s="45"/>
      <c r="N182" s="36"/>
      <c r="O182" s="36"/>
      <c r="P182" s="36"/>
      <c r="Q182" s="39"/>
      <c r="R182" s="41"/>
      <c r="S182" s="51"/>
      <c r="T182" s="31"/>
      <c r="U182" s="41"/>
      <c r="V182" s="41"/>
      <c r="W182" s="41"/>
      <c r="X182" s="41"/>
      <c r="Y182" s="41"/>
      <c r="Z182" s="41"/>
      <c r="AA182" s="52"/>
      <c r="AB182" s="41"/>
      <c r="AC182" s="41"/>
      <c r="AD182" s="41"/>
      <c r="AE182" s="41"/>
      <c r="AF182" s="31"/>
      <c r="AG182" s="31"/>
      <c r="AH182" s="42"/>
      <c r="AI182" s="42"/>
      <c r="AJ182" s="42"/>
      <c r="AK182" s="42"/>
      <c r="AL182" s="52"/>
      <c r="AM182" s="41"/>
      <c r="AN182" s="41"/>
      <c r="AO182" s="41"/>
      <c r="AP182" s="41"/>
      <c r="AQ182" s="41"/>
      <c r="AR182" s="41"/>
      <c r="AS182" s="41"/>
    </row>
    <row r="183" spans="1:45" x14ac:dyDescent="0.25">
      <c r="A183" s="31"/>
      <c r="B183" s="41"/>
      <c r="C183" s="41"/>
      <c r="D183" s="41"/>
      <c r="E183" s="41"/>
      <c r="F183" s="49"/>
      <c r="G183" s="50"/>
      <c r="H183" s="44"/>
      <c r="I183" s="44"/>
      <c r="J183" s="44"/>
      <c r="K183" s="44"/>
      <c r="L183" s="44"/>
      <c r="M183" s="45"/>
      <c r="N183" s="36"/>
      <c r="O183" s="36"/>
      <c r="P183" s="36"/>
      <c r="Q183" s="39"/>
      <c r="R183" s="41"/>
      <c r="S183" s="51"/>
      <c r="T183" s="31"/>
      <c r="U183" s="41"/>
      <c r="V183" s="41"/>
      <c r="W183" s="41"/>
      <c r="X183" s="41"/>
      <c r="Y183" s="41"/>
      <c r="Z183" s="41"/>
      <c r="AA183" s="52"/>
      <c r="AB183" s="41"/>
      <c r="AC183" s="41"/>
      <c r="AD183" s="41"/>
      <c r="AE183" s="41"/>
      <c r="AF183" s="31"/>
      <c r="AG183" s="31"/>
      <c r="AH183" s="42"/>
      <c r="AI183" s="42"/>
      <c r="AJ183" s="42"/>
      <c r="AK183" s="42"/>
      <c r="AL183" s="52"/>
      <c r="AM183" s="41"/>
      <c r="AN183" s="41"/>
      <c r="AO183" s="41"/>
      <c r="AP183" s="41"/>
      <c r="AQ183" s="41"/>
      <c r="AR183" s="41"/>
      <c r="AS183" s="41"/>
    </row>
    <row r="184" spans="1:45" x14ac:dyDescent="0.25">
      <c r="A184" s="31"/>
      <c r="B184" s="41"/>
      <c r="C184" s="41"/>
      <c r="D184" s="41"/>
      <c r="E184" s="41"/>
      <c r="F184" s="49"/>
      <c r="G184" s="50"/>
      <c r="H184" s="44"/>
      <c r="I184" s="44"/>
      <c r="J184" s="44"/>
      <c r="K184" s="44"/>
      <c r="L184" s="44"/>
      <c r="M184" s="45"/>
      <c r="N184" s="36"/>
      <c r="O184" s="36"/>
      <c r="P184" s="36"/>
      <c r="Q184" s="39"/>
      <c r="R184" s="41"/>
      <c r="S184" s="51"/>
      <c r="T184" s="31"/>
      <c r="U184" s="41"/>
      <c r="V184" s="41"/>
      <c r="W184" s="41"/>
      <c r="X184" s="41"/>
      <c r="Y184" s="41"/>
      <c r="Z184" s="41"/>
      <c r="AA184" s="52"/>
      <c r="AB184" s="41"/>
      <c r="AC184" s="41"/>
      <c r="AD184" s="41"/>
      <c r="AE184" s="41"/>
      <c r="AF184" s="31"/>
      <c r="AG184" s="31"/>
      <c r="AH184" s="42"/>
      <c r="AI184" s="42"/>
      <c r="AJ184" s="42"/>
      <c r="AK184" s="42"/>
      <c r="AL184" s="52"/>
      <c r="AM184" s="41"/>
      <c r="AN184" s="41"/>
      <c r="AO184" s="41"/>
      <c r="AP184" s="41"/>
      <c r="AQ184" s="41"/>
      <c r="AR184" s="41"/>
      <c r="AS184" s="41"/>
    </row>
    <row r="185" spans="1:45" x14ac:dyDescent="0.25">
      <c r="A185" s="31"/>
      <c r="B185" s="41"/>
      <c r="C185" s="41"/>
      <c r="D185" s="41"/>
      <c r="E185" s="41"/>
      <c r="F185" s="49"/>
      <c r="G185" s="50"/>
      <c r="H185" s="44"/>
      <c r="I185" s="44"/>
      <c r="J185" s="44"/>
      <c r="K185" s="44"/>
      <c r="L185" s="44"/>
      <c r="M185" s="45"/>
      <c r="N185" s="36"/>
      <c r="O185" s="36"/>
      <c r="P185" s="36"/>
      <c r="Q185" s="39"/>
      <c r="R185" s="41"/>
      <c r="S185" s="51"/>
      <c r="T185" s="31"/>
      <c r="U185" s="41"/>
      <c r="V185" s="41"/>
      <c r="W185" s="41"/>
      <c r="X185" s="41"/>
      <c r="Y185" s="41"/>
      <c r="Z185" s="41"/>
      <c r="AA185" s="52"/>
      <c r="AB185" s="41"/>
      <c r="AC185" s="41"/>
      <c r="AD185" s="41"/>
      <c r="AE185" s="41"/>
      <c r="AF185" s="31"/>
      <c r="AG185" s="31"/>
      <c r="AH185" s="42"/>
      <c r="AI185" s="42"/>
      <c r="AJ185" s="42"/>
      <c r="AK185" s="42"/>
      <c r="AL185" s="52"/>
      <c r="AM185" s="41"/>
      <c r="AN185" s="41"/>
      <c r="AO185" s="41"/>
      <c r="AP185" s="41"/>
      <c r="AQ185" s="41"/>
      <c r="AR185" s="41"/>
      <c r="AS185" s="41"/>
    </row>
    <row r="186" spans="1:45" x14ac:dyDescent="0.25">
      <c r="A186" s="31"/>
      <c r="B186" s="41"/>
      <c r="C186" s="41"/>
      <c r="D186" s="41"/>
      <c r="E186" s="41"/>
      <c r="F186" s="49"/>
      <c r="G186" s="50"/>
      <c r="H186" s="44"/>
      <c r="I186" s="44"/>
      <c r="J186" s="44"/>
      <c r="K186" s="44"/>
      <c r="L186" s="44"/>
      <c r="M186" s="45"/>
      <c r="N186" s="36"/>
      <c r="O186" s="36"/>
      <c r="P186" s="36"/>
      <c r="Q186" s="39"/>
      <c r="R186" s="41"/>
      <c r="S186" s="51"/>
      <c r="T186" s="31"/>
      <c r="U186" s="41"/>
      <c r="V186" s="41"/>
      <c r="W186" s="41"/>
      <c r="X186" s="41"/>
      <c r="Y186" s="41"/>
      <c r="Z186" s="41"/>
      <c r="AA186" s="52"/>
      <c r="AB186" s="41"/>
      <c r="AC186" s="41"/>
      <c r="AD186" s="41"/>
      <c r="AE186" s="41"/>
      <c r="AF186" s="31"/>
      <c r="AG186" s="31"/>
      <c r="AH186" s="42"/>
      <c r="AI186" s="42"/>
      <c r="AJ186" s="42"/>
      <c r="AK186" s="42"/>
      <c r="AL186" s="52"/>
      <c r="AM186" s="41"/>
      <c r="AN186" s="41"/>
      <c r="AO186" s="41"/>
      <c r="AP186" s="41"/>
      <c r="AQ186" s="41"/>
      <c r="AR186" s="41"/>
      <c r="AS186" s="41"/>
    </row>
    <row r="187" spans="1:45" x14ac:dyDescent="0.25">
      <c r="A187" s="31"/>
      <c r="B187" s="41"/>
      <c r="C187" s="41"/>
      <c r="D187" s="41"/>
      <c r="E187" s="41"/>
      <c r="F187" s="49"/>
      <c r="G187" s="50"/>
      <c r="H187" s="44"/>
      <c r="I187" s="44"/>
      <c r="J187" s="44"/>
      <c r="K187" s="44"/>
      <c r="L187" s="44"/>
      <c r="M187" s="45"/>
      <c r="N187" s="36"/>
      <c r="O187" s="36"/>
      <c r="P187" s="36"/>
      <c r="Q187" s="39"/>
      <c r="R187" s="41"/>
      <c r="S187" s="51"/>
      <c r="T187" s="31"/>
      <c r="U187" s="41"/>
      <c r="V187" s="41"/>
      <c r="W187" s="41"/>
      <c r="X187" s="41"/>
      <c r="Y187" s="41"/>
      <c r="Z187" s="41"/>
      <c r="AA187" s="52"/>
      <c r="AB187" s="41"/>
      <c r="AC187" s="41"/>
      <c r="AD187" s="41"/>
      <c r="AE187" s="41"/>
      <c r="AF187" s="31"/>
      <c r="AG187" s="31"/>
      <c r="AH187" s="42"/>
      <c r="AI187" s="42"/>
      <c r="AJ187" s="42"/>
      <c r="AK187" s="42"/>
      <c r="AL187" s="52"/>
      <c r="AM187" s="41"/>
      <c r="AN187" s="41"/>
      <c r="AO187" s="41"/>
      <c r="AP187" s="41"/>
      <c r="AQ187" s="41"/>
      <c r="AR187" s="41"/>
      <c r="AS187" s="41"/>
    </row>
    <row r="188" spans="1:45" x14ac:dyDescent="0.25">
      <c r="A188" s="31"/>
      <c r="B188" s="41"/>
      <c r="C188" s="41"/>
      <c r="D188" s="41"/>
      <c r="E188" s="41"/>
      <c r="F188" s="49"/>
      <c r="G188" s="50"/>
      <c r="H188" s="44"/>
      <c r="I188" s="44"/>
      <c r="J188" s="44"/>
      <c r="K188" s="44"/>
      <c r="L188" s="44"/>
      <c r="M188" s="45"/>
      <c r="N188" s="36"/>
      <c r="O188" s="36"/>
      <c r="P188" s="36"/>
      <c r="Q188" s="39"/>
      <c r="R188" s="41"/>
      <c r="S188" s="51"/>
      <c r="T188" s="31"/>
      <c r="U188" s="41"/>
      <c r="V188" s="41"/>
      <c r="W188" s="41"/>
      <c r="X188" s="41"/>
      <c r="Y188" s="41"/>
      <c r="Z188" s="41"/>
      <c r="AA188" s="52"/>
      <c r="AB188" s="41"/>
      <c r="AC188" s="41"/>
      <c r="AD188" s="41"/>
      <c r="AE188" s="41"/>
      <c r="AF188" s="31"/>
      <c r="AG188" s="31"/>
      <c r="AH188" s="42"/>
      <c r="AI188" s="42"/>
      <c r="AJ188" s="42"/>
      <c r="AK188" s="42"/>
      <c r="AL188" s="52"/>
      <c r="AM188" s="41"/>
      <c r="AN188" s="41"/>
      <c r="AO188" s="41"/>
      <c r="AP188" s="41"/>
      <c r="AQ188" s="41"/>
      <c r="AR188" s="41"/>
      <c r="AS188" s="41"/>
    </row>
    <row r="189" spans="1:45" x14ac:dyDescent="0.25">
      <c r="A189" s="31"/>
      <c r="B189" s="41"/>
      <c r="C189" s="41"/>
      <c r="D189" s="41"/>
      <c r="E189" s="41"/>
      <c r="F189" s="49"/>
      <c r="G189" s="50"/>
      <c r="H189" s="44"/>
      <c r="I189" s="44"/>
      <c r="J189" s="44"/>
      <c r="K189" s="44"/>
      <c r="L189" s="44"/>
      <c r="M189" s="45"/>
      <c r="N189" s="36"/>
      <c r="O189" s="36"/>
      <c r="P189" s="36"/>
      <c r="Q189" s="39"/>
      <c r="R189" s="41"/>
      <c r="S189" s="51"/>
      <c r="T189" s="31"/>
      <c r="U189" s="41"/>
      <c r="V189" s="41"/>
      <c r="W189" s="41"/>
      <c r="X189" s="41"/>
      <c r="Y189" s="41"/>
      <c r="Z189" s="41"/>
      <c r="AA189" s="52"/>
      <c r="AB189" s="41"/>
      <c r="AC189" s="41"/>
      <c r="AD189" s="41"/>
      <c r="AE189" s="41"/>
      <c r="AF189" s="31"/>
      <c r="AG189" s="31"/>
      <c r="AH189" s="42"/>
      <c r="AI189" s="42"/>
      <c r="AJ189" s="42"/>
      <c r="AK189" s="42"/>
      <c r="AL189" s="52"/>
      <c r="AM189" s="41"/>
      <c r="AN189" s="41"/>
      <c r="AO189" s="41"/>
      <c r="AP189" s="41"/>
      <c r="AQ189" s="41"/>
      <c r="AR189" s="41"/>
      <c r="AS189" s="41"/>
    </row>
    <row r="190" spans="1:45" x14ac:dyDescent="0.25">
      <c r="A190" s="31"/>
      <c r="B190" s="41"/>
      <c r="C190" s="41"/>
      <c r="D190" s="41"/>
      <c r="E190" s="41"/>
      <c r="F190" s="49"/>
      <c r="G190" s="50"/>
      <c r="H190" s="44"/>
      <c r="I190" s="44"/>
      <c r="J190" s="44"/>
      <c r="K190" s="44"/>
      <c r="L190" s="44"/>
      <c r="M190" s="45"/>
      <c r="N190" s="36"/>
      <c r="O190" s="36"/>
      <c r="P190" s="36"/>
      <c r="Q190" s="39"/>
      <c r="R190" s="41"/>
      <c r="S190" s="51"/>
      <c r="T190" s="31"/>
      <c r="U190" s="41"/>
      <c r="V190" s="41"/>
      <c r="W190" s="41"/>
      <c r="X190" s="41"/>
      <c r="Y190" s="41"/>
      <c r="Z190" s="41"/>
      <c r="AA190" s="52"/>
      <c r="AB190" s="41"/>
      <c r="AC190" s="41"/>
      <c r="AD190" s="41"/>
      <c r="AE190" s="41"/>
      <c r="AF190" s="31"/>
      <c r="AG190" s="31"/>
      <c r="AH190" s="42"/>
      <c r="AI190" s="42"/>
      <c r="AJ190" s="42"/>
      <c r="AK190" s="42"/>
      <c r="AL190" s="52"/>
      <c r="AM190" s="41"/>
      <c r="AN190" s="41"/>
      <c r="AO190" s="41"/>
      <c r="AP190" s="41"/>
      <c r="AQ190" s="41"/>
      <c r="AR190" s="41"/>
      <c r="AS190" s="41"/>
    </row>
    <row r="191" spans="1:45" x14ac:dyDescent="0.25">
      <c r="A191" s="31"/>
      <c r="B191" s="41"/>
      <c r="C191" s="41"/>
      <c r="D191" s="41"/>
      <c r="E191" s="41"/>
      <c r="F191" s="49"/>
      <c r="G191" s="50"/>
      <c r="H191" s="44"/>
      <c r="I191" s="44"/>
      <c r="J191" s="44"/>
      <c r="K191" s="44"/>
      <c r="L191" s="44"/>
      <c r="M191" s="45"/>
      <c r="N191" s="36"/>
      <c r="O191" s="36"/>
      <c r="P191" s="36"/>
      <c r="Q191" s="39"/>
      <c r="R191" s="41"/>
      <c r="S191" s="51"/>
      <c r="T191" s="31"/>
      <c r="U191" s="41"/>
      <c r="V191" s="41"/>
      <c r="W191" s="41"/>
      <c r="X191" s="41"/>
      <c r="Y191" s="41"/>
      <c r="Z191" s="41"/>
      <c r="AA191" s="52"/>
      <c r="AB191" s="41"/>
      <c r="AC191" s="41"/>
      <c r="AD191" s="41"/>
      <c r="AE191" s="41"/>
      <c r="AF191" s="31"/>
      <c r="AG191" s="31"/>
      <c r="AH191" s="42"/>
      <c r="AI191" s="42"/>
      <c r="AJ191" s="42"/>
      <c r="AK191" s="42"/>
      <c r="AL191" s="52"/>
      <c r="AM191" s="41"/>
      <c r="AN191" s="41"/>
      <c r="AO191" s="41"/>
      <c r="AP191" s="41"/>
      <c r="AQ191" s="41"/>
      <c r="AR191" s="41"/>
      <c r="AS191" s="41"/>
    </row>
    <row r="192" spans="1:45" x14ac:dyDescent="0.25">
      <c r="A192" s="31"/>
      <c r="B192" s="41"/>
      <c r="C192" s="41"/>
      <c r="D192" s="41"/>
      <c r="E192" s="41"/>
      <c r="F192" s="49"/>
      <c r="G192" s="50"/>
      <c r="H192" s="44"/>
      <c r="I192" s="44"/>
      <c r="J192" s="44"/>
      <c r="K192" s="44"/>
      <c r="L192" s="44"/>
      <c r="M192" s="45"/>
      <c r="N192" s="36"/>
      <c r="O192" s="36"/>
      <c r="P192" s="36"/>
      <c r="Q192" s="39"/>
      <c r="R192" s="41"/>
      <c r="S192" s="51"/>
      <c r="T192" s="31"/>
      <c r="U192" s="41"/>
      <c r="V192" s="41"/>
      <c r="W192" s="41"/>
      <c r="X192" s="41"/>
      <c r="Y192" s="41"/>
      <c r="Z192" s="41"/>
      <c r="AA192" s="52"/>
      <c r="AB192" s="41"/>
      <c r="AC192" s="41"/>
      <c r="AD192" s="41"/>
      <c r="AE192" s="41"/>
      <c r="AF192" s="31"/>
      <c r="AG192" s="31"/>
      <c r="AH192" s="42"/>
      <c r="AI192" s="42"/>
      <c r="AJ192" s="42"/>
      <c r="AK192" s="42"/>
      <c r="AL192" s="52"/>
      <c r="AM192" s="41"/>
      <c r="AN192" s="41"/>
      <c r="AO192" s="41"/>
      <c r="AP192" s="41"/>
      <c r="AQ192" s="41"/>
      <c r="AR192" s="41"/>
      <c r="AS192" s="41"/>
    </row>
    <row r="193" spans="1:45" x14ac:dyDescent="0.25">
      <c r="A193" s="31"/>
      <c r="B193" s="41"/>
      <c r="C193" s="41"/>
      <c r="D193" s="41"/>
      <c r="E193" s="41"/>
      <c r="F193" s="49"/>
      <c r="G193" s="50"/>
      <c r="H193" s="44"/>
      <c r="I193" s="44"/>
      <c r="J193" s="44"/>
      <c r="K193" s="44"/>
      <c r="L193" s="44"/>
      <c r="M193" s="45"/>
      <c r="N193" s="36"/>
      <c r="O193" s="36"/>
      <c r="P193" s="36"/>
      <c r="Q193" s="39"/>
      <c r="R193" s="41"/>
      <c r="S193" s="51"/>
      <c r="T193" s="31"/>
      <c r="U193" s="41"/>
      <c r="V193" s="41"/>
      <c r="W193" s="41"/>
      <c r="X193" s="41"/>
      <c r="Y193" s="41"/>
      <c r="Z193" s="41"/>
      <c r="AA193" s="52"/>
      <c r="AB193" s="41"/>
      <c r="AC193" s="41"/>
      <c r="AD193" s="41"/>
      <c r="AE193" s="41"/>
      <c r="AF193" s="31"/>
      <c r="AG193" s="31"/>
      <c r="AH193" s="42"/>
      <c r="AI193" s="42"/>
      <c r="AJ193" s="42"/>
      <c r="AK193" s="42"/>
      <c r="AL193" s="52"/>
      <c r="AM193" s="41"/>
      <c r="AN193" s="41"/>
      <c r="AO193" s="41"/>
      <c r="AP193" s="41"/>
      <c r="AQ193" s="41"/>
      <c r="AR193" s="41"/>
      <c r="AS193" s="41"/>
    </row>
    <row r="194" spans="1:45" x14ac:dyDescent="0.25">
      <c r="A194" s="31"/>
      <c r="B194" s="41"/>
      <c r="C194" s="41"/>
      <c r="D194" s="41"/>
      <c r="E194" s="41"/>
      <c r="F194" s="49"/>
      <c r="G194" s="50"/>
      <c r="H194" s="44"/>
      <c r="I194" s="44"/>
      <c r="J194" s="44"/>
      <c r="K194" s="44"/>
      <c r="L194" s="44"/>
      <c r="M194" s="45"/>
      <c r="N194" s="36"/>
      <c r="O194" s="36"/>
      <c r="P194" s="36"/>
      <c r="Q194" s="39"/>
      <c r="R194" s="41"/>
      <c r="S194" s="51"/>
      <c r="T194" s="31"/>
      <c r="U194" s="41"/>
      <c r="V194" s="41"/>
      <c r="W194" s="41"/>
      <c r="X194" s="41"/>
      <c r="Y194" s="41"/>
      <c r="Z194" s="41"/>
      <c r="AA194" s="52"/>
      <c r="AB194" s="41"/>
      <c r="AC194" s="41"/>
      <c r="AD194" s="41"/>
      <c r="AE194" s="41"/>
      <c r="AF194" s="31"/>
      <c r="AG194" s="31"/>
      <c r="AH194" s="42"/>
      <c r="AI194" s="42"/>
      <c r="AJ194" s="42"/>
      <c r="AK194" s="42"/>
      <c r="AL194" s="52"/>
      <c r="AM194" s="41"/>
      <c r="AN194" s="41"/>
      <c r="AO194" s="41"/>
      <c r="AP194" s="41"/>
      <c r="AQ194" s="41"/>
      <c r="AR194" s="41"/>
      <c r="AS194" s="41"/>
    </row>
    <row r="195" spans="1:45" x14ac:dyDescent="0.25">
      <c r="A195" s="31"/>
      <c r="B195" s="41"/>
      <c r="C195" s="41"/>
      <c r="D195" s="41"/>
      <c r="E195" s="41"/>
      <c r="F195" s="49"/>
      <c r="G195" s="50"/>
      <c r="H195" s="44"/>
      <c r="I195" s="44"/>
      <c r="J195" s="44"/>
      <c r="K195" s="44"/>
      <c r="L195" s="44"/>
      <c r="M195" s="45"/>
      <c r="N195" s="36"/>
      <c r="O195" s="36"/>
      <c r="P195" s="36"/>
      <c r="Q195" s="39"/>
      <c r="R195" s="41"/>
      <c r="S195" s="51"/>
      <c r="T195" s="31"/>
      <c r="U195" s="41"/>
      <c r="V195" s="41"/>
      <c r="W195" s="41"/>
      <c r="X195" s="41"/>
      <c r="Y195" s="41"/>
      <c r="Z195" s="41"/>
      <c r="AA195" s="52"/>
      <c r="AB195" s="41"/>
      <c r="AC195" s="41"/>
      <c r="AD195" s="41"/>
      <c r="AE195" s="41"/>
      <c r="AF195" s="31"/>
      <c r="AG195" s="31"/>
      <c r="AH195" s="42"/>
      <c r="AI195" s="42"/>
      <c r="AJ195" s="42"/>
      <c r="AK195" s="42"/>
      <c r="AL195" s="52"/>
      <c r="AM195" s="41"/>
      <c r="AN195" s="41"/>
      <c r="AO195" s="41"/>
      <c r="AP195" s="41"/>
      <c r="AQ195" s="41"/>
      <c r="AR195" s="41"/>
      <c r="AS195" s="41"/>
    </row>
    <row r="196" spans="1:45" x14ac:dyDescent="0.25">
      <c r="A196" s="31"/>
      <c r="B196" s="41"/>
      <c r="C196" s="41"/>
      <c r="D196" s="41"/>
      <c r="E196" s="41"/>
      <c r="F196" s="49"/>
      <c r="G196" s="50"/>
      <c r="H196" s="44"/>
      <c r="I196" s="44"/>
      <c r="J196" s="44"/>
      <c r="K196" s="44"/>
      <c r="L196" s="44"/>
      <c r="M196" s="45"/>
      <c r="N196" s="36"/>
      <c r="O196" s="36"/>
      <c r="P196" s="36"/>
      <c r="Q196" s="39"/>
      <c r="R196" s="41"/>
      <c r="S196" s="51"/>
      <c r="T196" s="31"/>
      <c r="U196" s="41"/>
      <c r="V196" s="41"/>
      <c r="W196" s="41"/>
      <c r="X196" s="41"/>
      <c r="Y196" s="41"/>
      <c r="Z196" s="41"/>
      <c r="AA196" s="52"/>
      <c r="AB196" s="41"/>
      <c r="AC196" s="41"/>
      <c r="AD196" s="41"/>
      <c r="AE196" s="41"/>
      <c r="AF196" s="31"/>
      <c r="AG196" s="31"/>
      <c r="AH196" s="42"/>
      <c r="AI196" s="42"/>
      <c r="AJ196" s="42"/>
      <c r="AK196" s="42"/>
      <c r="AL196" s="52"/>
      <c r="AM196" s="41"/>
      <c r="AN196" s="41"/>
      <c r="AO196" s="41"/>
      <c r="AP196" s="41"/>
      <c r="AQ196" s="41"/>
      <c r="AR196" s="41"/>
      <c r="AS196" s="41"/>
    </row>
    <row r="197" spans="1:45" x14ac:dyDescent="0.25">
      <c r="A197" s="31"/>
      <c r="B197" s="41"/>
      <c r="C197" s="41"/>
      <c r="D197" s="41"/>
      <c r="E197" s="41"/>
      <c r="F197" s="49"/>
      <c r="G197" s="50"/>
      <c r="H197" s="44"/>
      <c r="I197" s="44"/>
      <c r="J197" s="44"/>
      <c r="K197" s="44"/>
      <c r="L197" s="44"/>
      <c r="M197" s="45"/>
      <c r="N197" s="36"/>
      <c r="O197" s="36"/>
      <c r="P197" s="36"/>
      <c r="Q197" s="39"/>
      <c r="R197" s="41"/>
      <c r="S197" s="51"/>
      <c r="T197" s="31"/>
      <c r="U197" s="41"/>
      <c r="V197" s="41"/>
      <c r="W197" s="41"/>
      <c r="X197" s="41"/>
      <c r="Y197" s="41"/>
      <c r="Z197" s="41"/>
      <c r="AA197" s="52"/>
      <c r="AB197" s="41"/>
      <c r="AC197" s="41"/>
      <c r="AD197" s="41"/>
      <c r="AE197" s="41"/>
      <c r="AF197" s="31"/>
      <c r="AG197" s="31"/>
      <c r="AH197" s="42"/>
      <c r="AI197" s="42"/>
      <c r="AJ197" s="42"/>
      <c r="AK197" s="42"/>
      <c r="AL197" s="52"/>
      <c r="AM197" s="41"/>
      <c r="AN197" s="41"/>
      <c r="AO197" s="41"/>
      <c r="AP197" s="41"/>
      <c r="AQ197" s="41"/>
      <c r="AR197" s="41"/>
      <c r="AS197" s="41"/>
    </row>
    <row r="198" spans="1:45" x14ac:dyDescent="0.25">
      <c r="A198" s="31"/>
      <c r="B198" s="41"/>
      <c r="C198" s="41"/>
      <c r="D198" s="41"/>
      <c r="E198" s="41"/>
      <c r="F198" s="49"/>
      <c r="G198" s="50"/>
      <c r="H198" s="44"/>
      <c r="I198" s="44"/>
      <c r="J198" s="44"/>
      <c r="K198" s="44"/>
      <c r="L198" s="44"/>
      <c r="M198" s="45"/>
      <c r="N198" s="36"/>
      <c r="O198" s="36"/>
      <c r="P198" s="36"/>
      <c r="Q198" s="39"/>
      <c r="R198" s="41"/>
      <c r="S198" s="51"/>
      <c r="T198" s="31"/>
      <c r="U198" s="41"/>
      <c r="V198" s="41"/>
      <c r="W198" s="41"/>
      <c r="X198" s="41"/>
      <c r="Y198" s="41"/>
      <c r="Z198" s="41"/>
      <c r="AA198" s="52"/>
      <c r="AB198" s="41"/>
      <c r="AC198" s="41"/>
      <c r="AD198" s="41"/>
      <c r="AE198" s="41"/>
      <c r="AF198" s="31"/>
      <c r="AG198" s="31"/>
      <c r="AH198" s="42"/>
      <c r="AI198" s="42"/>
      <c r="AJ198" s="42"/>
      <c r="AK198" s="42"/>
      <c r="AL198" s="52"/>
      <c r="AM198" s="41"/>
      <c r="AN198" s="41"/>
      <c r="AO198" s="41"/>
      <c r="AP198" s="41"/>
      <c r="AQ198" s="41"/>
      <c r="AR198" s="41"/>
      <c r="AS198" s="41"/>
    </row>
    <row r="199" spans="1:45" x14ac:dyDescent="0.25">
      <c r="A199" s="31"/>
      <c r="B199" s="41"/>
      <c r="C199" s="41"/>
      <c r="D199" s="41"/>
      <c r="E199" s="41"/>
      <c r="F199" s="49"/>
      <c r="G199" s="50"/>
      <c r="H199" s="44"/>
      <c r="I199" s="44"/>
      <c r="J199" s="44"/>
      <c r="K199" s="44"/>
      <c r="L199" s="44"/>
      <c r="M199" s="45"/>
      <c r="N199" s="36"/>
      <c r="O199" s="36"/>
      <c r="P199" s="36"/>
      <c r="Q199" s="39"/>
      <c r="R199" s="41"/>
      <c r="S199" s="51"/>
      <c r="T199" s="31"/>
      <c r="U199" s="41"/>
      <c r="V199" s="41"/>
      <c r="W199" s="41"/>
      <c r="X199" s="41"/>
      <c r="Y199" s="41"/>
      <c r="Z199" s="41"/>
      <c r="AA199" s="52"/>
      <c r="AB199" s="41"/>
      <c r="AC199" s="41"/>
      <c r="AD199" s="41"/>
      <c r="AE199" s="41"/>
      <c r="AF199" s="31"/>
      <c r="AG199" s="31"/>
      <c r="AH199" s="42"/>
      <c r="AI199" s="42"/>
      <c r="AJ199" s="42"/>
      <c r="AK199" s="42"/>
      <c r="AL199" s="52"/>
      <c r="AM199" s="41"/>
      <c r="AN199" s="41"/>
      <c r="AO199" s="41"/>
      <c r="AP199" s="41"/>
      <c r="AQ199" s="41"/>
      <c r="AR199" s="41"/>
      <c r="AS199" s="41"/>
    </row>
    <row r="200" spans="1:45" x14ac:dyDescent="0.25">
      <c r="A200" s="31"/>
      <c r="B200" s="41"/>
      <c r="C200" s="41"/>
      <c r="D200" s="41"/>
      <c r="E200" s="41"/>
      <c r="F200" s="49"/>
      <c r="G200" s="50"/>
      <c r="H200" s="44"/>
      <c r="I200" s="44"/>
      <c r="J200" s="44"/>
      <c r="K200" s="44"/>
      <c r="L200" s="44"/>
      <c r="M200" s="45"/>
      <c r="N200" s="36"/>
      <c r="O200" s="36"/>
      <c r="P200" s="36"/>
      <c r="Q200" s="39"/>
      <c r="R200" s="41"/>
      <c r="S200" s="51"/>
      <c r="T200" s="31"/>
      <c r="U200" s="41"/>
      <c r="V200" s="41"/>
      <c r="W200" s="41"/>
      <c r="X200" s="41"/>
      <c r="Y200" s="41"/>
      <c r="Z200" s="41"/>
      <c r="AA200" s="52"/>
      <c r="AB200" s="41"/>
      <c r="AC200" s="41"/>
      <c r="AD200" s="41"/>
      <c r="AE200" s="41"/>
      <c r="AF200" s="31"/>
      <c r="AG200" s="31"/>
      <c r="AH200" s="42"/>
      <c r="AI200" s="42"/>
      <c r="AJ200" s="42"/>
      <c r="AK200" s="42"/>
      <c r="AL200" s="52"/>
      <c r="AM200" s="41"/>
      <c r="AN200" s="41"/>
      <c r="AO200" s="41"/>
      <c r="AP200" s="41"/>
      <c r="AQ200" s="41"/>
      <c r="AR200" s="41"/>
      <c r="AS200" s="41"/>
    </row>
    <row r="201" spans="1:45" x14ac:dyDescent="0.25">
      <c r="A201" s="31"/>
      <c r="B201" s="41"/>
      <c r="C201" s="41"/>
      <c r="D201" s="41"/>
      <c r="E201" s="41"/>
      <c r="F201" s="49"/>
      <c r="G201" s="50"/>
      <c r="H201" s="44"/>
      <c r="I201" s="44"/>
      <c r="J201" s="44"/>
      <c r="K201" s="44"/>
      <c r="L201" s="44"/>
      <c r="M201" s="45"/>
      <c r="N201" s="36"/>
      <c r="O201" s="36"/>
      <c r="P201" s="36"/>
      <c r="Q201" s="39"/>
      <c r="R201" s="41"/>
      <c r="S201" s="51"/>
      <c r="T201" s="31"/>
      <c r="U201" s="41"/>
      <c r="V201" s="41"/>
      <c r="W201" s="41"/>
      <c r="X201" s="41"/>
      <c r="Y201" s="41"/>
      <c r="Z201" s="41"/>
      <c r="AA201" s="52"/>
      <c r="AB201" s="41"/>
      <c r="AC201" s="41"/>
      <c r="AD201" s="41"/>
      <c r="AE201" s="41"/>
      <c r="AF201" s="31"/>
      <c r="AG201" s="31"/>
      <c r="AH201" s="42"/>
      <c r="AI201" s="42"/>
      <c r="AJ201" s="42"/>
      <c r="AK201" s="42"/>
      <c r="AL201" s="52"/>
      <c r="AM201" s="41"/>
      <c r="AN201" s="41"/>
      <c r="AO201" s="41"/>
      <c r="AP201" s="41"/>
      <c r="AQ201" s="41"/>
      <c r="AR201" s="41"/>
      <c r="AS201" s="41"/>
    </row>
    <row r="202" spans="1:45" x14ac:dyDescent="0.25">
      <c r="A202" s="31"/>
      <c r="B202" s="41"/>
      <c r="C202" s="41"/>
      <c r="D202" s="41"/>
      <c r="E202" s="41"/>
      <c r="F202" s="49"/>
      <c r="G202" s="50"/>
      <c r="H202" s="44"/>
      <c r="I202" s="44"/>
      <c r="J202" s="44"/>
      <c r="K202" s="44"/>
      <c r="L202" s="44"/>
      <c r="M202" s="45"/>
      <c r="N202" s="36"/>
      <c r="O202" s="36"/>
      <c r="P202" s="36"/>
      <c r="Q202" s="39"/>
      <c r="R202" s="41"/>
      <c r="S202" s="51"/>
      <c r="T202" s="31"/>
      <c r="U202" s="41"/>
      <c r="V202" s="41"/>
      <c r="W202" s="41"/>
      <c r="X202" s="41"/>
      <c r="Y202" s="41"/>
      <c r="Z202" s="41"/>
      <c r="AA202" s="52"/>
      <c r="AB202" s="41"/>
      <c r="AC202" s="41"/>
      <c r="AD202" s="41"/>
      <c r="AE202" s="41"/>
      <c r="AF202" s="31"/>
      <c r="AG202" s="31"/>
      <c r="AH202" s="42"/>
      <c r="AI202" s="42"/>
      <c r="AJ202" s="42"/>
      <c r="AK202" s="42"/>
      <c r="AL202" s="52"/>
      <c r="AM202" s="41"/>
      <c r="AN202" s="41"/>
      <c r="AO202" s="41"/>
      <c r="AP202" s="41"/>
      <c r="AQ202" s="41"/>
      <c r="AR202" s="41"/>
      <c r="AS202" s="41"/>
    </row>
    <row r="203" spans="1:45" x14ac:dyDescent="0.25">
      <c r="A203" s="31"/>
      <c r="B203" s="41"/>
      <c r="C203" s="41"/>
      <c r="D203" s="41"/>
      <c r="E203" s="41"/>
      <c r="F203" s="49"/>
      <c r="G203" s="50"/>
      <c r="H203" s="44"/>
      <c r="I203" s="44"/>
      <c r="J203" s="44"/>
      <c r="K203" s="44"/>
      <c r="L203" s="44"/>
      <c r="M203" s="45"/>
      <c r="N203" s="36"/>
      <c r="O203" s="36"/>
      <c r="P203" s="36"/>
      <c r="Q203" s="39"/>
      <c r="R203" s="41"/>
      <c r="S203" s="51"/>
      <c r="T203" s="31"/>
      <c r="U203" s="41"/>
      <c r="V203" s="41"/>
      <c r="W203" s="41"/>
      <c r="X203" s="41"/>
      <c r="Y203" s="41"/>
      <c r="Z203" s="41"/>
      <c r="AA203" s="52"/>
      <c r="AB203" s="41"/>
      <c r="AC203" s="41"/>
      <c r="AD203" s="41"/>
      <c r="AE203" s="41"/>
      <c r="AF203" s="31"/>
      <c r="AG203" s="31"/>
      <c r="AH203" s="42"/>
      <c r="AI203" s="42"/>
      <c r="AJ203" s="42"/>
      <c r="AK203" s="42"/>
      <c r="AL203" s="52"/>
      <c r="AM203" s="41"/>
      <c r="AN203" s="41"/>
      <c r="AO203" s="41"/>
      <c r="AP203" s="41"/>
      <c r="AQ203" s="41"/>
      <c r="AR203" s="41"/>
      <c r="AS203" s="41"/>
    </row>
    <row r="204" spans="1:45" x14ac:dyDescent="0.25">
      <c r="A204" s="31"/>
      <c r="B204" s="41"/>
      <c r="C204" s="41"/>
      <c r="D204" s="41"/>
      <c r="E204" s="41"/>
      <c r="F204" s="49"/>
      <c r="G204" s="50"/>
      <c r="H204" s="44"/>
      <c r="I204" s="44"/>
      <c r="J204" s="44"/>
      <c r="K204" s="44"/>
      <c r="L204" s="44"/>
      <c r="M204" s="45"/>
      <c r="N204" s="36"/>
      <c r="O204" s="36"/>
      <c r="P204" s="36"/>
      <c r="Q204" s="39"/>
      <c r="R204" s="41"/>
      <c r="S204" s="51"/>
      <c r="T204" s="31"/>
      <c r="U204" s="41"/>
      <c r="V204" s="41"/>
      <c r="W204" s="41"/>
      <c r="X204" s="41"/>
      <c r="Y204" s="41"/>
      <c r="Z204" s="41"/>
      <c r="AA204" s="52"/>
      <c r="AB204" s="41"/>
      <c r="AC204" s="41"/>
      <c r="AD204" s="41"/>
      <c r="AE204" s="41"/>
      <c r="AF204" s="31"/>
      <c r="AG204" s="31"/>
      <c r="AH204" s="42"/>
      <c r="AI204" s="42"/>
      <c r="AJ204" s="42"/>
      <c r="AK204" s="42"/>
      <c r="AL204" s="52"/>
      <c r="AM204" s="41"/>
      <c r="AN204" s="41"/>
      <c r="AO204" s="41"/>
      <c r="AP204" s="41"/>
      <c r="AQ204" s="41"/>
      <c r="AR204" s="41"/>
      <c r="AS204" s="41"/>
    </row>
    <row r="205" spans="1:45" x14ac:dyDescent="0.25">
      <c r="A205" s="31"/>
      <c r="B205" s="41"/>
      <c r="C205" s="41"/>
      <c r="D205" s="41"/>
      <c r="E205" s="41"/>
      <c r="F205" s="49"/>
      <c r="G205" s="50"/>
      <c r="H205" s="44"/>
      <c r="I205" s="44"/>
      <c r="J205" s="44"/>
      <c r="K205" s="44"/>
      <c r="L205" s="44"/>
      <c r="M205" s="45"/>
      <c r="N205" s="36"/>
      <c r="O205" s="36"/>
      <c r="P205" s="36"/>
      <c r="Q205" s="39"/>
      <c r="R205" s="41"/>
      <c r="S205" s="51"/>
      <c r="T205" s="31"/>
      <c r="U205" s="41"/>
      <c r="V205" s="41"/>
      <c r="W205" s="41"/>
      <c r="X205" s="41"/>
      <c r="Y205" s="41"/>
      <c r="Z205" s="41"/>
      <c r="AA205" s="52"/>
      <c r="AB205" s="41"/>
      <c r="AC205" s="41"/>
      <c r="AD205" s="41"/>
      <c r="AE205" s="41"/>
      <c r="AF205" s="31"/>
      <c r="AG205" s="31"/>
      <c r="AH205" s="42"/>
      <c r="AI205" s="42"/>
      <c r="AJ205" s="42"/>
      <c r="AK205" s="42"/>
      <c r="AL205" s="52"/>
      <c r="AM205" s="41"/>
      <c r="AN205" s="41"/>
      <c r="AO205" s="41"/>
      <c r="AP205" s="41"/>
      <c r="AQ205" s="41"/>
      <c r="AR205" s="41"/>
      <c r="AS205" s="41"/>
    </row>
    <row r="206" spans="1:45" x14ac:dyDescent="0.25">
      <c r="A206" s="31"/>
      <c r="B206" s="41"/>
      <c r="C206" s="41"/>
      <c r="D206" s="41"/>
      <c r="E206" s="41"/>
      <c r="F206" s="49"/>
      <c r="G206" s="50"/>
      <c r="H206" s="44"/>
      <c r="I206" s="44"/>
      <c r="J206" s="44"/>
      <c r="K206" s="44"/>
      <c r="L206" s="44"/>
      <c r="M206" s="45"/>
      <c r="N206" s="36"/>
      <c r="O206" s="36"/>
      <c r="P206" s="36"/>
      <c r="Q206" s="39"/>
      <c r="R206" s="41"/>
      <c r="S206" s="51"/>
      <c r="T206" s="31"/>
      <c r="U206" s="41"/>
      <c r="V206" s="41"/>
      <c r="W206" s="41"/>
      <c r="X206" s="41"/>
      <c r="Y206" s="41"/>
      <c r="Z206" s="41"/>
      <c r="AA206" s="52"/>
      <c r="AB206" s="41"/>
      <c r="AC206" s="41"/>
      <c r="AD206" s="41"/>
      <c r="AE206" s="41"/>
      <c r="AF206" s="31"/>
      <c r="AG206" s="31"/>
      <c r="AH206" s="42"/>
      <c r="AI206" s="42"/>
      <c r="AJ206" s="42"/>
      <c r="AK206" s="42"/>
      <c r="AL206" s="52"/>
      <c r="AM206" s="41"/>
      <c r="AN206" s="41"/>
      <c r="AO206" s="41"/>
      <c r="AP206" s="41"/>
      <c r="AQ206" s="41"/>
      <c r="AR206" s="41"/>
      <c r="AS206" s="41"/>
    </row>
    <row r="207" spans="1:45" x14ac:dyDescent="0.25">
      <c r="A207" s="31"/>
      <c r="B207" s="41"/>
      <c r="C207" s="41"/>
      <c r="D207" s="41"/>
      <c r="E207" s="41"/>
      <c r="F207" s="49"/>
      <c r="G207" s="50"/>
      <c r="H207" s="44"/>
      <c r="I207" s="44"/>
      <c r="J207" s="44"/>
      <c r="K207" s="44"/>
      <c r="L207" s="44"/>
      <c r="M207" s="45"/>
      <c r="N207" s="36"/>
      <c r="O207" s="36"/>
      <c r="P207" s="36"/>
      <c r="Q207" s="39"/>
      <c r="R207" s="41"/>
      <c r="S207" s="51"/>
      <c r="T207" s="31"/>
      <c r="U207" s="41"/>
      <c r="V207" s="41"/>
      <c r="W207" s="41"/>
      <c r="X207" s="41"/>
      <c r="Y207" s="41"/>
      <c r="Z207" s="41"/>
      <c r="AA207" s="52"/>
      <c r="AB207" s="41"/>
      <c r="AC207" s="41"/>
      <c r="AD207" s="41"/>
      <c r="AE207" s="41"/>
      <c r="AF207" s="31"/>
      <c r="AG207" s="31"/>
      <c r="AH207" s="42"/>
      <c r="AI207" s="42"/>
      <c r="AJ207" s="42"/>
      <c r="AK207" s="42"/>
      <c r="AL207" s="52"/>
      <c r="AM207" s="41"/>
      <c r="AN207" s="41"/>
      <c r="AO207" s="41"/>
      <c r="AP207" s="41"/>
      <c r="AQ207" s="41"/>
      <c r="AR207" s="41"/>
      <c r="AS207" s="41"/>
    </row>
    <row r="208" spans="1:45" x14ac:dyDescent="0.25">
      <c r="A208" s="31"/>
      <c r="B208" s="41"/>
      <c r="C208" s="41"/>
      <c r="D208" s="41"/>
      <c r="E208" s="41"/>
      <c r="F208" s="49"/>
      <c r="G208" s="50"/>
      <c r="H208" s="44"/>
      <c r="I208" s="44"/>
      <c r="J208" s="44"/>
      <c r="K208" s="44"/>
      <c r="L208" s="44"/>
      <c r="M208" s="45"/>
      <c r="N208" s="36"/>
      <c r="O208" s="36"/>
      <c r="P208" s="36"/>
      <c r="Q208" s="39"/>
      <c r="R208" s="41"/>
      <c r="S208" s="51"/>
      <c r="T208" s="31"/>
      <c r="U208" s="41"/>
      <c r="V208" s="41"/>
      <c r="W208" s="41"/>
      <c r="X208" s="41"/>
      <c r="Y208" s="41"/>
      <c r="Z208" s="41"/>
      <c r="AA208" s="52"/>
      <c r="AB208" s="41"/>
      <c r="AC208" s="41"/>
      <c r="AD208" s="41"/>
      <c r="AE208" s="41"/>
      <c r="AF208" s="31"/>
      <c r="AG208" s="31"/>
      <c r="AH208" s="42"/>
      <c r="AI208" s="42"/>
      <c r="AJ208" s="42"/>
      <c r="AK208" s="42"/>
      <c r="AL208" s="52"/>
      <c r="AM208" s="41"/>
      <c r="AN208" s="41"/>
      <c r="AO208" s="41"/>
      <c r="AP208" s="41"/>
      <c r="AQ208" s="41"/>
      <c r="AR208" s="41"/>
      <c r="AS208" s="41"/>
    </row>
    <row r="209" spans="1:45" x14ac:dyDescent="0.25">
      <c r="A209" s="31"/>
      <c r="B209" s="41"/>
      <c r="C209" s="41"/>
      <c r="D209" s="41"/>
      <c r="E209" s="41"/>
      <c r="F209" s="49"/>
      <c r="G209" s="50"/>
      <c r="H209" s="44"/>
      <c r="I209" s="44"/>
      <c r="J209" s="44"/>
      <c r="K209" s="44"/>
      <c r="L209" s="44"/>
      <c r="M209" s="45"/>
      <c r="N209" s="36"/>
      <c r="O209" s="36"/>
      <c r="P209" s="36"/>
      <c r="Q209" s="39"/>
      <c r="R209" s="41"/>
      <c r="S209" s="51"/>
      <c r="T209" s="31"/>
      <c r="U209" s="41"/>
      <c r="V209" s="41"/>
      <c r="W209" s="41"/>
      <c r="X209" s="41"/>
      <c r="Y209" s="41"/>
      <c r="Z209" s="41"/>
      <c r="AA209" s="52"/>
      <c r="AB209" s="41"/>
      <c r="AC209" s="41"/>
      <c r="AD209" s="41"/>
      <c r="AE209" s="41"/>
      <c r="AF209" s="31"/>
      <c r="AG209" s="31"/>
      <c r="AH209" s="42"/>
      <c r="AI209" s="42"/>
      <c r="AJ209" s="42"/>
      <c r="AK209" s="42"/>
      <c r="AL209" s="52"/>
      <c r="AM209" s="41"/>
      <c r="AN209" s="41"/>
      <c r="AO209" s="41"/>
      <c r="AP209" s="41"/>
      <c r="AQ209" s="41"/>
      <c r="AR209" s="41"/>
      <c r="AS209" s="41"/>
    </row>
    <row r="210" spans="1:45" x14ac:dyDescent="0.25">
      <c r="A210" s="31"/>
      <c r="B210" s="41"/>
      <c r="C210" s="41"/>
      <c r="D210" s="41"/>
      <c r="E210" s="41"/>
      <c r="F210" s="49"/>
      <c r="G210" s="50"/>
      <c r="H210" s="44"/>
      <c r="I210" s="44"/>
      <c r="J210" s="44"/>
      <c r="K210" s="44"/>
      <c r="L210" s="44"/>
      <c r="M210" s="45"/>
      <c r="N210" s="36"/>
      <c r="O210" s="36"/>
      <c r="P210" s="36"/>
      <c r="Q210" s="39"/>
      <c r="R210" s="41"/>
      <c r="S210" s="51"/>
      <c r="T210" s="31"/>
      <c r="U210" s="41"/>
      <c r="V210" s="41"/>
      <c r="W210" s="41"/>
      <c r="X210" s="41"/>
      <c r="Y210" s="41"/>
      <c r="Z210" s="41"/>
      <c r="AA210" s="52"/>
      <c r="AB210" s="41"/>
      <c r="AC210" s="41"/>
      <c r="AD210" s="41"/>
      <c r="AE210" s="41"/>
      <c r="AF210" s="31"/>
      <c r="AG210" s="31"/>
      <c r="AH210" s="42"/>
      <c r="AI210" s="42"/>
      <c r="AJ210" s="42"/>
      <c r="AK210" s="42"/>
      <c r="AL210" s="52"/>
      <c r="AM210" s="41"/>
      <c r="AN210" s="41"/>
      <c r="AO210" s="41"/>
      <c r="AP210" s="41"/>
      <c r="AQ210" s="41"/>
      <c r="AR210" s="41"/>
      <c r="AS210" s="41"/>
    </row>
    <row r="211" spans="1:45" x14ac:dyDescent="0.25">
      <c r="A211" s="31"/>
      <c r="B211" s="41"/>
      <c r="C211" s="41"/>
      <c r="D211" s="41"/>
      <c r="E211" s="41"/>
      <c r="F211" s="49"/>
      <c r="G211" s="50"/>
      <c r="H211" s="44"/>
      <c r="I211" s="44"/>
      <c r="J211" s="44"/>
      <c r="K211" s="44"/>
      <c r="L211" s="44"/>
      <c r="M211" s="45"/>
      <c r="N211" s="36"/>
      <c r="O211" s="36"/>
      <c r="P211" s="36"/>
      <c r="Q211" s="39"/>
      <c r="R211" s="41"/>
      <c r="S211" s="51"/>
      <c r="T211" s="31"/>
      <c r="U211" s="41"/>
      <c r="V211" s="41"/>
      <c r="W211" s="41"/>
      <c r="X211" s="41"/>
      <c r="Y211" s="41"/>
      <c r="Z211" s="41"/>
      <c r="AA211" s="52"/>
      <c r="AB211" s="41"/>
      <c r="AC211" s="41"/>
      <c r="AD211" s="41"/>
      <c r="AE211" s="41"/>
      <c r="AF211" s="31"/>
      <c r="AG211" s="31"/>
      <c r="AH211" s="42"/>
      <c r="AI211" s="42"/>
      <c r="AJ211" s="42"/>
      <c r="AK211" s="42"/>
      <c r="AL211" s="52"/>
      <c r="AM211" s="41"/>
      <c r="AN211" s="41"/>
      <c r="AO211" s="41"/>
      <c r="AP211" s="41"/>
      <c r="AQ211" s="41"/>
      <c r="AR211" s="41"/>
      <c r="AS211" s="41"/>
    </row>
    <row r="212" spans="1:45" x14ac:dyDescent="0.25">
      <c r="A212" s="31"/>
      <c r="B212" s="41"/>
      <c r="C212" s="41"/>
      <c r="D212" s="41"/>
      <c r="E212" s="41"/>
      <c r="F212" s="49"/>
      <c r="G212" s="50"/>
      <c r="H212" s="44"/>
      <c r="I212" s="44"/>
      <c r="J212" s="44"/>
      <c r="K212" s="44"/>
      <c r="L212" s="44"/>
      <c r="M212" s="45"/>
      <c r="N212" s="36"/>
      <c r="O212" s="36"/>
      <c r="P212" s="36"/>
      <c r="Q212" s="39"/>
      <c r="R212" s="41"/>
      <c r="S212" s="51"/>
      <c r="T212" s="31"/>
      <c r="U212" s="41"/>
      <c r="V212" s="41"/>
      <c r="W212" s="41"/>
      <c r="X212" s="41"/>
      <c r="Y212" s="41"/>
      <c r="Z212" s="41"/>
      <c r="AA212" s="52"/>
      <c r="AB212" s="41"/>
      <c r="AC212" s="41"/>
      <c r="AD212" s="41"/>
      <c r="AE212" s="41"/>
      <c r="AF212" s="31"/>
      <c r="AG212" s="31"/>
      <c r="AH212" s="42"/>
      <c r="AI212" s="42"/>
      <c r="AJ212" s="42"/>
      <c r="AK212" s="42"/>
      <c r="AL212" s="52"/>
      <c r="AM212" s="41"/>
      <c r="AN212" s="41"/>
      <c r="AO212" s="41"/>
      <c r="AP212" s="41"/>
      <c r="AQ212" s="41"/>
      <c r="AR212" s="41"/>
      <c r="AS212" s="41"/>
    </row>
    <row r="213" spans="1:45" x14ac:dyDescent="0.25">
      <c r="A213" s="31"/>
      <c r="B213" s="41"/>
      <c r="C213" s="41"/>
      <c r="D213" s="41"/>
      <c r="E213" s="41"/>
      <c r="F213" s="49"/>
      <c r="G213" s="50"/>
      <c r="H213" s="44"/>
      <c r="I213" s="44"/>
      <c r="J213" s="44"/>
      <c r="K213" s="44"/>
      <c r="L213" s="44"/>
      <c r="M213" s="45"/>
      <c r="N213" s="36"/>
      <c r="O213" s="36"/>
      <c r="P213" s="36"/>
      <c r="Q213" s="39"/>
      <c r="R213" s="41"/>
      <c r="S213" s="51"/>
      <c r="T213" s="31"/>
      <c r="U213" s="41"/>
      <c r="V213" s="41"/>
      <c r="W213" s="41"/>
      <c r="X213" s="41"/>
      <c r="Y213" s="41"/>
      <c r="Z213" s="41"/>
      <c r="AA213" s="52"/>
      <c r="AB213" s="41"/>
      <c r="AC213" s="41"/>
      <c r="AD213" s="41"/>
      <c r="AE213" s="41"/>
      <c r="AF213" s="31"/>
      <c r="AG213" s="31"/>
      <c r="AH213" s="42"/>
      <c r="AI213" s="42"/>
      <c r="AJ213" s="42"/>
      <c r="AK213" s="42"/>
      <c r="AL213" s="52"/>
      <c r="AM213" s="41"/>
      <c r="AN213" s="41"/>
      <c r="AO213" s="41"/>
      <c r="AP213" s="41"/>
      <c r="AQ213" s="41"/>
      <c r="AR213" s="41"/>
      <c r="AS213" s="41"/>
    </row>
    <row r="214" spans="1:45" x14ac:dyDescent="0.25">
      <c r="A214" s="31"/>
      <c r="B214" s="41"/>
      <c r="C214" s="41"/>
      <c r="D214" s="41"/>
      <c r="E214" s="41"/>
      <c r="F214" s="49"/>
      <c r="G214" s="50"/>
      <c r="H214" s="44"/>
      <c r="I214" s="44"/>
      <c r="J214" s="44"/>
      <c r="K214" s="44"/>
      <c r="L214" s="44"/>
      <c r="M214" s="45"/>
      <c r="N214" s="36"/>
      <c r="O214" s="36"/>
      <c r="P214" s="36"/>
      <c r="Q214" s="39"/>
      <c r="R214" s="41"/>
      <c r="S214" s="51"/>
      <c r="T214" s="31"/>
      <c r="U214" s="41"/>
      <c r="V214" s="41"/>
      <c r="W214" s="41"/>
      <c r="X214" s="41"/>
      <c r="Y214" s="41"/>
      <c r="Z214" s="41"/>
      <c r="AA214" s="52"/>
      <c r="AB214" s="41"/>
      <c r="AC214" s="41"/>
      <c r="AD214" s="41"/>
      <c r="AE214" s="41"/>
      <c r="AF214" s="31"/>
      <c r="AG214" s="31"/>
      <c r="AH214" s="42"/>
      <c r="AI214" s="42"/>
      <c r="AJ214" s="42"/>
      <c r="AK214" s="42"/>
      <c r="AL214" s="52"/>
      <c r="AM214" s="41"/>
      <c r="AN214" s="41"/>
      <c r="AO214" s="41"/>
      <c r="AP214" s="41"/>
      <c r="AQ214" s="41"/>
      <c r="AR214" s="41"/>
      <c r="AS214" s="41"/>
    </row>
    <row r="215" spans="1:45" x14ac:dyDescent="0.25">
      <c r="A215" s="31"/>
      <c r="B215" s="41"/>
      <c r="C215" s="41"/>
      <c r="D215" s="41"/>
      <c r="E215" s="41"/>
      <c r="F215" s="49"/>
      <c r="G215" s="50"/>
      <c r="H215" s="44"/>
      <c r="I215" s="44"/>
      <c r="J215" s="44"/>
      <c r="K215" s="44"/>
      <c r="L215" s="44"/>
      <c r="M215" s="45"/>
      <c r="N215" s="36"/>
      <c r="O215" s="36"/>
      <c r="P215" s="36"/>
      <c r="Q215" s="39"/>
      <c r="R215" s="41"/>
      <c r="S215" s="51"/>
      <c r="T215" s="31"/>
      <c r="U215" s="41"/>
      <c r="V215" s="41"/>
      <c r="W215" s="41"/>
      <c r="X215" s="41"/>
      <c r="Y215" s="41"/>
      <c r="Z215" s="41"/>
      <c r="AA215" s="52"/>
      <c r="AB215" s="41"/>
      <c r="AC215" s="41"/>
      <c r="AD215" s="41"/>
      <c r="AE215" s="41"/>
      <c r="AF215" s="31"/>
      <c r="AG215" s="31"/>
      <c r="AH215" s="42"/>
      <c r="AI215" s="42"/>
      <c r="AJ215" s="42"/>
      <c r="AK215" s="42"/>
      <c r="AL215" s="52"/>
      <c r="AM215" s="41"/>
      <c r="AN215" s="41"/>
      <c r="AO215" s="41"/>
      <c r="AP215" s="41"/>
      <c r="AQ215" s="41"/>
      <c r="AR215" s="41"/>
      <c r="AS215" s="41"/>
    </row>
    <row r="216" spans="1:45" x14ac:dyDescent="0.25">
      <c r="A216" s="31"/>
      <c r="B216" s="41"/>
      <c r="C216" s="41"/>
      <c r="D216" s="41"/>
      <c r="E216" s="41"/>
      <c r="F216" s="49"/>
      <c r="G216" s="50"/>
      <c r="H216" s="44"/>
      <c r="I216" s="44"/>
      <c r="J216" s="44"/>
      <c r="K216" s="44"/>
      <c r="L216" s="44"/>
      <c r="M216" s="45"/>
      <c r="N216" s="36"/>
      <c r="O216" s="36"/>
      <c r="P216" s="36"/>
      <c r="Q216" s="39"/>
      <c r="R216" s="41"/>
      <c r="S216" s="51"/>
      <c r="T216" s="31"/>
      <c r="U216" s="41"/>
      <c r="V216" s="41"/>
      <c r="W216" s="41"/>
      <c r="X216" s="41"/>
      <c r="Y216" s="41"/>
      <c r="Z216" s="41"/>
      <c r="AA216" s="52"/>
      <c r="AB216" s="41"/>
      <c r="AC216" s="41"/>
      <c r="AD216" s="41"/>
      <c r="AE216" s="41"/>
      <c r="AF216" s="31"/>
      <c r="AG216" s="31"/>
      <c r="AH216" s="42"/>
      <c r="AI216" s="42"/>
      <c r="AJ216" s="42"/>
      <c r="AK216" s="42"/>
      <c r="AL216" s="52"/>
      <c r="AM216" s="41"/>
      <c r="AN216" s="41"/>
      <c r="AO216" s="41"/>
      <c r="AP216" s="41"/>
      <c r="AQ216" s="41"/>
      <c r="AR216" s="41"/>
      <c r="AS216" s="41"/>
    </row>
    <row r="217" spans="1:45" x14ac:dyDescent="0.25">
      <c r="H217" s="53"/>
      <c r="I217" s="53"/>
      <c r="J217" s="53"/>
      <c r="K217" s="53"/>
      <c r="L217" s="53"/>
      <c r="AA217" s="54"/>
      <c r="AI217" s="55"/>
    </row>
    <row r="218" spans="1:45" x14ac:dyDescent="0.25">
      <c r="H218" s="53"/>
      <c r="I218" s="53"/>
      <c r="J218" s="53"/>
      <c r="K218" s="53"/>
      <c r="L218" s="53"/>
      <c r="AA218" s="54"/>
      <c r="AI218" s="55"/>
    </row>
    <row r="219" spans="1:45" x14ac:dyDescent="0.25">
      <c r="H219" s="53"/>
      <c r="I219" s="53"/>
      <c r="J219" s="53"/>
      <c r="K219" s="53"/>
      <c r="L219" s="53"/>
      <c r="AA219" s="54"/>
      <c r="AI219" s="55"/>
    </row>
    <row r="220" spans="1:45" x14ac:dyDescent="0.25">
      <c r="H220" s="53"/>
      <c r="I220" s="53"/>
      <c r="J220" s="53"/>
      <c r="K220" s="53"/>
      <c r="L220" s="53"/>
      <c r="AA220" s="54"/>
      <c r="AI220" s="55"/>
    </row>
    <row r="221" spans="1:45" x14ac:dyDescent="0.25">
      <c r="H221" s="53"/>
      <c r="I221" s="53"/>
      <c r="J221" s="53"/>
      <c r="K221" s="53"/>
      <c r="L221" s="53"/>
      <c r="AA221" s="54"/>
      <c r="AI221" s="55"/>
    </row>
    <row r="222" spans="1:45" x14ac:dyDescent="0.25">
      <c r="H222" s="53"/>
      <c r="I222" s="53"/>
      <c r="J222" s="53"/>
      <c r="K222" s="53"/>
      <c r="L222" s="53"/>
      <c r="AA222" s="54"/>
      <c r="AI222" s="55"/>
    </row>
    <row r="223" spans="1:45" x14ac:dyDescent="0.25">
      <c r="H223" s="53"/>
      <c r="I223" s="53"/>
      <c r="J223" s="53"/>
      <c r="K223" s="53"/>
      <c r="L223" s="53"/>
      <c r="AA223" s="54"/>
      <c r="AI223" s="55"/>
    </row>
    <row r="224" spans="1:45" x14ac:dyDescent="0.25">
      <c r="H224" s="53"/>
      <c r="I224" s="53"/>
      <c r="J224" s="53"/>
      <c r="K224" s="53"/>
      <c r="L224" s="53"/>
      <c r="AA224" s="54"/>
      <c r="AI224" s="55"/>
    </row>
    <row r="225" spans="8:35" x14ac:dyDescent="0.25">
      <c r="H225" s="53"/>
      <c r="I225" s="53"/>
      <c r="J225" s="53"/>
      <c r="K225" s="53"/>
      <c r="L225" s="53"/>
      <c r="AA225" s="54"/>
      <c r="AI225" s="55"/>
    </row>
    <row r="226" spans="8:35" x14ac:dyDescent="0.25">
      <c r="H226" s="53"/>
      <c r="I226" s="53"/>
      <c r="J226" s="53"/>
      <c r="K226" s="53"/>
      <c r="L226" s="53"/>
      <c r="AA226" s="54"/>
      <c r="AI226" s="55"/>
    </row>
    <row r="227" spans="8:35" x14ac:dyDescent="0.25">
      <c r="H227" s="53"/>
      <c r="I227" s="53"/>
      <c r="J227" s="53"/>
      <c r="K227" s="53"/>
      <c r="L227" s="53"/>
      <c r="AA227" s="54"/>
      <c r="AI227" s="55"/>
    </row>
    <row r="228" spans="8:35" x14ac:dyDescent="0.25">
      <c r="H228" s="53"/>
      <c r="I228" s="53"/>
      <c r="J228" s="53"/>
      <c r="K228" s="53"/>
      <c r="L228" s="53"/>
      <c r="AA228" s="54"/>
      <c r="AI228" s="55"/>
    </row>
    <row r="229" spans="8:35" x14ac:dyDescent="0.25">
      <c r="H229" s="53"/>
      <c r="I229" s="53"/>
      <c r="J229" s="53"/>
      <c r="K229" s="53"/>
      <c r="L229" s="53"/>
      <c r="AA229" s="54"/>
      <c r="AI229" s="55"/>
    </row>
    <row r="230" spans="8:35" x14ac:dyDescent="0.25">
      <c r="H230" s="53"/>
      <c r="I230" s="53"/>
      <c r="J230" s="53"/>
      <c r="K230" s="53"/>
      <c r="L230" s="53"/>
      <c r="AA230" s="54"/>
      <c r="AI230" s="55"/>
    </row>
    <row r="231" spans="8:35" x14ac:dyDescent="0.25">
      <c r="H231" s="53"/>
      <c r="I231" s="53"/>
      <c r="J231" s="53"/>
      <c r="K231" s="53"/>
      <c r="L231" s="53"/>
      <c r="AA231" s="54"/>
      <c r="AI231" s="55"/>
    </row>
    <row r="232" spans="8:35" x14ac:dyDescent="0.25">
      <c r="H232" s="53"/>
      <c r="I232" s="53"/>
      <c r="J232" s="53"/>
      <c r="K232" s="53"/>
      <c r="L232" s="53"/>
      <c r="AA232" s="54"/>
      <c r="AI232" s="55"/>
    </row>
    <row r="233" spans="8:35" x14ac:dyDescent="0.25">
      <c r="H233" s="53"/>
      <c r="I233" s="53"/>
      <c r="J233" s="53"/>
      <c r="K233" s="53"/>
      <c r="L233" s="53"/>
      <c r="AA233" s="54"/>
      <c r="AI233" s="55"/>
    </row>
    <row r="234" spans="8:35" x14ac:dyDescent="0.25">
      <c r="H234" s="53"/>
      <c r="I234" s="53"/>
      <c r="J234" s="53"/>
      <c r="K234" s="53"/>
      <c r="L234" s="53"/>
      <c r="AA234" s="54"/>
      <c r="AI234" s="55"/>
    </row>
    <row r="235" spans="8:35" x14ac:dyDescent="0.25">
      <c r="H235" s="53"/>
      <c r="I235" s="53"/>
      <c r="J235" s="53"/>
      <c r="K235" s="53"/>
      <c r="L235" s="53"/>
      <c r="AA235" s="54"/>
      <c r="AI235" s="55"/>
    </row>
    <row r="236" spans="8:35" x14ac:dyDescent="0.25">
      <c r="H236" s="53"/>
      <c r="I236" s="53"/>
      <c r="J236" s="53"/>
      <c r="K236" s="53"/>
      <c r="L236" s="53"/>
      <c r="AA236" s="54"/>
      <c r="AI236" s="55"/>
    </row>
    <row r="237" spans="8:35" x14ac:dyDescent="0.25">
      <c r="H237" s="53"/>
      <c r="I237" s="53"/>
      <c r="J237" s="53"/>
      <c r="K237" s="53"/>
      <c r="L237" s="53"/>
      <c r="AA237" s="54"/>
      <c r="AI237" s="55"/>
    </row>
    <row r="238" spans="8:35" x14ac:dyDescent="0.25">
      <c r="H238" s="53"/>
      <c r="I238" s="53"/>
      <c r="J238" s="53"/>
      <c r="K238" s="53"/>
      <c r="L238" s="53"/>
      <c r="AA238" s="54"/>
      <c r="AI238" s="55"/>
    </row>
    <row r="239" spans="8:35" x14ac:dyDescent="0.25">
      <c r="H239" s="53"/>
      <c r="I239" s="53"/>
      <c r="J239" s="53"/>
      <c r="K239" s="53"/>
      <c r="L239" s="53"/>
      <c r="AA239" s="54"/>
      <c r="AI239" s="55"/>
    </row>
    <row r="240" spans="8:35" x14ac:dyDescent="0.25">
      <c r="H240" s="53"/>
      <c r="I240" s="53"/>
      <c r="J240" s="53"/>
      <c r="K240" s="53"/>
      <c r="L240" s="53"/>
      <c r="AA240" s="54"/>
      <c r="AI240" s="55"/>
    </row>
    <row r="241" spans="8:35" x14ac:dyDescent="0.25">
      <c r="H241" s="53"/>
      <c r="I241" s="53"/>
      <c r="J241" s="53"/>
      <c r="K241" s="53"/>
      <c r="L241" s="53"/>
      <c r="AA241" s="54"/>
      <c r="AI241" s="55"/>
    </row>
    <row r="242" spans="8:35" x14ac:dyDescent="0.25">
      <c r="H242" s="53"/>
      <c r="I242" s="53"/>
      <c r="J242" s="53"/>
      <c r="K242" s="53"/>
      <c r="L242" s="53"/>
      <c r="AA242" s="54"/>
      <c r="AI242" s="55"/>
    </row>
    <row r="243" spans="8:35" x14ac:dyDescent="0.25">
      <c r="H243" s="53"/>
      <c r="I243" s="53"/>
      <c r="J243" s="53"/>
      <c r="K243" s="53"/>
      <c r="L243" s="53"/>
      <c r="AA243" s="54"/>
      <c r="AI243" s="55"/>
    </row>
    <row r="244" spans="8:35" x14ac:dyDescent="0.25">
      <c r="H244" s="53"/>
      <c r="I244" s="53"/>
      <c r="J244" s="53"/>
      <c r="K244" s="53"/>
      <c r="L244" s="53"/>
      <c r="AA244" s="54"/>
      <c r="AI244" s="55"/>
    </row>
    <row r="245" spans="8:35" x14ac:dyDescent="0.25">
      <c r="H245" s="53"/>
      <c r="I245" s="53"/>
      <c r="J245" s="53"/>
      <c r="K245" s="53"/>
      <c r="L245" s="53"/>
      <c r="AA245" s="54"/>
      <c r="AI245" s="55"/>
    </row>
    <row r="246" spans="8:35" x14ac:dyDescent="0.25">
      <c r="H246" s="53"/>
      <c r="I246" s="53"/>
      <c r="J246" s="53"/>
      <c r="K246" s="53"/>
      <c r="L246" s="53"/>
      <c r="AA246" s="54"/>
      <c r="AI246" s="55"/>
    </row>
    <row r="247" spans="8:35" x14ac:dyDescent="0.25">
      <c r="H247" s="53"/>
      <c r="I247" s="53"/>
      <c r="J247" s="53"/>
      <c r="K247" s="53"/>
      <c r="L247" s="53"/>
      <c r="AA247" s="54"/>
      <c r="AI247" s="55"/>
    </row>
    <row r="248" spans="8:35" x14ac:dyDescent="0.25">
      <c r="H248" s="53"/>
      <c r="I248" s="53"/>
      <c r="J248" s="53"/>
      <c r="K248" s="53"/>
      <c r="L248" s="53"/>
      <c r="AA248" s="54"/>
      <c r="AI248" s="55"/>
    </row>
    <row r="249" spans="8:35" x14ac:dyDescent="0.25">
      <c r="H249" s="53"/>
      <c r="I249" s="53"/>
      <c r="J249" s="53"/>
      <c r="K249" s="53"/>
      <c r="L249" s="53"/>
      <c r="AA249" s="54"/>
      <c r="AI249" s="55"/>
    </row>
    <row r="250" spans="8:35" x14ac:dyDescent="0.25">
      <c r="H250" s="53"/>
      <c r="I250" s="53"/>
      <c r="J250" s="53"/>
      <c r="K250" s="53"/>
      <c r="L250" s="53"/>
      <c r="AA250" s="54"/>
      <c r="AI250" s="55"/>
    </row>
    <row r="251" spans="8:35" x14ac:dyDescent="0.25">
      <c r="H251" s="53"/>
      <c r="I251" s="53"/>
      <c r="J251" s="53"/>
      <c r="K251" s="53"/>
      <c r="L251" s="53"/>
      <c r="AA251" s="54"/>
      <c r="AI251" s="55"/>
    </row>
    <row r="252" spans="8:35" x14ac:dyDescent="0.25">
      <c r="H252" s="53"/>
      <c r="I252" s="53"/>
      <c r="J252" s="53"/>
      <c r="K252" s="53"/>
      <c r="L252" s="53"/>
      <c r="AA252" s="54"/>
      <c r="AI252" s="55"/>
    </row>
    <row r="253" spans="8:35" x14ac:dyDescent="0.25">
      <c r="H253" s="53"/>
      <c r="I253" s="53"/>
      <c r="J253" s="53"/>
      <c r="K253" s="53"/>
      <c r="L253" s="53"/>
      <c r="AA253" s="54"/>
      <c r="AI253" s="55"/>
    </row>
    <row r="254" spans="8:35" x14ac:dyDescent="0.25">
      <c r="H254" s="53"/>
      <c r="I254" s="53"/>
      <c r="J254" s="53"/>
      <c r="K254" s="53"/>
      <c r="L254" s="53"/>
      <c r="AA254" s="54"/>
      <c r="AI254" s="55"/>
    </row>
    <row r="255" spans="8:35" x14ac:dyDescent="0.25">
      <c r="H255" s="53"/>
      <c r="I255" s="53"/>
      <c r="J255" s="53"/>
      <c r="K255" s="53"/>
      <c r="L255" s="53"/>
      <c r="AA255" s="54"/>
      <c r="AI255" s="55"/>
    </row>
    <row r="256" spans="8:35" x14ac:dyDescent="0.25">
      <c r="H256" s="53"/>
      <c r="I256" s="53"/>
      <c r="J256" s="53"/>
      <c r="K256" s="53"/>
      <c r="L256" s="53"/>
      <c r="AA256" s="54"/>
      <c r="AI256" s="55"/>
    </row>
    <row r="257" spans="8:35" x14ac:dyDescent="0.25">
      <c r="H257" s="53"/>
      <c r="I257" s="53"/>
      <c r="J257" s="53"/>
      <c r="K257" s="53"/>
      <c r="L257" s="53"/>
      <c r="AA257" s="54"/>
      <c r="AI257" s="55"/>
    </row>
    <row r="258" spans="8:35" x14ac:dyDescent="0.25">
      <c r="H258" s="53"/>
      <c r="I258" s="53"/>
      <c r="J258" s="53"/>
      <c r="K258" s="53"/>
      <c r="L258" s="53"/>
      <c r="AA258" s="54"/>
      <c r="AI258" s="55"/>
    </row>
    <row r="259" spans="8:35" x14ac:dyDescent="0.25">
      <c r="H259" s="53"/>
      <c r="I259" s="53"/>
      <c r="J259" s="53"/>
      <c r="K259" s="53"/>
      <c r="L259" s="53"/>
      <c r="AA259" s="54"/>
      <c r="AI259" s="55"/>
    </row>
    <row r="260" spans="8:35" x14ac:dyDescent="0.25">
      <c r="H260" s="53"/>
      <c r="I260" s="53"/>
      <c r="J260" s="53"/>
      <c r="K260" s="53"/>
      <c r="L260" s="53"/>
      <c r="AA260" s="54"/>
      <c r="AI260" s="55"/>
    </row>
    <row r="261" spans="8:35" x14ac:dyDescent="0.25">
      <c r="H261" s="53"/>
      <c r="I261" s="53"/>
      <c r="J261" s="53"/>
      <c r="K261" s="53"/>
      <c r="L261" s="53"/>
      <c r="AA261" s="54"/>
      <c r="AI261" s="55"/>
    </row>
    <row r="262" spans="8:35" x14ac:dyDescent="0.25">
      <c r="H262" s="53"/>
      <c r="I262" s="53"/>
      <c r="J262" s="53"/>
      <c r="K262" s="53"/>
      <c r="L262" s="53"/>
      <c r="AA262" s="54"/>
      <c r="AI262" s="55"/>
    </row>
    <row r="263" spans="8:35" x14ac:dyDescent="0.25">
      <c r="H263" s="53"/>
      <c r="I263" s="53"/>
      <c r="J263" s="53"/>
      <c r="K263" s="53"/>
      <c r="L263" s="53"/>
      <c r="AA263" s="54"/>
      <c r="AI263" s="55"/>
    </row>
    <row r="264" spans="8:35" x14ac:dyDescent="0.25">
      <c r="H264" s="53"/>
      <c r="I264" s="53"/>
      <c r="J264" s="53"/>
      <c r="K264" s="53"/>
      <c r="L264" s="53"/>
      <c r="AA264" s="54"/>
      <c r="AI264" s="55"/>
    </row>
    <row r="265" spans="8:35" x14ac:dyDescent="0.25">
      <c r="H265" s="53"/>
      <c r="I265" s="53"/>
      <c r="J265" s="53"/>
      <c r="K265" s="53"/>
      <c r="L265" s="53"/>
      <c r="AA265" s="54"/>
      <c r="AI265" s="55"/>
    </row>
    <row r="266" spans="8:35" x14ac:dyDescent="0.25">
      <c r="H266" s="53"/>
      <c r="I266" s="53"/>
      <c r="J266" s="53"/>
      <c r="K266" s="53"/>
      <c r="L266" s="53"/>
      <c r="AA266" s="54"/>
      <c r="AI266" s="55"/>
    </row>
    <row r="267" spans="8:35" x14ac:dyDescent="0.25">
      <c r="H267" s="53"/>
      <c r="I267" s="53"/>
      <c r="J267" s="53"/>
      <c r="K267" s="53"/>
      <c r="L267" s="53"/>
      <c r="AA267" s="54"/>
      <c r="AI267" s="55"/>
    </row>
    <row r="268" spans="8:35" x14ac:dyDescent="0.25">
      <c r="H268" s="53"/>
      <c r="I268" s="53"/>
      <c r="J268" s="53"/>
      <c r="K268" s="53"/>
      <c r="L268" s="53"/>
      <c r="AA268" s="54"/>
      <c r="AI268" s="55"/>
    </row>
    <row r="269" spans="8:35" x14ac:dyDescent="0.25">
      <c r="H269" s="53"/>
      <c r="I269" s="53"/>
      <c r="J269" s="53"/>
      <c r="K269" s="53"/>
      <c r="L269" s="53"/>
      <c r="AA269" s="54"/>
      <c r="AI269" s="55"/>
    </row>
    <row r="270" spans="8:35" x14ac:dyDescent="0.25">
      <c r="H270" s="53"/>
      <c r="I270" s="53"/>
      <c r="J270" s="53"/>
      <c r="K270" s="53"/>
      <c r="L270" s="53"/>
      <c r="AA270" s="54"/>
      <c r="AI270" s="55"/>
    </row>
    <row r="271" spans="8:35" x14ac:dyDescent="0.25">
      <c r="H271" s="53"/>
      <c r="I271" s="53"/>
      <c r="J271" s="53"/>
      <c r="K271" s="53"/>
      <c r="L271" s="53"/>
      <c r="AA271" s="54"/>
      <c r="AI271" s="55"/>
    </row>
    <row r="272" spans="8:35" x14ac:dyDescent="0.25">
      <c r="H272" s="53"/>
      <c r="I272" s="53"/>
      <c r="J272" s="53"/>
      <c r="K272" s="53"/>
      <c r="L272" s="53"/>
      <c r="AA272" s="54"/>
      <c r="AI272" s="55"/>
    </row>
    <row r="273" spans="8:35" x14ac:dyDescent="0.25">
      <c r="H273" s="53"/>
      <c r="I273" s="53"/>
      <c r="J273" s="53"/>
      <c r="K273" s="53"/>
      <c r="L273" s="53"/>
      <c r="AA273" s="54"/>
      <c r="AI273" s="55"/>
    </row>
    <row r="274" spans="8:35" x14ac:dyDescent="0.25">
      <c r="H274" s="53"/>
      <c r="I274" s="53"/>
      <c r="J274" s="53"/>
      <c r="K274" s="53"/>
      <c r="L274" s="53"/>
      <c r="AA274" s="54"/>
      <c r="AI274" s="55"/>
    </row>
    <row r="275" spans="8:35" x14ac:dyDescent="0.25">
      <c r="H275" s="53"/>
      <c r="I275" s="53"/>
      <c r="J275" s="53"/>
      <c r="K275" s="53"/>
      <c r="L275" s="53"/>
      <c r="AA275" s="54"/>
      <c r="AI275" s="55"/>
    </row>
    <row r="276" spans="8:35" x14ac:dyDescent="0.25">
      <c r="H276" s="53"/>
      <c r="I276" s="53"/>
      <c r="J276" s="53"/>
      <c r="K276" s="53"/>
      <c r="L276" s="53"/>
      <c r="AA276" s="54"/>
      <c r="AI276" s="55"/>
    </row>
    <row r="277" spans="8:35" x14ac:dyDescent="0.25">
      <c r="H277" s="53"/>
      <c r="I277" s="53"/>
      <c r="J277" s="53"/>
      <c r="K277" s="53"/>
      <c r="L277" s="53"/>
      <c r="AA277" s="54"/>
      <c r="AI277" s="55"/>
    </row>
    <row r="278" spans="8:35" x14ac:dyDescent="0.25">
      <c r="H278" s="53"/>
      <c r="I278" s="53"/>
      <c r="J278" s="53"/>
      <c r="K278" s="53"/>
      <c r="L278" s="53"/>
      <c r="AA278" s="54"/>
      <c r="AI278" s="55"/>
    </row>
    <row r="279" spans="8:35" x14ac:dyDescent="0.25">
      <c r="H279" s="53"/>
      <c r="I279" s="53"/>
      <c r="J279" s="53"/>
      <c r="K279" s="53"/>
      <c r="L279" s="53"/>
      <c r="AA279" s="54"/>
      <c r="AI279" s="55"/>
    </row>
    <row r="280" spans="8:35" x14ac:dyDescent="0.25">
      <c r="H280" s="53"/>
      <c r="I280" s="53"/>
      <c r="J280" s="53"/>
      <c r="K280" s="53"/>
      <c r="L280" s="53"/>
      <c r="AA280" s="54"/>
      <c r="AI280" s="55"/>
    </row>
    <row r="281" spans="8:35" x14ac:dyDescent="0.25">
      <c r="H281" s="53"/>
      <c r="I281" s="53"/>
      <c r="J281" s="53"/>
      <c r="K281" s="53"/>
      <c r="L281" s="53"/>
      <c r="AA281" s="54"/>
      <c r="AI281" s="55"/>
    </row>
    <row r="282" spans="8:35" x14ac:dyDescent="0.25">
      <c r="H282" s="53"/>
      <c r="I282" s="53"/>
      <c r="J282" s="53"/>
      <c r="K282" s="53"/>
      <c r="L282" s="53"/>
      <c r="AA282" s="54"/>
      <c r="AI282" s="55"/>
    </row>
    <row r="283" spans="8:35" x14ac:dyDescent="0.25">
      <c r="H283" s="53"/>
      <c r="I283" s="53"/>
      <c r="J283" s="53"/>
      <c r="K283" s="53"/>
      <c r="L283" s="53"/>
      <c r="AA283" s="54"/>
      <c r="AI283" s="55"/>
    </row>
    <row r="284" spans="8:35" x14ac:dyDescent="0.25">
      <c r="H284" s="53"/>
      <c r="I284" s="53"/>
      <c r="J284" s="53"/>
      <c r="K284" s="53"/>
      <c r="L284" s="53"/>
      <c r="AA284" s="54"/>
      <c r="AI284" s="55"/>
    </row>
    <row r="285" spans="8:35" x14ac:dyDescent="0.25">
      <c r="H285" s="53"/>
      <c r="I285" s="53"/>
      <c r="J285" s="53"/>
      <c r="K285" s="53"/>
      <c r="L285" s="53"/>
      <c r="AA285" s="54"/>
      <c r="AI285" s="55"/>
    </row>
    <row r="286" spans="8:35" x14ac:dyDescent="0.25">
      <c r="H286" s="53"/>
      <c r="I286" s="53"/>
      <c r="J286" s="53"/>
      <c r="K286" s="53"/>
      <c r="L286" s="53"/>
      <c r="AA286" s="54"/>
      <c r="AI286" s="55"/>
    </row>
    <row r="287" spans="8:35" x14ac:dyDescent="0.25">
      <c r="H287" s="53"/>
      <c r="I287" s="53"/>
      <c r="J287" s="53"/>
      <c r="K287" s="53"/>
      <c r="L287" s="53"/>
      <c r="AA287" s="54"/>
      <c r="AI287" s="55"/>
    </row>
    <row r="288" spans="8:35" x14ac:dyDescent="0.25">
      <c r="H288" s="53"/>
      <c r="I288" s="53"/>
      <c r="J288" s="53"/>
      <c r="K288" s="53"/>
      <c r="L288" s="53"/>
      <c r="AA288" s="54"/>
      <c r="AI288" s="55"/>
    </row>
    <row r="289" spans="8:35" x14ac:dyDescent="0.25">
      <c r="H289" s="53"/>
      <c r="I289" s="53"/>
      <c r="J289" s="53"/>
      <c r="K289" s="53"/>
      <c r="L289" s="53"/>
      <c r="AA289" s="54"/>
      <c r="AI289" s="55"/>
    </row>
    <row r="290" spans="8:35" x14ac:dyDescent="0.25">
      <c r="H290" s="53"/>
      <c r="I290" s="53"/>
      <c r="J290" s="53"/>
      <c r="K290" s="53"/>
      <c r="L290" s="53"/>
      <c r="AA290" s="54"/>
      <c r="AI290" s="55"/>
    </row>
    <row r="291" spans="8:35" x14ac:dyDescent="0.25">
      <c r="H291" s="53"/>
      <c r="I291" s="53"/>
      <c r="J291" s="53"/>
      <c r="K291" s="53"/>
      <c r="L291" s="53"/>
      <c r="AA291" s="54"/>
      <c r="AI291" s="55"/>
    </row>
    <row r="292" spans="8:35" x14ac:dyDescent="0.25">
      <c r="H292" s="53"/>
      <c r="I292" s="53"/>
      <c r="J292" s="53"/>
      <c r="K292" s="53"/>
      <c r="L292" s="53"/>
      <c r="AA292" s="54"/>
      <c r="AI292" s="55"/>
    </row>
    <row r="293" spans="8:35" x14ac:dyDescent="0.25">
      <c r="H293" s="53"/>
      <c r="I293" s="53"/>
      <c r="J293" s="53"/>
      <c r="K293" s="53"/>
      <c r="L293" s="53"/>
      <c r="AA293" s="54"/>
      <c r="AI293" s="55"/>
    </row>
    <row r="294" spans="8:35" x14ac:dyDescent="0.25">
      <c r="H294" s="53"/>
      <c r="I294" s="53"/>
      <c r="J294" s="53"/>
      <c r="K294" s="53"/>
      <c r="L294" s="53"/>
      <c r="AA294" s="54"/>
      <c r="AI294" s="55"/>
    </row>
    <row r="295" spans="8:35" x14ac:dyDescent="0.25">
      <c r="H295" s="53"/>
      <c r="I295" s="53"/>
      <c r="J295" s="53"/>
      <c r="K295" s="53"/>
      <c r="L295" s="53"/>
      <c r="AA295" s="54"/>
      <c r="AI295" s="55"/>
    </row>
    <row r="296" spans="8:35" x14ac:dyDescent="0.25">
      <c r="H296" s="53"/>
      <c r="I296" s="53"/>
      <c r="J296" s="53"/>
      <c r="K296" s="53"/>
      <c r="L296" s="53"/>
      <c r="AA296" s="54"/>
      <c r="AI296" s="55"/>
    </row>
    <row r="297" spans="8:35" x14ac:dyDescent="0.25">
      <c r="H297" s="53"/>
      <c r="I297" s="53"/>
      <c r="J297" s="53"/>
      <c r="K297" s="53"/>
      <c r="L297" s="53"/>
      <c r="AA297" s="54"/>
      <c r="AI297" s="55"/>
    </row>
    <row r="298" spans="8:35" x14ac:dyDescent="0.25">
      <c r="H298" s="53"/>
      <c r="I298" s="53"/>
      <c r="J298" s="53"/>
      <c r="K298" s="53"/>
      <c r="L298" s="53"/>
      <c r="AA298" s="54"/>
      <c r="AI298" s="55"/>
    </row>
    <row r="299" spans="8:35" x14ac:dyDescent="0.25">
      <c r="H299" s="53"/>
      <c r="I299" s="53"/>
      <c r="J299" s="53"/>
      <c r="K299" s="53"/>
      <c r="L299" s="53"/>
      <c r="AA299" s="54"/>
      <c r="AI299" s="55"/>
    </row>
    <row r="300" spans="8:35" x14ac:dyDescent="0.25">
      <c r="H300" s="53"/>
      <c r="I300" s="53"/>
      <c r="J300" s="53"/>
      <c r="K300" s="53"/>
      <c r="L300" s="53"/>
      <c r="AA300" s="54"/>
      <c r="AI300" s="55"/>
    </row>
    <row r="301" spans="8:35" x14ac:dyDescent="0.25">
      <c r="H301" s="53"/>
      <c r="I301" s="53"/>
      <c r="J301" s="53"/>
      <c r="K301" s="53"/>
      <c r="L301" s="53"/>
      <c r="AA301" s="54"/>
      <c r="AI301" s="55"/>
    </row>
    <row r="302" spans="8:35" x14ac:dyDescent="0.25">
      <c r="H302" s="53"/>
      <c r="I302" s="53"/>
      <c r="J302" s="53"/>
      <c r="K302" s="53"/>
      <c r="L302" s="53"/>
      <c r="AA302" s="54"/>
      <c r="AI302" s="55"/>
    </row>
    <row r="303" spans="8:35" x14ac:dyDescent="0.25">
      <c r="H303" s="53"/>
      <c r="I303" s="53"/>
      <c r="J303" s="53"/>
      <c r="K303" s="53"/>
      <c r="L303" s="53"/>
      <c r="AA303" s="54"/>
      <c r="AI303" s="55"/>
    </row>
    <row r="304" spans="8:35" x14ac:dyDescent="0.25">
      <c r="H304" s="53"/>
      <c r="I304" s="53"/>
      <c r="J304" s="53"/>
      <c r="K304" s="53"/>
      <c r="L304" s="53"/>
      <c r="AA304" s="54"/>
      <c r="AI304" s="55"/>
    </row>
    <row r="305" spans="8:35" x14ac:dyDescent="0.25">
      <c r="H305" s="53"/>
      <c r="I305" s="53"/>
      <c r="J305" s="53"/>
      <c r="K305" s="53"/>
      <c r="L305" s="53"/>
      <c r="AA305" s="54"/>
      <c r="AI305" s="55"/>
    </row>
    <row r="306" spans="8:35" x14ac:dyDescent="0.25">
      <c r="H306" s="53"/>
      <c r="I306" s="53"/>
      <c r="J306" s="53"/>
      <c r="K306" s="53"/>
      <c r="L306" s="53"/>
      <c r="AA306" s="54"/>
      <c r="AI306" s="55"/>
    </row>
    <row r="307" spans="8:35" x14ac:dyDescent="0.25">
      <c r="H307" s="53"/>
      <c r="I307" s="53"/>
      <c r="J307" s="53"/>
      <c r="K307" s="53"/>
      <c r="L307" s="53"/>
      <c r="AA307" s="54"/>
      <c r="AI307" s="55"/>
    </row>
    <row r="308" spans="8:35" x14ac:dyDescent="0.25">
      <c r="H308" s="53"/>
      <c r="I308" s="53"/>
      <c r="J308" s="53"/>
      <c r="K308" s="53"/>
      <c r="L308" s="53"/>
      <c r="AA308" s="54"/>
      <c r="AI308" s="55"/>
    </row>
    <row r="309" spans="8:35" x14ac:dyDescent="0.25">
      <c r="H309" s="53"/>
      <c r="I309" s="53"/>
      <c r="J309" s="53"/>
      <c r="K309" s="53"/>
      <c r="L309" s="53"/>
      <c r="AA309" s="54"/>
      <c r="AI309" s="55"/>
    </row>
    <row r="310" spans="8:35" x14ac:dyDescent="0.25">
      <c r="H310" s="53"/>
      <c r="I310" s="53"/>
      <c r="J310" s="53"/>
      <c r="K310" s="53"/>
      <c r="L310" s="53"/>
      <c r="AA310" s="54"/>
      <c r="AI310" s="55"/>
    </row>
    <row r="311" spans="8:35" x14ac:dyDescent="0.25">
      <c r="H311" s="53"/>
      <c r="I311" s="53"/>
      <c r="J311" s="53"/>
      <c r="K311" s="53"/>
      <c r="L311" s="53"/>
      <c r="AA311" s="54"/>
      <c r="AI311" s="55"/>
    </row>
    <row r="312" spans="8:35" x14ac:dyDescent="0.25">
      <c r="H312" s="53"/>
      <c r="I312" s="53"/>
      <c r="J312" s="53"/>
      <c r="K312" s="53"/>
      <c r="L312" s="53"/>
      <c r="AA312" s="54"/>
      <c r="AI312" s="55"/>
    </row>
    <row r="313" spans="8:35" x14ac:dyDescent="0.25">
      <c r="H313" s="53"/>
      <c r="I313" s="53"/>
      <c r="J313" s="53"/>
      <c r="K313" s="53"/>
      <c r="L313" s="53"/>
      <c r="AA313" s="54"/>
      <c r="AI313" s="55"/>
    </row>
    <row r="314" spans="8:35" x14ac:dyDescent="0.25">
      <c r="H314" s="53"/>
      <c r="I314" s="53"/>
      <c r="J314" s="53"/>
      <c r="K314" s="53"/>
      <c r="L314" s="53"/>
      <c r="AA314" s="54"/>
      <c r="AI314" s="55"/>
    </row>
    <row r="315" spans="8:35" x14ac:dyDescent="0.25">
      <c r="H315" s="53"/>
      <c r="I315" s="53"/>
      <c r="J315" s="53"/>
      <c r="K315" s="53"/>
      <c r="L315" s="53"/>
      <c r="AA315" s="54"/>
      <c r="AI315" s="55"/>
    </row>
    <row r="316" spans="8:35" x14ac:dyDescent="0.25">
      <c r="H316" s="53"/>
      <c r="I316" s="53"/>
      <c r="J316" s="53"/>
      <c r="K316" s="53"/>
      <c r="L316" s="53"/>
      <c r="AA316" s="54"/>
      <c r="AI316" s="55"/>
    </row>
    <row r="317" spans="8:35" x14ac:dyDescent="0.25">
      <c r="H317" s="53"/>
      <c r="I317" s="53"/>
      <c r="J317" s="53"/>
      <c r="K317" s="53"/>
      <c r="L317" s="53"/>
      <c r="AA317" s="54"/>
      <c r="AI317" s="55"/>
    </row>
    <row r="318" spans="8:35" x14ac:dyDescent="0.25">
      <c r="H318" s="53"/>
      <c r="I318" s="53"/>
      <c r="J318" s="53"/>
      <c r="K318" s="53"/>
      <c r="L318" s="53"/>
      <c r="AA318" s="54"/>
      <c r="AI318" s="55"/>
    </row>
    <row r="319" spans="8:35" x14ac:dyDescent="0.25">
      <c r="H319" s="53"/>
      <c r="I319" s="53"/>
      <c r="J319" s="53"/>
      <c r="K319" s="53"/>
      <c r="L319" s="53"/>
      <c r="AA319" s="54"/>
      <c r="AI319" s="55"/>
    </row>
    <row r="320" spans="8:35" x14ac:dyDescent="0.25">
      <c r="H320" s="53"/>
      <c r="I320" s="53"/>
      <c r="J320" s="53"/>
      <c r="K320" s="53"/>
      <c r="L320" s="53"/>
      <c r="AA320" s="54"/>
      <c r="AI320" s="55"/>
    </row>
    <row r="321" spans="8:35" x14ac:dyDescent="0.25">
      <c r="H321" s="53"/>
      <c r="I321" s="53"/>
      <c r="J321" s="53"/>
      <c r="K321" s="53"/>
      <c r="L321" s="53"/>
      <c r="AA321" s="54"/>
      <c r="AI321" s="55"/>
    </row>
    <row r="322" spans="8:35" x14ac:dyDescent="0.25">
      <c r="H322" s="53"/>
      <c r="I322" s="53"/>
      <c r="J322" s="53"/>
      <c r="K322" s="53"/>
      <c r="L322" s="53"/>
      <c r="AA322" s="54"/>
      <c r="AI322" s="55"/>
    </row>
    <row r="323" spans="8:35" x14ac:dyDescent="0.25">
      <c r="H323" s="53"/>
      <c r="I323" s="53"/>
      <c r="J323" s="53"/>
      <c r="K323" s="53"/>
      <c r="L323" s="53"/>
      <c r="AA323" s="54"/>
      <c r="AI323" s="55"/>
    </row>
    <row r="324" spans="8:35" x14ac:dyDescent="0.25">
      <c r="H324" s="53"/>
      <c r="I324" s="53"/>
      <c r="J324" s="53"/>
      <c r="K324" s="53"/>
      <c r="L324" s="53"/>
      <c r="AA324" s="54"/>
      <c r="AI324" s="55"/>
    </row>
    <row r="325" spans="8:35" x14ac:dyDescent="0.25">
      <c r="H325" s="53"/>
      <c r="I325" s="53"/>
      <c r="J325" s="53"/>
      <c r="K325" s="53"/>
      <c r="L325" s="53"/>
      <c r="AA325" s="54"/>
      <c r="AI325" s="55"/>
    </row>
    <row r="326" spans="8:35" x14ac:dyDescent="0.25">
      <c r="H326" s="53"/>
      <c r="I326" s="53"/>
      <c r="J326" s="53"/>
      <c r="K326" s="53"/>
      <c r="L326" s="53"/>
      <c r="AA326" s="54"/>
      <c r="AI326" s="55"/>
    </row>
    <row r="327" spans="8:35" x14ac:dyDescent="0.25">
      <c r="H327" s="53"/>
      <c r="I327" s="53"/>
      <c r="J327" s="53"/>
      <c r="K327" s="53"/>
      <c r="L327" s="53"/>
      <c r="AA327" s="54"/>
      <c r="AI327" s="55"/>
    </row>
    <row r="328" spans="8:35" x14ac:dyDescent="0.25">
      <c r="H328" s="53"/>
      <c r="I328" s="53"/>
      <c r="J328" s="53"/>
      <c r="K328" s="53"/>
      <c r="L328" s="53"/>
      <c r="AA328" s="54"/>
      <c r="AI328" s="55"/>
    </row>
    <row r="329" spans="8:35" x14ac:dyDescent="0.25">
      <c r="H329" s="53"/>
      <c r="I329" s="53"/>
      <c r="J329" s="53"/>
      <c r="K329" s="53"/>
      <c r="L329" s="53"/>
      <c r="AA329" s="54"/>
      <c r="AI329" s="55"/>
    </row>
    <row r="330" spans="8:35" x14ac:dyDescent="0.25">
      <c r="H330" s="53"/>
      <c r="I330" s="53"/>
      <c r="J330" s="53"/>
      <c r="K330" s="53"/>
      <c r="L330" s="53"/>
      <c r="AA330" s="54"/>
      <c r="AI330" s="55"/>
    </row>
    <row r="331" spans="8:35" x14ac:dyDescent="0.25">
      <c r="H331" s="53"/>
      <c r="I331" s="53"/>
      <c r="J331" s="53"/>
      <c r="K331" s="53"/>
      <c r="L331" s="53"/>
      <c r="AA331" s="54"/>
      <c r="AI331" s="55"/>
    </row>
    <row r="332" spans="8:35" x14ac:dyDescent="0.25">
      <c r="H332" s="53"/>
      <c r="I332" s="53"/>
      <c r="J332" s="53"/>
      <c r="K332" s="53"/>
      <c r="L332" s="53"/>
      <c r="AA332" s="54"/>
      <c r="AI332" s="55"/>
    </row>
    <row r="333" spans="8:35" x14ac:dyDescent="0.25">
      <c r="H333" s="53"/>
      <c r="I333" s="53"/>
      <c r="J333" s="53"/>
      <c r="K333" s="53"/>
      <c r="L333" s="53"/>
      <c r="AA333" s="54"/>
      <c r="AI333" s="55"/>
    </row>
    <row r="334" spans="8:35" x14ac:dyDescent="0.25">
      <c r="H334" s="53"/>
      <c r="I334" s="53"/>
      <c r="J334" s="53"/>
      <c r="K334" s="53"/>
      <c r="L334" s="53"/>
      <c r="AA334" s="54"/>
      <c r="AI334" s="55"/>
    </row>
    <row r="335" spans="8:35" x14ac:dyDescent="0.25">
      <c r="H335" s="53"/>
      <c r="I335" s="53"/>
      <c r="J335" s="53"/>
      <c r="K335" s="53"/>
      <c r="L335" s="53"/>
      <c r="AA335" s="54"/>
      <c r="AI335" s="55"/>
    </row>
    <row r="336" spans="8:35" x14ac:dyDescent="0.25">
      <c r="H336" s="53"/>
      <c r="I336" s="53"/>
      <c r="J336" s="53"/>
      <c r="K336" s="53"/>
      <c r="L336" s="53"/>
      <c r="AA336" s="54"/>
      <c r="AI336" s="55"/>
    </row>
    <row r="337" spans="8:35" x14ac:dyDescent="0.25">
      <c r="H337" s="53"/>
      <c r="I337" s="53"/>
      <c r="J337" s="53"/>
      <c r="K337" s="53"/>
      <c r="L337" s="53"/>
      <c r="AA337" s="54"/>
      <c r="AI337" s="55"/>
    </row>
    <row r="338" spans="8:35" x14ac:dyDescent="0.25">
      <c r="H338" s="53"/>
      <c r="I338" s="53"/>
      <c r="J338" s="53"/>
      <c r="K338" s="53"/>
      <c r="L338" s="53"/>
      <c r="AA338" s="54"/>
      <c r="AI338" s="55"/>
    </row>
    <row r="339" spans="8:35" x14ac:dyDescent="0.25">
      <c r="H339" s="53"/>
      <c r="I339" s="53"/>
      <c r="J339" s="53"/>
      <c r="K339" s="53"/>
      <c r="L339" s="53"/>
      <c r="AA339" s="54"/>
      <c r="AI339" s="55"/>
    </row>
    <row r="340" spans="8:35" x14ac:dyDescent="0.25">
      <c r="H340" s="53"/>
      <c r="I340" s="53"/>
      <c r="J340" s="53"/>
      <c r="K340" s="53"/>
      <c r="L340" s="53"/>
      <c r="AA340" s="54"/>
      <c r="AI340" s="55"/>
    </row>
    <row r="341" spans="8:35" x14ac:dyDescent="0.25">
      <c r="H341" s="53"/>
      <c r="I341" s="53"/>
      <c r="J341" s="53"/>
      <c r="K341" s="53"/>
      <c r="L341" s="53"/>
      <c r="AA341" s="54"/>
      <c r="AI341" s="55"/>
    </row>
    <row r="342" spans="8:35" x14ac:dyDescent="0.25">
      <c r="H342" s="53"/>
      <c r="I342" s="53"/>
      <c r="J342" s="53"/>
      <c r="K342" s="53"/>
      <c r="L342" s="53"/>
      <c r="AA342" s="54"/>
      <c r="AI342" s="55"/>
    </row>
    <row r="343" spans="8:35" x14ac:dyDescent="0.25">
      <c r="H343" s="53"/>
      <c r="I343" s="53"/>
      <c r="J343" s="53"/>
      <c r="K343" s="53"/>
      <c r="L343" s="53"/>
      <c r="AA343" s="54"/>
      <c r="AI343" s="55"/>
    </row>
    <row r="344" spans="8:35" x14ac:dyDescent="0.25">
      <c r="H344" s="53"/>
      <c r="I344" s="53"/>
      <c r="J344" s="53"/>
      <c r="K344" s="53"/>
      <c r="L344" s="53"/>
      <c r="AA344" s="54"/>
      <c r="AI344" s="55"/>
    </row>
    <row r="345" spans="8:35" x14ac:dyDescent="0.25">
      <c r="H345" s="53"/>
      <c r="I345" s="53"/>
      <c r="J345" s="53"/>
      <c r="K345" s="53"/>
      <c r="L345" s="53"/>
      <c r="AA345" s="54"/>
      <c r="AI345" s="55"/>
    </row>
    <row r="346" spans="8:35" x14ac:dyDescent="0.25">
      <c r="H346" s="53"/>
      <c r="I346" s="53"/>
      <c r="J346" s="53"/>
      <c r="K346" s="53"/>
      <c r="L346" s="53"/>
      <c r="AA346" s="54"/>
      <c r="AI346" s="55"/>
    </row>
    <row r="347" spans="8:35" x14ac:dyDescent="0.25">
      <c r="H347" s="53"/>
      <c r="I347" s="53"/>
      <c r="J347" s="53"/>
      <c r="K347" s="53"/>
      <c r="L347" s="53"/>
      <c r="AA347" s="54"/>
      <c r="AI347" s="55"/>
    </row>
    <row r="348" spans="8:35" x14ac:dyDescent="0.25">
      <c r="H348" s="53"/>
      <c r="I348" s="53"/>
      <c r="J348" s="53"/>
      <c r="K348" s="53"/>
      <c r="L348" s="53"/>
      <c r="AA348" s="54"/>
      <c r="AI348" s="55"/>
    </row>
    <row r="349" spans="8:35" x14ac:dyDescent="0.25">
      <c r="H349" s="53"/>
      <c r="I349" s="53"/>
      <c r="J349" s="53"/>
      <c r="K349" s="53"/>
      <c r="L349" s="53"/>
      <c r="AA349" s="54"/>
      <c r="AI349" s="55"/>
    </row>
    <row r="350" spans="8:35" x14ac:dyDescent="0.25">
      <c r="H350" s="53"/>
      <c r="I350" s="53"/>
      <c r="J350" s="53"/>
      <c r="K350" s="53"/>
      <c r="L350" s="53"/>
      <c r="AA350" s="54"/>
      <c r="AI350" s="55"/>
    </row>
    <row r="351" spans="8:35" x14ac:dyDescent="0.25">
      <c r="H351" s="53"/>
      <c r="I351" s="53"/>
      <c r="J351" s="53"/>
      <c r="K351" s="53"/>
      <c r="L351" s="53"/>
      <c r="AA351" s="54"/>
      <c r="AI351" s="55"/>
    </row>
    <row r="352" spans="8:35" x14ac:dyDescent="0.25">
      <c r="H352" s="53"/>
      <c r="I352" s="53"/>
      <c r="J352" s="53"/>
      <c r="K352" s="53"/>
      <c r="L352" s="53"/>
      <c r="AA352" s="54"/>
      <c r="AI352" s="55"/>
    </row>
    <row r="353" spans="8:35" x14ac:dyDescent="0.25">
      <c r="H353" s="53"/>
      <c r="I353" s="53"/>
      <c r="J353" s="53"/>
      <c r="K353" s="53"/>
      <c r="L353" s="53"/>
      <c r="AA353" s="54"/>
      <c r="AI353" s="55"/>
    </row>
    <row r="354" spans="8:35" x14ac:dyDescent="0.25">
      <c r="H354" s="53"/>
      <c r="I354" s="53"/>
      <c r="J354" s="53"/>
      <c r="K354" s="53"/>
      <c r="L354" s="53"/>
      <c r="AA354" s="54"/>
      <c r="AI354" s="55"/>
    </row>
    <row r="355" spans="8:35" x14ac:dyDescent="0.25">
      <c r="H355" s="53"/>
      <c r="I355" s="53"/>
      <c r="J355" s="53"/>
      <c r="K355" s="53"/>
      <c r="L355" s="53"/>
      <c r="AA355" s="54"/>
      <c r="AI355" s="55"/>
    </row>
    <row r="356" spans="8:35" x14ac:dyDescent="0.25">
      <c r="H356" s="53"/>
      <c r="I356" s="53"/>
      <c r="J356" s="53"/>
      <c r="K356" s="53"/>
      <c r="L356" s="53"/>
      <c r="AA356" s="54"/>
      <c r="AI356" s="55"/>
    </row>
    <row r="357" spans="8:35" x14ac:dyDescent="0.25">
      <c r="H357" s="53"/>
      <c r="I357" s="53"/>
      <c r="J357" s="53"/>
      <c r="K357" s="53"/>
      <c r="L357" s="53"/>
      <c r="AA357" s="54"/>
      <c r="AI357" s="55"/>
    </row>
    <row r="358" spans="8:35" x14ac:dyDescent="0.25">
      <c r="H358" s="53"/>
      <c r="I358" s="53"/>
      <c r="J358" s="53"/>
      <c r="K358" s="53"/>
      <c r="L358" s="53"/>
      <c r="AA358" s="54"/>
      <c r="AI358" s="55"/>
    </row>
    <row r="359" spans="8:35" x14ac:dyDescent="0.25">
      <c r="H359" s="53"/>
      <c r="I359" s="53"/>
      <c r="J359" s="53"/>
      <c r="K359" s="53"/>
      <c r="L359" s="53"/>
      <c r="AA359" s="54"/>
      <c r="AI359" s="55"/>
    </row>
    <row r="360" spans="8:35" x14ac:dyDescent="0.25">
      <c r="H360" s="53"/>
      <c r="I360" s="53"/>
      <c r="J360" s="53"/>
      <c r="K360" s="53"/>
      <c r="L360" s="53"/>
      <c r="AA360" s="54"/>
      <c r="AI360" s="55"/>
    </row>
    <row r="361" spans="8:35" x14ac:dyDescent="0.25">
      <c r="H361" s="53"/>
      <c r="I361" s="53"/>
      <c r="J361" s="53"/>
      <c r="K361" s="53"/>
      <c r="L361" s="53"/>
      <c r="AA361" s="54"/>
      <c r="AI361" s="55"/>
    </row>
    <row r="362" spans="8:35" x14ac:dyDescent="0.25">
      <c r="H362" s="53"/>
      <c r="I362" s="53"/>
      <c r="J362" s="53"/>
      <c r="K362" s="53"/>
      <c r="L362" s="53"/>
      <c r="AA362" s="54"/>
      <c r="AI362" s="55"/>
    </row>
    <row r="363" spans="8:35" x14ac:dyDescent="0.25">
      <c r="H363" s="53"/>
      <c r="I363" s="53"/>
      <c r="J363" s="53"/>
      <c r="K363" s="53"/>
      <c r="L363" s="53"/>
      <c r="AA363" s="54"/>
      <c r="AI363" s="55"/>
    </row>
    <row r="364" spans="8:35" x14ac:dyDescent="0.25">
      <c r="H364" s="53"/>
      <c r="I364" s="53"/>
      <c r="J364" s="53"/>
      <c r="K364" s="53"/>
      <c r="L364" s="53"/>
      <c r="AA364" s="54"/>
      <c r="AI364" s="55"/>
    </row>
    <row r="365" spans="8:35" x14ac:dyDescent="0.25">
      <c r="H365" s="53"/>
      <c r="I365" s="53"/>
      <c r="J365" s="53"/>
      <c r="K365" s="53"/>
      <c r="L365" s="53"/>
      <c r="AA365" s="54"/>
      <c r="AI365" s="55"/>
    </row>
    <row r="366" spans="8:35" x14ac:dyDescent="0.25">
      <c r="H366" s="53"/>
      <c r="I366" s="53"/>
      <c r="J366" s="53"/>
      <c r="K366" s="53"/>
      <c r="L366" s="53"/>
      <c r="AA366" s="54"/>
      <c r="AI366" s="55"/>
    </row>
    <row r="367" spans="8:35" x14ac:dyDescent="0.25">
      <c r="H367" s="53"/>
      <c r="I367" s="53"/>
      <c r="J367" s="53"/>
      <c r="K367" s="53"/>
      <c r="L367" s="53"/>
      <c r="AA367" s="54"/>
      <c r="AI367" s="55"/>
    </row>
    <row r="368" spans="8:35" x14ac:dyDescent="0.25">
      <c r="H368" s="53"/>
      <c r="I368" s="53"/>
      <c r="J368" s="53"/>
      <c r="K368" s="53"/>
      <c r="L368" s="53"/>
      <c r="AA368" s="54"/>
      <c r="AI368" s="55"/>
    </row>
    <row r="369" spans="8:35" x14ac:dyDescent="0.25">
      <c r="H369" s="53"/>
      <c r="I369" s="53"/>
      <c r="J369" s="53"/>
      <c r="K369" s="53"/>
      <c r="L369" s="53"/>
      <c r="AA369" s="54"/>
      <c r="AI369" s="55"/>
    </row>
    <row r="370" spans="8:35" x14ac:dyDescent="0.25">
      <c r="H370" s="53"/>
      <c r="I370" s="53"/>
      <c r="J370" s="53"/>
      <c r="K370" s="53"/>
      <c r="L370" s="53"/>
      <c r="AA370" s="54"/>
      <c r="AI370" s="55"/>
    </row>
    <row r="371" spans="8:35" x14ac:dyDescent="0.25">
      <c r="H371" s="53"/>
      <c r="I371" s="53"/>
      <c r="J371" s="53"/>
      <c r="K371" s="53"/>
      <c r="L371" s="53"/>
      <c r="AA371" s="54"/>
      <c r="AI371" s="55"/>
    </row>
    <row r="372" spans="8:35" x14ac:dyDescent="0.25">
      <c r="H372" s="53"/>
      <c r="I372" s="53"/>
      <c r="J372" s="53"/>
      <c r="K372" s="53"/>
      <c r="L372" s="53"/>
      <c r="AA372" s="54"/>
      <c r="AI372" s="55"/>
    </row>
    <row r="373" spans="8:35" x14ac:dyDescent="0.25">
      <c r="H373" s="53"/>
      <c r="I373" s="53"/>
      <c r="J373" s="53"/>
      <c r="K373" s="53"/>
      <c r="L373" s="53"/>
      <c r="AA373" s="54"/>
      <c r="AI373" s="55"/>
    </row>
    <row r="374" spans="8:35" x14ac:dyDescent="0.25">
      <c r="H374" s="53"/>
      <c r="I374" s="53"/>
      <c r="J374" s="53"/>
      <c r="K374" s="53"/>
      <c r="L374" s="53"/>
      <c r="AA374" s="54"/>
      <c r="AI374" s="55"/>
    </row>
    <row r="375" spans="8:35" x14ac:dyDescent="0.25">
      <c r="H375" s="53"/>
      <c r="I375" s="53"/>
      <c r="J375" s="53"/>
      <c r="K375" s="53"/>
      <c r="L375" s="53"/>
      <c r="AA375" s="54"/>
      <c r="AI375" s="55"/>
    </row>
    <row r="376" spans="8:35" x14ac:dyDescent="0.25">
      <c r="H376" s="53"/>
      <c r="I376" s="53"/>
      <c r="J376" s="53"/>
      <c r="K376" s="53"/>
      <c r="L376" s="53"/>
      <c r="AA376" s="54"/>
      <c r="AI376" s="55"/>
    </row>
    <row r="377" spans="8:35" x14ac:dyDescent="0.25">
      <c r="H377" s="53"/>
      <c r="I377" s="53"/>
      <c r="J377" s="53"/>
      <c r="K377" s="53"/>
      <c r="L377" s="53"/>
      <c r="AA377" s="54"/>
      <c r="AI377" s="55"/>
    </row>
    <row r="378" spans="8:35" x14ac:dyDescent="0.25">
      <c r="H378" s="53"/>
      <c r="I378" s="53"/>
      <c r="J378" s="53"/>
      <c r="K378" s="53"/>
      <c r="L378" s="53"/>
      <c r="AA378" s="54"/>
      <c r="AI378" s="55"/>
    </row>
    <row r="379" spans="8:35" x14ac:dyDescent="0.25">
      <c r="H379" s="53"/>
      <c r="I379" s="53"/>
      <c r="J379" s="53"/>
      <c r="K379" s="53"/>
      <c r="L379" s="53"/>
      <c r="AA379" s="54"/>
      <c r="AI379" s="55"/>
    </row>
    <row r="380" spans="8:35" x14ac:dyDescent="0.25">
      <c r="H380" s="53"/>
      <c r="I380" s="53"/>
      <c r="J380" s="53"/>
      <c r="K380" s="53"/>
      <c r="L380" s="53"/>
      <c r="AA380" s="54"/>
      <c r="AI380" s="55"/>
    </row>
    <row r="381" spans="8:35" x14ac:dyDescent="0.25">
      <c r="H381" s="53"/>
      <c r="I381" s="53"/>
      <c r="J381" s="53"/>
      <c r="K381" s="53"/>
      <c r="L381" s="53"/>
      <c r="AA381" s="54"/>
      <c r="AI381" s="55"/>
    </row>
    <row r="382" spans="8:35" x14ac:dyDescent="0.25">
      <c r="H382" s="53"/>
      <c r="I382" s="53"/>
      <c r="J382" s="53"/>
      <c r="K382" s="53"/>
      <c r="L382" s="53"/>
      <c r="AA382" s="54"/>
      <c r="AI382" s="55"/>
    </row>
    <row r="383" spans="8:35" x14ac:dyDescent="0.25">
      <c r="H383" s="53"/>
      <c r="I383" s="53"/>
      <c r="J383" s="53"/>
      <c r="K383" s="53"/>
      <c r="L383" s="53"/>
      <c r="AA383" s="54"/>
      <c r="AI383" s="55"/>
    </row>
    <row r="384" spans="8:35" x14ac:dyDescent="0.25">
      <c r="H384" s="53"/>
      <c r="I384" s="53"/>
      <c r="J384" s="53"/>
      <c r="K384" s="53"/>
      <c r="L384" s="53"/>
      <c r="AA384" s="54"/>
      <c r="AI384" s="55"/>
    </row>
    <row r="385" spans="8:35" x14ac:dyDescent="0.25">
      <c r="H385" s="53"/>
      <c r="I385" s="53"/>
      <c r="J385" s="53"/>
      <c r="K385" s="53"/>
      <c r="L385" s="53"/>
      <c r="AA385" s="54"/>
      <c r="AI385" s="55"/>
    </row>
    <row r="386" spans="8:35" x14ac:dyDescent="0.25">
      <c r="H386" s="53"/>
      <c r="I386" s="53"/>
      <c r="J386" s="53"/>
      <c r="K386" s="53"/>
      <c r="L386" s="53"/>
      <c r="AA386" s="54"/>
      <c r="AI386" s="55"/>
    </row>
    <row r="387" spans="8:35" x14ac:dyDescent="0.25">
      <c r="H387" s="53"/>
      <c r="I387" s="53"/>
      <c r="J387" s="53"/>
      <c r="K387" s="53"/>
      <c r="L387" s="53"/>
      <c r="AA387" s="54"/>
      <c r="AI387" s="55"/>
    </row>
    <row r="388" spans="8:35" x14ac:dyDescent="0.25">
      <c r="H388" s="53"/>
      <c r="I388" s="53"/>
      <c r="J388" s="53"/>
      <c r="K388" s="53"/>
      <c r="L388" s="53"/>
      <c r="AA388" s="54"/>
      <c r="AI388" s="55"/>
    </row>
    <row r="389" spans="8:35" x14ac:dyDescent="0.25">
      <c r="H389" s="53"/>
      <c r="I389" s="53"/>
      <c r="J389" s="53"/>
      <c r="K389" s="53"/>
      <c r="L389" s="53"/>
      <c r="AA389" s="54"/>
      <c r="AI389" s="55"/>
    </row>
    <row r="390" spans="8:35" x14ac:dyDescent="0.25">
      <c r="H390" s="53"/>
      <c r="I390" s="53"/>
      <c r="J390" s="53"/>
      <c r="K390" s="53"/>
      <c r="L390" s="53"/>
      <c r="AA390" s="54"/>
      <c r="AI390" s="55"/>
    </row>
    <row r="391" spans="8:35" x14ac:dyDescent="0.25">
      <c r="H391" s="53"/>
      <c r="I391" s="53"/>
      <c r="J391" s="53"/>
      <c r="K391" s="53"/>
      <c r="L391" s="53"/>
      <c r="AA391" s="54"/>
      <c r="AI391" s="55"/>
    </row>
    <row r="392" spans="8:35" x14ac:dyDescent="0.25">
      <c r="H392" s="53"/>
      <c r="I392" s="53"/>
      <c r="J392" s="53"/>
      <c r="K392" s="53"/>
      <c r="L392" s="53"/>
      <c r="AA392" s="54"/>
      <c r="AI392" s="55"/>
    </row>
    <row r="393" spans="8:35" x14ac:dyDescent="0.25">
      <c r="H393" s="53"/>
      <c r="I393" s="53"/>
      <c r="J393" s="53"/>
      <c r="K393" s="53"/>
      <c r="L393" s="53"/>
      <c r="AA393" s="54"/>
      <c r="AI393" s="55"/>
    </row>
    <row r="394" spans="8:35" x14ac:dyDescent="0.25">
      <c r="H394" s="53"/>
      <c r="I394" s="53"/>
      <c r="J394" s="53"/>
      <c r="K394" s="53"/>
      <c r="L394" s="53"/>
      <c r="AA394" s="54"/>
      <c r="AI394" s="55"/>
    </row>
    <row r="395" spans="8:35" x14ac:dyDescent="0.25">
      <c r="H395" s="53"/>
      <c r="I395" s="53"/>
      <c r="J395" s="53"/>
      <c r="K395" s="53"/>
      <c r="L395" s="53"/>
      <c r="AA395" s="54"/>
      <c r="AI395" s="55"/>
    </row>
    <row r="396" spans="8:35" x14ac:dyDescent="0.25">
      <c r="H396" s="53"/>
      <c r="I396" s="53"/>
      <c r="J396" s="53"/>
      <c r="K396" s="53"/>
      <c r="L396" s="53"/>
      <c r="AA396" s="54"/>
      <c r="AI396" s="55"/>
    </row>
    <row r="397" spans="8:35" x14ac:dyDescent="0.25">
      <c r="H397" s="53"/>
      <c r="I397" s="53"/>
      <c r="J397" s="53"/>
      <c r="K397" s="53"/>
      <c r="L397" s="53"/>
      <c r="AA397" s="54"/>
      <c r="AI397" s="55"/>
    </row>
    <row r="398" spans="8:35" x14ac:dyDescent="0.25">
      <c r="H398" s="53"/>
      <c r="I398" s="53"/>
      <c r="J398" s="53"/>
      <c r="K398" s="53"/>
      <c r="L398" s="53"/>
      <c r="AA398" s="54"/>
      <c r="AI398" s="55"/>
    </row>
    <row r="399" spans="8:35" x14ac:dyDescent="0.25">
      <c r="H399" s="53"/>
      <c r="I399" s="53"/>
      <c r="J399" s="53"/>
      <c r="K399" s="53"/>
      <c r="L399" s="53"/>
      <c r="AA399" s="54"/>
      <c r="AI399" s="55"/>
    </row>
    <row r="400" spans="8:35" x14ac:dyDescent="0.25">
      <c r="H400" s="53"/>
      <c r="I400" s="53"/>
      <c r="J400" s="53"/>
      <c r="K400" s="53"/>
      <c r="L400" s="53"/>
      <c r="AA400" s="54"/>
      <c r="AI400" s="55"/>
    </row>
    <row r="401" spans="8:35" x14ac:dyDescent="0.25">
      <c r="H401" s="53"/>
      <c r="I401" s="53"/>
      <c r="J401" s="53"/>
      <c r="K401" s="53"/>
      <c r="L401" s="53"/>
      <c r="AA401" s="54"/>
      <c r="AI401" s="55"/>
    </row>
    <row r="402" spans="8:35" x14ac:dyDescent="0.25">
      <c r="H402" s="53"/>
      <c r="I402" s="53"/>
      <c r="J402" s="53"/>
      <c r="K402" s="53"/>
      <c r="L402" s="53"/>
      <c r="AA402" s="54"/>
      <c r="AI402" s="55"/>
    </row>
    <row r="403" spans="8:35" x14ac:dyDescent="0.25">
      <c r="H403" s="53"/>
      <c r="I403" s="53"/>
      <c r="J403" s="53"/>
      <c r="K403" s="53"/>
      <c r="L403" s="53"/>
      <c r="AA403" s="54"/>
      <c r="AI403" s="55"/>
    </row>
    <row r="404" spans="8:35" x14ac:dyDescent="0.25">
      <c r="H404" s="53"/>
      <c r="I404" s="53"/>
      <c r="J404" s="53"/>
      <c r="K404" s="53"/>
      <c r="L404" s="53"/>
      <c r="AA404" s="54"/>
      <c r="AI404" s="55"/>
    </row>
    <row r="405" spans="8:35" x14ac:dyDescent="0.25">
      <c r="H405" s="53"/>
      <c r="I405" s="53"/>
      <c r="J405" s="53"/>
      <c r="K405" s="53"/>
      <c r="L405" s="53"/>
      <c r="AA405" s="54"/>
      <c r="AI405" s="55"/>
    </row>
    <row r="406" spans="8:35" x14ac:dyDescent="0.25">
      <c r="H406" s="53"/>
      <c r="I406" s="53"/>
      <c r="J406" s="53"/>
      <c r="K406" s="53"/>
      <c r="L406" s="53"/>
      <c r="AA406" s="54"/>
      <c r="AI406" s="55"/>
    </row>
    <row r="407" spans="8:35" x14ac:dyDescent="0.25">
      <c r="H407" s="53"/>
      <c r="I407" s="53"/>
      <c r="J407" s="53"/>
      <c r="K407" s="53"/>
      <c r="L407" s="53"/>
      <c r="AA407" s="54"/>
      <c r="AI407" s="55"/>
    </row>
    <row r="408" spans="8:35" x14ac:dyDescent="0.25">
      <c r="H408" s="53"/>
      <c r="I408" s="53"/>
      <c r="J408" s="53"/>
      <c r="K408" s="53"/>
      <c r="L408" s="53"/>
      <c r="AA408" s="54"/>
      <c r="AI408" s="55"/>
    </row>
    <row r="409" spans="8:35" x14ac:dyDescent="0.25">
      <c r="H409" s="53"/>
      <c r="I409" s="53"/>
      <c r="J409" s="53"/>
      <c r="K409" s="53"/>
      <c r="L409" s="53"/>
      <c r="AA409" s="54"/>
      <c r="AI409" s="55"/>
    </row>
    <row r="410" spans="8:35" x14ac:dyDescent="0.25">
      <c r="H410" s="53"/>
      <c r="I410" s="53"/>
      <c r="J410" s="53"/>
      <c r="K410" s="53"/>
      <c r="L410" s="53"/>
      <c r="AA410" s="54"/>
      <c r="AI410" s="55"/>
    </row>
    <row r="411" spans="8:35" x14ac:dyDescent="0.25">
      <c r="H411" s="53"/>
      <c r="I411" s="53"/>
      <c r="J411" s="53"/>
      <c r="K411" s="53"/>
      <c r="L411" s="53"/>
      <c r="AA411" s="54"/>
      <c r="AI411" s="55"/>
    </row>
    <row r="412" spans="8:35" x14ac:dyDescent="0.25">
      <c r="H412" s="53"/>
      <c r="I412" s="53"/>
      <c r="J412" s="53"/>
      <c r="K412" s="53"/>
      <c r="L412" s="53"/>
      <c r="AA412" s="54"/>
      <c r="AI412" s="55"/>
    </row>
    <row r="413" spans="8:35" x14ac:dyDescent="0.25">
      <c r="H413" s="53"/>
      <c r="I413" s="53"/>
      <c r="J413" s="53"/>
      <c r="K413" s="53"/>
      <c r="L413" s="53"/>
      <c r="AA413" s="54"/>
      <c r="AI413" s="55"/>
    </row>
    <row r="414" spans="8:35" x14ac:dyDescent="0.25">
      <c r="H414" s="53"/>
      <c r="I414" s="53"/>
      <c r="J414" s="53"/>
      <c r="K414" s="53"/>
      <c r="L414" s="53"/>
      <c r="AA414" s="54"/>
      <c r="AI414" s="55"/>
    </row>
    <row r="415" spans="8:35" x14ac:dyDescent="0.25">
      <c r="H415" s="53"/>
      <c r="I415" s="53"/>
      <c r="J415" s="53"/>
      <c r="K415" s="53"/>
      <c r="L415" s="53"/>
      <c r="AA415" s="54"/>
      <c r="AI415" s="55"/>
    </row>
    <row r="416" spans="8:35" x14ac:dyDescent="0.25">
      <c r="H416" s="53"/>
      <c r="I416" s="53"/>
      <c r="J416" s="53"/>
      <c r="K416" s="53"/>
      <c r="L416" s="53"/>
      <c r="AA416" s="54"/>
      <c r="AI416" s="55"/>
    </row>
    <row r="417" spans="8:35" x14ac:dyDescent="0.25">
      <c r="H417" s="53"/>
      <c r="I417" s="53"/>
      <c r="J417" s="53"/>
      <c r="K417" s="53"/>
      <c r="L417" s="53"/>
      <c r="AA417" s="54"/>
      <c r="AI417" s="55"/>
    </row>
    <row r="418" spans="8:35" x14ac:dyDescent="0.25">
      <c r="H418" s="53"/>
      <c r="I418" s="53"/>
      <c r="J418" s="53"/>
      <c r="K418" s="53"/>
      <c r="L418" s="53"/>
      <c r="AA418" s="54"/>
      <c r="AI418" s="55"/>
    </row>
    <row r="419" spans="8:35" x14ac:dyDescent="0.25">
      <c r="H419" s="53"/>
      <c r="I419" s="53"/>
      <c r="J419" s="53"/>
      <c r="K419" s="53"/>
      <c r="L419" s="53"/>
      <c r="AA419" s="54"/>
      <c r="AI419" s="55"/>
    </row>
    <row r="420" spans="8:35" x14ac:dyDescent="0.25">
      <c r="H420" s="53"/>
      <c r="I420" s="53"/>
      <c r="J420" s="53"/>
      <c r="K420" s="53"/>
      <c r="L420" s="53"/>
      <c r="AA420" s="54"/>
      <c r="AI420" s="55"/>
    </row>
    <row r="421" spans="8:35" x14ac:dyDescent="0.25">
      <c r="H421" s="53"/>
      <c r="I421" s="53"/>
      <c r="J421" s="53"/>
      <c r="K421" s="53"/>
      <c r="L421" s="53"/>
      <c r="AA421" s="54"/>
      <c r="AI421" s="55"/>
    </row>
    <row r="422" spans="8:35" x14ac:dyDescent="0.25">
      <c r="H422" s="53"/>
      <c r="I422" s="53"/>
      <c r="J422" s="53"/>
      <c r="K422" s="53"/>
      <c r="L422" s="53"/>
      <c r="AA422" s="54"/>
      <c r="AI422" s="55"/>
    </row>
    <row r="423" spans="8:35" x14ac:dyDescent="0.25">
      <c r="H423" s="53"/>
      <c r="I423" s="53"/>
      <c r="J423" s="53"/>
      <c r="K423" s="53"/>
      <c r="L423" s="53"/>
      <c r="AA423" s="54"/>
      <c r="AI423" s="55"/>
    </row>
    <row r="424" spans="8:35" x14ac:dyDescent="0.25">
      <c r="H424" s="53"/>
      <c r="I424" s="53"/>
      <c r="J424" s="53"/>
      <c r="K424" s="53"/>
      <c r="L424" s="53"/>
      <c r="AA424" s="54"/>
      <c r="AI424" s="55"/>
    </row>
    <row r="425" spans="8:35" x14ac:dyDescent="0.25">
      <c r="H425" s="53"/>
      <c r="I425" s="53"/>
      <c r="J425" s="53"/>
      <c r="K425" s="53"/>
      <c r="L425" s="53"/>
      <c r="AA425" s="54"/>
      <c r="AI425" s="55"/>
    </row>
    <row r="426" spans="8:35" x14ac:dyDescent="0.25">
      <c r="H426" s="53"/>
      <c r="I426" s="53"/>
      <c r="J426" s="53"/>
      <c r="K426" s="53"/>
      <c r="L426" s="53"/>
      <c r="AA426" s="54"/>
      <c r="AI426" s="55"/>
    </row>
    <row r="427" spans="8:35" x14ac:dyDescent="0.25">
      <c r="H427" s="53"/>
      <c r="I427" s="53"/>
      <c r="J427" s="53"/>
      <c r="K427" s="53"/>
      <c r="L427" s="53"/>
      <c r="AA427" s="54"/>
      <c r="AI427" s="55"/>
    </row>
    <row r="428" spans="8:35" x14ac:dyDescent="0.25">
      <c r="H428" s="53"/>
      <c r="I428" s="53"/>
      <c r="J428" s="53"/>
      <c r="K428" s="53"/>
      <c r="L428" s="53"/>
      <c r="AA428" s="54"/>
      <c r="AI428" s="55"/>
    </row>
    <row r="429" spans="8:35" x14ac:dyDescent="0.25">
      <c r="H429" s="53"/>
      <c r="I429" s="53"/>
      <c r="J429" s="53"/>
      <c r="K429" s="53"/>
      <c r="L429" s="53"/>
      <c r="AA429" s="54"/>
      <c r="AI429" s="55"/>
    </row>
    <row r="430" spans="8:35" x14ac:dyDescent="0.25">
      <c r="H430" s="53"/>
      <c r="I430" s="53"/>
      <c r="J430" s="53"/>
      <c r="K430" s="53"/>
      <c r="L430" s="53"/>
      <c r="AA430" s="54"/>
      <c r="AI430" s="55"/>
    </row>
    <row r="431" spans="8:35" x14ac:dyDescent="0.25">
      <c r="H431" s="53"/>
      <c r="I431" s="53"/>
      <c r="J431" s="53"/>
      <c r="K431" s="53"/>
      <c r="L431" s="53"/>
      <c r="AA431" s="54"/>
      <c r="AI431" s="55"/>
    </row>
    <row r="432" spans="8:35" x14ac:dyDescent="0.25">
      <c r="H432" s="53"/>
      <c r="I432" s="53"/>
      <c r="J432" s="53"/>
      <c r="K432" s="53"/>
      <c r="L432" s="53"/>
      <c r="AA432" s="54"/>
      <c r="AI432" s="55"/>
    </row>
    <row r="433" spans="8:35" x14ac:dyDescent="0.25">
      <c r="H433" s="53"/>
      <c r="I433" s="53"/>
      <c r="J433" s="53"/>
      <c r="K433" s="53"/>
      <c r="L433" s="53"/>
      <c r="AA433" s="54"/>
      <c r="AI433" s="55"/>
    </row>
    <row r="434" spans="8:35" x14ac:dyDescent="0.25">
      <c r="H434" s="53"/>
      <c r="I434" s="53"/>
      <c r="J434" s="53"/>
      <c r="K434" s="53"/>
      <c r="L434" s="53"/>
      <c r="AA434" s="54"/>
      <c r="AI434" s="55"/>
    </row>
    <row r="435" spans="8:35" x14ac:dyDescent="0.25">
      <c r="H435" s="53"/>
      <c r="I435" s="53"/>
      <c r="J435" s="53"/>
      <c r="K435" s="53"/>
      <c r="L435" s="53"/>
      <c r="AA435" s="54"/>
      <c r="AI435" s="55"/>
    </row>
    <row r="436" spans="8:35" x14ac:dyDescent="0.25">
      <c r="H436" s="53"/>
      <c r="I436" s="53"/>
      <c r="J436" s="53"/>
      <c r="K436" s="53"/>
      <c r="L436" s="53"/>
      <c r="AA436" s="54"/>
      <c r="AI436" s="55"/>
    </row>
    <row r="437" spans="8:35" x14ac:dyDescent="0.25">
      <c r="H437" s="53"/>
      <c r="I437" s="53"/>
      <c r="J437" s="53"/>
      <c r="K437" s="53"/>
      <c r="L437" s="53"/>
      <c r="AA437" s="54"/>
      <c r="AI437" s="55"/>
    </row>
    <row r="438" spans="8:35" x14ac:dyDescent="0.25">
      <c r="H438" s="53"/>
      <c r="I438" s="53"/>
      <c r="J438" s="53"/>
      <c r="K438" s="53"/>
      <c r="L438" s="53"/>
      <c r="AA438" s="54"/>
      <c r="AI438" s="55"/>
    </row>
    <row r="439" spans="8:35" x14ac:dyDescent="0.25">
      <c r="H439" s="53"/>
      <c r="I439" s="53"/>
      <c r="J439" s="53"/>
      <c r="K439" s="53"/>
      <c r="L439" s="53"/>
      <c r="AA439" s="54"/>
      <c r="AI439" s="55"/>
    </row>
    <row r="440" spans="8:35" x14ac:dyDescent="0.25">
      <c r="H440" s="53"/>
      <c r="I440" s="53"/>
      <c r="J440" s="53"/>
      <c r="K440" s="53"/>
      <c r="L440" s="53"/>
      <c r="AA440" s="54"/>
      <c r="AI440" s="55"/>
    </row>
    <row r="441" spans="8:35" x14ac:dyDescent="0.25">
      <c r="H441" s="53"/>
      <c r="I441" s="53"/>
      <c r="J441" s="53"/>
      <c r="K441" s="53"/>
      <c r="L441" s="53"/>
      <c r="AA441" s="54"/>
      <c r="AI441" s="55"/>
    </row>
    <row r="442" spans="8:35" x14ac:dyDescent="0.25">
      <c r="H442" s="53"/>
      <c r="I442" s="53"/>
      <c r="J442" s="53"/>
      <c r="K442" s="53"/>
      <c r="L442" s="53"/>
      <c r="AA442" s="54"/>
      <c r="AI442" s="55"/>
    </row>
    <row r="443" spans="8:35" x14ac:dyDescent="0.25">
      <c r="H443" s="53"/>
      <c r="I443" s="53"/>
      <c r="J443" s="53"/>
      <c r="K443" s="53"/>
      <c r="L443" s="53"/>
      <c r="AA443" s="54"/>
      <c r="AI443" s="55"/>
    </row>
    <row r="444" spans="8:35" x14ac:dyDescent="0.25">
      <c r="H444" s="53"/>
      <c r="I444" s="53"/>
      <c r="J444" s="53"/>
      <c r="K444" s="53"/>
      <c r="L444" s="53"/>
      <c r="AA444" s="54"/>
      <c r="AI444" s="55"/>
    </row>
    <row r="445" spans="8:35" x14ac:dyDescent="0.25">
      <c r="H445" s="53"/>
      <c r="I445" s="53"/>
      <c r="J445" s="53"/>
      <c r="K445" s="53"/>
      <c r="L445" s="53"/>
      <c r="AA445" s="54"/>
      <c r="AI445" s="55"/>
    </row>
    <row r="446" spans="8:35" x14ac:dyDescent="0.25">
      <c r="H446" s="53"/>
      <c r="I446" s="53"/>
      <c r="J446" s="53"/>
      <c r="K446" s="53"/>
      <c r="L446" s="53"/>
      <c r="AA446" s="54"/>
      <c r="AI446" s="55"/>
    </row>
    <row r="447" spans="8:35" x14ac:dyDescent="0.25">
      <c r="H447" s="53"/>
      <c r="I447" s="53"/>
      <c r="J447" s="53"/>
      <c r="K447" s="53"/>
      <c r="L447" s="53"/>
      <c r="AA447" s="54"/>
      <c r="AI447" s="55"/>
    </row>
    <row r="448" spans="8:35" x14ac:dyDescent="0.25">
      <c r="H448" s="53"/>
      <c r="I448" s="53"/>
      <c r="J448" s="53"/>
      <c r="K448" s="53"/>
      <c r="L448" s="53"/>
      <c r="AA448" s="54"/>
      <c r="AI448" s="55"/>
    </row>
    <row r="449" spans="8:35" x14ac:dyDescent="0.25">
      <c r="H449" s="53"/>
      <c r="I449" s="53"/>
      <c r="J449" s="53"/>
      <c r="K449" s="53"/>
      <c r="L449" s="53"/>
      <c r="AA449" s="54"/>
      <c r="AI449" s="55"/>
    </row>
    <row r="450" spans="8:35" x14ac:dyDescent="0.25">
      <c r="H450" s="53"/>
      <c r="I450" s="53"/>
      <c r="J450" s="53"/>
      <c r="K450" s="53"/>
      <c r="L450" s="53"/>
      <c r="AA450" s="54"/>
      <c r="AI450" s="55"/>
    </row>
    <row r="451" spans="8:35" x14ac:dyDescent="0.25">
      <c r="H451" s="53"/>
      <c r="I451" s="53"/>
      <c r="J451" s="53"/>
      <c r="K451" s="53"/>
      <c r="L451" s="53"/>
      <c r="AA451" s="54"/>
      <c r="AI451" s="55"/>
    </row>
    <row r="452" spans="8:35" x14ac:dyDescent="0.25">
      <c r="H452" s="53"/>
      <c r="I452" s="53"/>
      <c r="J452" s="53"/>
      <c r="K452" s="53"/>
      <c r="L452" s="53"/>
      <c r="AA452" s="54"/>
      <c r="AI452" s="55"/>
    </row>
    <row r="453" spans="8:35" x14ac:dyDescent="0.25">
      <c r="H453" s="53"/>
      <c r="I453" s="53"/>
      <c r="J453" s="53"/>
      <c r="K453" s="53"/>
      <c r="L453" s="53"/>
      <c r="AA453" s="54"/>
      <c r="AI453" s="55"/>
    </row>
    <row r="454" spans="8:35" x14ac:dyDescent="0.25">
      <c r="H454" s="53"/>
      <c r="I454" s="53"/>
      <c r="J454" s="53"/>
      <c r="K454" s="53"/>
      <c r="L454" s="53"/>
      <c r="AA454" s="54"/>
      <c r="AI454" s="55"/>
    </row>
    <row r="455" spans="8:35" x14ac:dyDescent="0.25">
      <c r="H455" s="53"/>
      <c r="I455" s="53"/>
      <c r="J455" s="53"/>
      <c r="K455" s="53"/>
      <c r="L455" s="53"/>
      <c r="AA455" s="54"/>
      <c r="AI455" s="55"/>
    </row>
    <row r="456" spans="8:35" x14ac:dyDescent="0.25">
      <c r="H456" s="53"/>
      <c r="I456" s="53"/>
      <c r="J456" s="53"/>
      <c r="K456" s="53"/>
      <c r="L456" s="53"/>
      <c r="AA456" s="54"/>
      <c r="AI456" s="55"/>
    </row>
    <row r="457" spans="8:35" x14ac:dyDescent="0.25">
      <c r="H457" s="53"/>
      <c r="I457" s="53"/>
      <c r="J457" s="53"/>
      <c r="K457" s="53"/>
      <c r="L457" s="53"/>
      <c r="AA457" s="54"/>
      <c r="AI457" s="55"/>
    </row>
    <row r="458" spans="8:35" x14ac:dyDescent="0.25">
      <c r="H458" s="53"/>
      <c r="I458" s="53"/>
      <c r="J458" s="53"/>
      <c r="K458" s="53"/>
      <c r="L458" s="53"/>
      <c r="AA458" s="54"/>
      <c r="AI458" s="55"/>
    </row>
    <row r="459" spans="8:35" x14ac:dyDescent="0.25">
      <c r="H459" s="53"/>
      <c r="I459" s="53"/>
      <c r="J459" s="53"/>
      <c r="K459" s="53"/>
      <c r="L459" s="53"/>
      <c r="AA459" s="54"/>
      <c r="AI459" s="55"/>
    </row>
    <row r="460" spans="8:35" x14ac:dyDescent="0.25">
      <c r="H460" s="53"/>
      <c r="I460" s="53"/>
      <c r="J460" s="53"/>
      <c r="K460" s="53"/>
      <c r="L460" s="53"/>
      <c r="AA460" s="54"/>
      <c r="AI460" s="55"/>
    </row>
    <row r="461" spans="8:35" x14ac:dyDescent="0.25">
      <c r="H461" s="53"/>
      <c r="I461" s="53"/>
      <c r="J461" s="53"/>
      <c r="K461" s="53"/>
      <c r="L461" s="53"/>
      <c r="AA461" s="54"/>
      <c r="AI461" s="55"/>
    </row>
    <row r="462" spans="8:35" x14ac:dyDescent="0.25">
      <c r="H462" s="53"/>
      <c r="I462" s="53"/>
      <c r="J462" s="53"/>
      <c r="K462" s="53"/>
      <c r="L462" s="53"/>
      <c r="AA462" s="54"/>
      <c r="AI462" s="55"/>
    </row>
    <row r="463" spans="8:35" x14ac:dyDescent="0.25">
      <c r="H463" s="53"/>
      <c r="I463" s="53"/>
      <c r="J463" s="53"/>
      <c r="K463" s="53"/>
      <c r="L463" s="53"/>
      <c r="AA463" s="54"/>
      <c r="AI463" s="55"/>
    </row>
    <row r="464" spans="8:35" x14ac:dyDescent="0.25">
      <c r="H464" s="53"/>
      <c r="I464" s="53"/>
      <c r="J464" s="53"/>
      <c r="K464" s="53"/>
      <c r="L464" s="53"/>
      <c r="AA464" s="54"/>
      <c r="AI464" s="55"/>
    </row>
    <row r="465" spans="8:35" x14ac:dyDescent="0.25">
      <c r="H465" s="53"/>
      <c r="I465" s="53"/>
      <c r="J465" s="53"/>
      <c r="K465" s="53"/>
      <c r="L465" s="53"/>
      <c r="AA465" s="54"/>
      <c r="AI465" s="55"/>
    </row>
    <row r="466" spans="8:35" x14ac:dyDescent="0.25">
      <c r="H466" s="53"/>
      <c r="I466" s="53"/>
      <c r="J466" s="53"/>
      <c r="K466" s="53"/>
      <c r="L466" s="53"/>
      <c r="AA466" s="54"/>
      <c r="AI466" s="55"/>
    </row>
    <row r="467" spans="8:35" x14ac:dyDescent="0.25">
      <c r="H467" s="53"/>
      <c r="I467" s="53"/>
      <c r="J467" s="53"/>
      <c r="K467" s="53"/>
      <c r="L467" s="53"/>
      <c r="AA467" s="54"/>
      <c r="AI467" s="55"/>
    </row>
    <row r="468" spans="8:35" x14ac:dyDescent="0.25">
      <c r="H468" s="53"/>
      <c r="I468" s="53"/>
      <c r="J468" s="53"/>
      <c r="K468" s="53"/>
      <c r="L468" s="53"/>
      <c r="AA468" s="54"/>
      <c r="AI468" s="55"/>
    </row>
    <row r="469" spans="8:35" x14ac:dyDescent="0.25">
      <c r="H469" s="53"/>
      <c r="I469" s="53"/>
      <c r="J469" s="53"/>
      <c r="K469" s="53"/>
      <c r="L469" s="53"/>
      <c r="AA469" s="54"/>
      <c r="AI469" s="55"/>
    </row>
    <row r="470" spans="8:35" x14ac:dyDescent="0.25">
      <c r="H470" s="53"/>
      <c r="I470" s="53"/>
      <c r="J470" s="53"/>
      <c r="K470" s="53"/>
      <c r="L470" s="53"/>
      <c r="AA470" s="54"/>
      <c r="AI470" s="55"/>
    </row>
    <row r="471" spans="8:35" x14ac:dyDescent="0.25">
      <c r="H471" s="53"/>
      <c r="I471" s="53"/>
      <c r="J471" s="53"/>
      <c r="K471" s="53"/>
      <c r="L471" s="53"/>
      <c r="AA471" s="54"/>
      <c r="AI471" s="55"/>
    </row>
    <row r="472" spans="8:35" x14ac:dyDescent="0.25">
      <c r="H472" s="53"/>
      <c r="I472" s="53"/>
      <c r="J472" s="53"/>
      <c r="K472" s="53"/>
      <c r="L472" s="53"/>
      <c r="AA472" s="54"/>
      <c r="AI472" s="55"/>
    </row>
    <row r="473" spans="8:35" x14ac:dyDescent="0.25">
      <c r="H473" s="53"/>
      <c r="I473" s="53"/>
      <c r="J473" s="53"/>
      <c r="K473" s="53"/>
      <c r="L473" s="53"/>
      <c r="AA473" s="54"/>
      <c r="AI473" s="55"/>
    </row>
    <row r="474" spans="8:35" x14ac:dyDescent="0.25">
      <c r="H474" s="53"/>
      <c r="I474" s="53"/>
      <c r="J474" s="53"/>
      <c r="K474" s="53"/>
      <c r="L474" s="53"/>
      <c r="AA474" s="54"/>
      <c r="AI474" s="55"/>
    </row>
    <row r="475" spans="8:35" x14ac:dyDescent="0.25">
      <c r="H475" s="53"/>
      <c r="I475" s="53"/>
      <c r="J475" s="53"/>
      <c r="K475" s="53"/>
      <c r="L475" s="53"/>
      <c r="AA475" s="54"/>
      <c r="AI475" s="55"/>
    </row>
    <row r="476" spans="8:35" x14ac:dyDescent="0.25">
      <c r="H476" s="53"/>
      <c r="I476" s="53"/>
      <c r="J476" s="53"/>
      <c r="K476" s="53"/>
      <c r="L476" s="53"/>
      <c r="AA476" s="54"/>
      <c r="AI476" s="55"/>
    </row>
    <row r="477" spans="8:35" x14ac:dyDescent="0.25">
      <c r="H477" s="53"/>
      <c r="I477" s="53"/>
      <c r="J477" s="53"/>
      <c r="K477" s="53"/>
      <c r="L477" s="53"/>
      <c r="AA477" s="54"/>
      <c r="AI477" s="55"/>
    </row>
    <row r="478" spans="8:35" x14ac:dyDescent="0.25">
      <c r="H478" s="53"/>
      <c r="I478" s="53"/>
      <c r="J478" s="53"/>
      <c r="K478" s="53"/>
      <c r="L478" s="53"/>
      <c r="AA478" s="54"/>
      <c r="AI478" s="55"/>
    </row>
    <row r="479" spans="8:35" x14ac:dyDescent="0.25">
      <c r="H479" s="53"/>
      <c r="I479" s="53"/>
      <c r="J479" s="53"/>
      <c r="K479" s="53"/>
      <c r="L479" s="53"/>
      <c r="AA479" s="54"/>
      <c r="AI479" s="55"/>
    </row>
    <row r="480" spans="8:35" x14ac:dyDescent="0.25">
      <c r="H480" s="53"/>
      <c r="I480" s="53"/>
      <c r="J480" s="53"/>
      <c r="K480" s="53"/>
      <c r="L480" s="53"/>
      <c r="AA480" s="54"/>
      <c r="AI480" s="55"/>
    </row>
    <row r="481" spans="8:35" x14ac:dyDescent="0.25">
      <c r="H481" s="53"/>
      <c r="I481" s="53"/>
      <c r="J481" s="53"/>
      <c r="K481" s="53"/>
      <c r="L481" s="53"/>
      <c r="AA481" s="54"/>
      <c r="AI481" s="55"/>
    </row>
    <row r="482" spans="8:35" x14ac:dyDescent="0.25">
      <c r="H482" s="53"/>
      <c r="I482" s="53"/>
      <c r="J482" s="53"/>
      <c r="K482" s="53"/>
      <c r="L482" s="53"/>
      <c r="AA482" s="54"/>
      <c r="AI482" s="55"/>
    </row>
    <row r="483" spans="8:35" x14ac:dyDescent="0.25">
      <c r="H483" s="53"/>
      <c r="I483" s="53"/>
      <c r="J483" s="53"/>
      <c r="K483" s="53"/>
      <c r="L483" s="53"/>
      <c r="AA483" s="54"/>
      <c r="AI483" s="55"/>
    </row>
    <row r="484" spans="8:35" x14ac:dyDescent="0.25">
      <c r="H484" s="53"/>
      <c r="I484" s="53"/>
      <c r="J484" s="53"/>
      <c r="K484" s="53"/>
      <c r="L484" s="53"/>
      <c r="AA484" s="54"/>
      <c r="AI484" s="55"/>
    </row>
    <row r="485" spans="8:35" x14ac:dyDescent="0.25">
      <c r="H485" s="53"/>
      <c r="I485" s="53"/>
      <c r="J485" s="53"/>
      <c r="K485" s="53"/>
      <c r="L485" s="53"/>
      <c r="AA485" s="54"/>
      <c r="AI485" s="55"/>
    </row>
    <row r="486" spans="8:35" x14ac:dyDescent="0.25">
      <c r="H486" s="53"/>
      <c r="I486" s="53"/>
      <c r="J486" s="53"/>
      <c r="K486" s="53"/>
      <c r="L486" s="53"/>
      <c r="AA486" s="54"/>
      <c r="AI486" s="55"/>
    </row>
    <row r="487" spans="8:35" x14ac:dyDescent="0.25">
      <c r="H487" s="53"/>
      <c r="I487" s="53"/>
      <c r="J487" s="53"/>
      <c r="K487" s="53"/>
      <c r="L487" s="53"/>
      <c r="AA487" s="54"/>
      <c r="AI487" s="55"/>
    </row>
    <row r="488" spans="8:35" x14ac:dyDescent="0.25">
      <c r="H488" s="53"/>
      <c r="I488" s="53"/>
      <c r="J488" s="53"/>
      <c r="K488" s="53"/>
      <c r="L488" s="53"/>
      <c r="AA488" s="54"/>
      <c r="AI488" s="55"/>
    </row>
    <row r="489" spans="8:35" x14ac:dyDescent="0.25">
      <c r="H489" s="53"/>
      <c r="I489" s="53"/>
      <c r="J489" s="53"/>
      <c r="K489" s="53"/>
      <c r="L489" s="53"/>
      <c r="AA489" s="54"/>
      <c r="AI489" s="55"/>
    </row>
    <row r="490" spans="8:35" x14ac:dyDescent="0.25">
      <c r="H490" s="53"/>
      <c r="I490" s="53"/>
      <c r="J490" s="53"/>
      <c r="K490" s="53"/>
      <c r="L490" s="53"/>
      <c r="AA490" s="54"/>
      <c r="AI490" s="55"/>
    </row>
    <row r="491" spans="8:35" x14ac:dyDescent="0.25">
      <c r="H491" s="53"/>
      <c r="I491" s="53"/>
      <c r="J491" s="53"/>
      <c r="K491" s="53"/>
      <c r="L491" s="53"/>
      <c r="AA491" s="54"/>
      <c r="AI491" s="55"/>
    </row>
    <row r="492" spans="8:35" x14ac:dyDescent="0.25">
      <c r="H492" s="53"/>
      <c r="I492" s="53"/>
      <c r="J492" s="53"/>
      <c r="K492" s="53"/>
      <c r="L492" s="53"/>
      <c r="AA492" s="54"/>
      <c r="AI492" s="55"/>
    </row>
    <row r="493" spans="8:35" x14ac:dyDescent="0.25">
      <c r="H493" s="53"/>
      <c r="I493" s="53"/>
      <c r="J493" s="53"/>
      <c r="K493" s="53"/>
      <c r="L493" s="53"/>
      <c r="AA493" s="54"/>
      <c r="AI493" s="55"/>
    </row>
    <row r="494" spans="8:35" x14ac:dyDescent="0.25">
      <c r="H494" s="53"/>
      <c r="I494" s="53"/>
      <c r="J494" s="53"/>
      <c r="K494" s="53"/>
      <c r="L494" s="53"/>
      <c r="AA494" s="54"/>
      <c r="AI494" s="55"/>
    </row>
    <row r="495" spans="8:35" x14ac:dyDescent="0.25">
      <c r="H495" s="53"/>
      <c r="I495" s="53"/>
      <c r="J495" s="53"/>
      <c r="K495" s="53"/>
      <c r="L495" s="53"/>
      <c r="AA495" s="54"/>
      <c r="AI495" s="55"/>
    </row>
    <row r="496" spans="8:35" x14ac:dyDescent="0.25">
      <c r="H496" s="53"/>
      <c r="I496" s="53"/>
      <c r="J496" s="53"/>
      <c r="K496" s="53"/>
      <c r="L496" s="53"/>
      <c r="AA496" s="54"/>
      <c r="AI496" s="55"/>
    </row>
    <row r="497" spans="8:35" x14ac:dyDescent="0.25">
      <c r="H497" s="53"/>
      <c r="I497" s="53"/>
      <c r="J497" s="53"/>
      <c r="K497" s="53"/>
      <c r="L497" s="53"/>
      <c r="AA497" s="54"/>
      <c r="AI497" s="55"/>
    </row>
    <row r="498" spans="8:35" x14ac:dyDescent="0.25">
      <c r="H498" s="53"/>
      <c r="I498" s="53"/>
      <c r="J498" s="53"/>
      <c r="K498" s="53"/>
      <c r="L498" s="53"/>
      <c r="AA498" s="54"/>
      <c r="AI498" s="55"/>
    </row>
    <row r="499" spans="8:35" x14ac:dyDescent="0.25">
      <c r="H499" s="53"/>
      <c r="I499" s="53"/>
      <c r="J499" s="53"/>
      <c r="K499" s="53"/>
      <c r="L499" s="53"/>
      <c r="AA499" s="54"/>
      <c r="AI499" s="55"/>
    </row>
    <row r="500" spans="8:35" x14ac:dyDescent="0.25">
      <c r="H500" s="53"/>
      <c r="I500" s="53"/>
      <c r="J500" s="53"/>
      <c r="K500" s="53"/>
      <c r="L500" s="53"/>
      <c r="AA500" s="54"/>
      <c r="AI500" s="55"/>
    </row>
    <row r="501" spans="8:35" x14ac:dyDescent="0.25">
      <c r="H501" s="53"/>
      <c r="I501" s="53"/>
      <c r="J501" s="53"/>
      <c r="K501" s="53"/>
      <c r="L501" s="53"/>
      <c r="AA501" s="54"/>
      <c r="AI501" s="55"/>
    </row>
    <row r="502" spans="8:35" x14ac:dyDescent="0.25">
      <c r="H502" s="53"/>
      <c r="I502" s="53"/>
      <c r="J502" s="53"/>
      <c r="K502" s="53"/>
      <c r="L502" s="53"/>
      <c r="AA502" s="54"/>
      <c r="AI502" s="55"/>
    </row>
    <row r="503" spans="8:35" x14ac:dyDescent="0.25">
      <c r="H503" s="53"/>
      <c r="I503" s="53"/>
      <c r="J503" s="53"/>
      <c r="K503" s="53"/>
      <c r="L503" s="53"/>
      <c r="AA503" s="54"/>
      <c r="AI503" s="55"/>
    </row>
    <row r="504" spans="8:35" x14ac:dyDescent="0.25">
      <c r="H504" s="53"/>
      <c r="I504" s="53"/>
      <c r="J504" s="53"/>
      <c r="K504" s="53"/>
      <c r="L504" s="53"/>
      <c r="AA504" s="54"/>
      <c r="AI504" s="55"/>
    </row>
    <row r="505" spans="8:35" x14ac:dyDescent="0.25">
      <c r="H505" s="53"/>
      <c r="I505" s="53"/>
      <c r="J505" s="53"/>
      <c r="K505" s="53"/>
      <c r="L505" s="53"/>
      <c r="AA505" s="54"/>
      <c r="AI505" s="55"/>
    </row>
    <row r="506" spans="8:35" x14ac:dyDescent="0.25">
      <c r="H506" s="53"/>
      <c r="I506" s="53"/>
      <c r="J506" s="53"/>
      <c r="K506" s="53"/>
      <c r="L506" s="53"/>
      <c r="AA506" s="54"/>
      <c r="AI506" s="55"/>
    </row>
    <row r="507" spans="8:35" x14ac:dyDescent="0.25">
      <c r="H507" s="53"/>
      <c r="I507" s="53"/>
      <c r="J507" s="53"/>
      <c r="K507" s="53"/>
      <c r="L507" s="53"/>
      <c r="AA507" s="54"/>
      <c r="AI507" s="55"/>
    </row>
    <row r="508" spans="8:35" x14ac:dyDescent="0.25">
      <c r="H508" s="53"/>
      <c r="I508" s="53"/>
      <c r="J508" s="53"/>
      <c r="K508" s="53"/>
      <c r="L508" s="53"/>
      <c r="AA508" s="54"/>
      <c r="AI508" s="55"/>
    </row>
    <row r="509" spans="8:35" x14ac:dyDescent="0.25">
      <c r="H509" s="53"/>
      <c r="I509" s="53"/>
      <c r="J509" s="53"/>
      <c r="K509" s="53"/>
      <c r="L509" s="53"/>
      <c r="AA509" s="54"/>
      <c r="AI509" s="55"/>
    </row>
    <row r="510" spans="8:35" x14ac:dyDescent="0.25">
      <c r="H510" s="53"/>
      <c r="I510" s="53"/>
      <c r="J510" s="53"/>
      <c r="K510" s="53"/>
      <c r="L510" s="53"/>
      <c r="AA510" s="54"/>
      <c r="AI510" s="55"/>
    </row>
    <row r="511" spans="8:35" x14ac:dyDescent="0.25">
      <c r="H511" s="53"/>
      <c r="I511" s="53"/>
      <c r="J511" s="53"/>
      <c r="K511" s="53"/>
      <c r="L511" s="53"/>
      <c r="AA511" s="54"/>
      <c r="AI511" s="55"/>
    </row>
    <row r="512" spans="8:35" x14ac:dyDescent="0.25">
      <c r="H512" s="53"/>
      <c r="I512" s="53"/>
      <c r="J512" s="53"/>
      <c r="K512" s="53"/>
      <c r="L512" s="53"/>
      <c r="AA512" s="54"/>
      <c r="AI512" s="55"/>
    </row>
    <row r="513" spans="8:35" x14ac:dyDescent="0.25">
      <c r="H513" s="53"/>
      <c r="I513" s="53"/>
      <c r="J513" s="53"/>
      <c r="K513" s="53"/>
      <c r="L513" s="53"/>
      <c r="AA513" s="54"/>
      <c r="AI513" s="55"/>
    </row>
    <row r="514" spans="8:35" x14ac:dyDescent="0.25">
      <c r="H514" s="53"/>
      <c r="I514" s="53"/>
      <c r="J514" s="53"/>
      <c r="K514" s="53"/>
      <c r="L514" s="53"/>
      <c r="AA514" s="54"/>
      <c r="AI514" s="55"/>
    </row>
    <row r="515" spans="8:35" x14ac:dyDescent="0.25">
      <c r="H515" s="53"/>
      <c r="I515" s="53"/>
      <c r="J515" s="53"/>
      <c r="K515" s="53"/>
      <c r="L515" s="53"/>
      <c r="AA515" s="54"/>
      <c r="AI515" s="55"/>
    </row>
    <row r="516" spans="8:35" x14ac:dyDescent="0.25">
      <c r="H516" s="53"/>
      <c r="I516" s="53"/>
      <c r="J516" s="53"/>
      <c r="K516" s="53"/>
      <c r="L516" s="53"/>
      <c r="AA516" s="54"/>
      <c r="AI516" s="55"/>
    </row>
    <row r="517" spans="8:35" x14ac:dyDescent="0.25">
      <c r="H517" s="53"/>
      <c r="I517" s="53"/>
      <c r="J517" s="53"/>
      <c r="K517" s="53"/>
      <c r="L517" s="53"/>
      <c r="AA517" s="54"/>
      <c r="AI517" s="55"/>
    </row>
    <row r="518" spans="8:35" x14ac:dyDescent="0.25">
      <c r="H518" s="53"/>
      <c r="I518" s="53"/>
      <c r="J518" s="53"/>
      <c r="K518" s="53"/>
      <c r="L518" s="53"/>
      <c r="AA518" s="54"/>
      <c r="AI518" s="55"/>
    </row>
    <row r="519" spans="8:35" x14ac:dyDescent="0.25">
      <c r="H519" s="53"/>
      <c r="I519" s="53"/>
      <c r="J519" s="53"/>
      <c r="K519" s="53"/>
      <c r="L519" s="53"/>
      <c r="AA519" s="54"/>
      <c r="AI519" s="55"/>
    </row>
    <row r="520" spans="8:35" x14ac:dyDescent="0.25">
      <c r="H520" s="53"/>
      <c r="I520" s="53"/>
      <c r="J520" s="53"/>
      <c r="K520" s="53"/>
      <c r="L520" s="53"/>
      <c r="AA520" s="54"/>
      <c r="AI520" s="55"/>
    </row>
    <row r="521" spans="8:35" x14ac:dyDescent="0.25">
      <c r="H521" s="53"/>
      <c r="I521" s="53"/>
      <c r="J521" s="53"/>
      <c r="K521" s="53"/>
      <c r="L521" s="53"/>
      <c r="AA521" s="54"/>
      <c r="AI521" s="55"/>
    </row>
    <row r="522" spans="8:35" x14ac:dyDescent="0.25">
      <c r="H522" s="53"/>
      <c r="I522" s="53"/>
      <c r="J522" s="53"/>
      <c r="K522" s="53"/>
      <c r="L522" s="53"/>
      <c r="AA522" s="54"/>
      <c r="AI522" s="55"/>
    </row>
    <row r="523" spans="8:35" x14ac:dyDescent="0.25">
      <c r="H523" s="53"/>
      <c r="I523" s="53"/>
      <c r="J523" s="53"/>
      <c r="K523" s="53"/>
      <c r="L523" s="53"/>
      <c r="AA523" s="54"/>
      <c r="AI523" s="55"/>
    </row>
    <row r="524" spans="8:35" x14ac:dyDescent="0.25">
      <c r="H524" s="53"/>
      <c r="I524" s="53"/>
      <c r="J524" s="53"/>
      <c r="K524" s="53"/>
      <c r="L524" s="53"/>
      <c r="AA524" s="54"/>
      <c r="AI524" s="55"/>
    </row>
    <row r="525" spans="8:35" x14ac:dyDescent="0.25">
      <c r="H525" s="53"/>
      <c r="I525" s="53"/>
      <c r="J525" s="53"/>
      <c r="K525" s="53"/>
      <c r="L525" s="53"/>
      <c r="AA525" s="54"/>
      <c r="AI525" s="55"/>
    </row>
    <row r="526" spans="8:35" x14ac:dyDescent="0.25">
      <c r="H526" s="53"/>
      <c r="I526" s="53"/>
      <c r="J526" s="53"/>
      <c r="K526" s="53"/>
      <c r="L526" s="53"/>
      <c r="AA526" s="54"/>
      <c r="AI526" s="55"/>
    </row>
    <row r="527" spans="8:35" x14ac:dyDescent="0.25">
      <c r="H527" s="53"/>
      <c r="I527" s="53"/>
      <c r="J527" s="53"/>
      <c r="K527" s="53"/>
      <c r="L527" s="53"/>
      <c r="AA527" s="54"/>
      <c r="AI527" s="55"/>
    </row>
    <row r="528" spans="8:35" x14ac:dyDescent="0.25">
      <c r="H528" s="53"/>
      <c r="I528" s="53"/>
      <c r="J528" s="53"/>
      <c r="K528" s="53"/>
      <c r="L528" s="53"/>
      <c r="AA528" s="54"/>
      <c r="AI528" s="55"/>
    </row>
    <row r="529" spans="8:35" x14ac:dyDescent="0.25">
      <c r="H529" s="53"/>
      <c r="I529" s="53"/>
      <c r="J529" s="53"/>
      <c r="K529" s="53"/>
      <c r="L529" s="53"/>
      <c r="AA529" s="54"/>
      <c r="AI529" s="55"/>
    </row>
    <row r="530" spans="8:35" x14ac:dyDescent="0.25">
      <c r="H530" s="53"/>
      <c r="I530" s="53"/>
      <c r="J530" s="53"/>
      <c r="K530" s="53"/>
      <c r="L530" s="53"/>
      <c r="AA530" s="54"/>
      <c r="AI530" s="55"/>
    </row>
    <row r="531" spans="8:35" x14ac:dyDescent="0.25">
      <c r="H531" s="53"/>
      <c r="I531" s="53"/>
      <c r="J531" s="53"/>
      <c r="K531" s="53"/>
      <c r="L531" s="53"/>
      <c r="AA531" s="54"/>
      <c r="AI531" s="55"/>
    </row>
    <row r="532" spans="8:35" x14ac:dyDescent="0.25">
      <c r="H532" s="53"/>
      <c r="I532" s="53"/>
      <c r="J532" s="53"/>
      <c r="K532" s="53"/>
      <c r="L532" s="53"/>
      <c r="AA532" s="54"/>
      <c r="AI532" s="55"/>
    </row>
    <row r="533" spans="8:35" x14ac:dyDescent="0.25">
      <c r="H533" s="53"/>
      <c r="I533" s="53"/>
      <c r="J533" s="53"/>
      <c r="K533" s="53"/>
      <c r="L533" s="53"/>
      <c r="AA533" s="54"/>
      <c r="AI533" s="55"/>
    </row>
    <row r="534" spans="8:35" x14ac:dyDescent="0.25">
      <c r="H534" s="53"/>
      <c r="I534" s="53"/>
      <c r="J534" s="53"/>
      <c r="K534" s="53"/>
      <c r="L534" s="53"/>
      <c r="AA534" s="54"/>
      <c r="AI534" s="55"/>
    </row>
    <row r="535" spans="8:35" x14ac:dyDescent="0.25">
      <c r="H535" s="53"/>
      <c r="I535" s="53"/>
      <c r="J535" s="53"/>
      <c r="K535" s="53"/>
      <c r="L535" s="53"/>
      <c r="AA535" s="54"/>
      <c r="AI535" s="55"/>
    </row>
    <row r="536" spans="8:35" x14ac:dyDescent="0.25">
      <c r="H536" s="53"/>
      <c r="I536" s="53"/>
      <c r="J536" s="53"/>
      <c r="K536" s="53"/>
      <c r="L536" s="53"/>
      <c r="AA536" s="54"/>
      <c r="AI536" s="55"/>
    </row>
    <row r="537" spans="8:35" x14ac:dyDescent="0.25">
      <c r="H537" s="53"/>
      <c r="I537" s="53"/>
      <c r="J537" s="53"/>
      <c r="K537" s="53"/>
      <c r="L537" s="53"/>
      <c r="AA537" s="54"/>
      <c r="AI537" s="55"/>
    </row>
    <row r="538" spans="8:35" x14ac:dyDescent="0.25">
      <c r="H538" s="53"/>
      <c r="I538" s="53"/>
      <c r="J538" s="53"/>
      <c r="K538" s="53"/>
      <c r="L538" s="53"/>
      <c r="AA538" s="54"/>
      <c r="AI538" s="55"/>
    </row>
    <row r="539" spans="8:35" x14ac:dyDescent="0.25">
      <c r="H539" s="53"/>
      <c r="I539" s="53"/>
      <c r="J539" s="53"/>
      <c r="K539" s="53"/>
      <c r="L539" s="53"/>
      <c r="AA539" s="54"/>
      <c r="AI539" s="55"/>
    </row>
    <row r="540" spans="8:35" x14ac:dyDescent="0.25">
      <c r="H540" s="53"/>
      <c r="I540" s="53"/>
      <c r="J540" s="53"/>
      <c r="K540" s="53"/>
      <c r="L540" s="53"/>
      <c r="AA540" s="54"/>
      <c r="AI540" s="55"/>
    </row>
    <row r="541" spans="8:35" x14ac:dyDescent="0.25">
      <c r="H541" s="53"/>
      <c r="I541" s="53"/>
      <c r="J541" s="53"/>
      <c r="K541" s="53"/>
      <c r="L541" s="53"/>
      <c r="AA541" s="54"/>
      <c r="AI541" s="55"/>
    </row>
    <row r="542" spans="8:35" x14ac:dyDescent="0.25">
      <c r="H542" s="53"/>
      <c r="I542" s="53"/>
      <c r="J542" s="53"/>
      <c r="K542" s="53"/>
      <c r="L542" s="53"/>
      <c r="AA542" s="54"/>
      <c r="AI542" s="55"/>
    </row>
    <row r="543" spans="8:35" x14ac:dyDescent="0.25">
      <c r="H543" s="53"/>
      <c r="I543" s="53"/>
      <c r="J543" s="53"/>
      <c r="K543" s="53"/>
      <c r="L543" s="53"/>
      <c r="AA543" s="54"/>
      <c r="AI543" s="55"/>
    </row>
    <row r="544" spans="8:35" x14ac:dyDescent="0.25">
      <c r="H544" s="53"/>
      <c r="I544" s="53"/>
      <c r="J544" s="53"/>
      <c r="K544" s="53"/>
      <c r="L544" s="53"/>
      <c r="AA544" s="54"/>
      <c r="AI544" s="55"/>
    </row>
    <row r="545" spans="8:35" x14ac:dyDescent="0.25">
      <c r="H545" s="53"/>
      <c r="I545" s="53"/>
      <c r="J545" s="53"/>
      <c r="K545" s="53"/>
      <c r="L545" s="53"/>
      <c r="AA545" s="54"/>
      <c r="AI545" s="55"/>
    </row>
    <row r="546" spans="8:35" x14ac:dyDescent="0.25">
      <c r="H546" s="53"/>
      <c r="I546" s="53"/>
      <c r="J546" s="53"/>
      <c r="K546" s="53"/>
      <c r="L546" s="53"/>
      <c r="AA546" s="54"/>
      <c r="AI546" s="55"/>
    </row>
    <row r="547" spans="8:35" x14ac:dyDescent="0.25">
      <c r="H547" s="53"/>
      <c r="I547" s="53"/>
      <c r="J547" s="53"/>
      <c r="K547" s="53"/>
      <c r="L547" s="53"/>
      <c r="AA547" s="54"/>
      <c r="AI547" s="55"/>
    </row>
    <row r="548" spans="8:35" x14ac:dyDescent="0.25">
      <c r="H548" s="53"/>
      <c r="I548" s="53"/>
      <c r="J548" s="53"/>
      <c r="K548" s="53"/>
      <c r="L548" s="53"/>
      <c r="AA548" s="54"/>
      <c r="AI548" s="55"/>
    </row>
    <row r="549" spans="8:35" x14ac:dyDescent="0.25">
      <c r="H549" s="53"/>
      <c r="I549" s="53"/>
      <c r="J549" s="53"/>
      <c r="K549" s="53"/>
      <c r="L549" s="53"/>
      <c r="AA549" s="54"/>
      <c r="AI549" s="55"/>
    </row>
    <row r="550" spans="8:35" x14ac:dyDescent="0.25">
      <c r="H550" s="53"/>
      <c r="I550" s="53"/>
      <c r="J550" s="53"/>
      <c r="K550" s="53"/>
      <c r="L550" s="53"/>
      <c r="AA550" s="54"/>
      <c r="AI550" s="55"/>
    </row>
    <row r="551" spans="8:35" x14ac:dyDescent="0.25">
      <c r="H551" s="53"/>
      <c r="I551" s="53"/>
      <c r="J551" s="53"/>
      <c r="K551" s="53"/>
      <c r="L551" s="53"/>
      <c r="AA551" s="54"/>
      <c r="AI551" s="55"/>
    </row>
    <row r="552" spans="8:35" x14ac:dyDescent="0.25">
      <c r="H552" s="53"/>
      <c r="I552" s="53"/>
      <c r="J552" s="53"/>
      <c r="K552" s="53"/>
      <c r="L552" s="53"/>
      <c r="AA552" s="54"/>
      <c r="AI552" s="55"/>
    </row>
    <row r="553" spans="8:35" x14ac:dyDescent="0.25">
      <c r="H553" s="53"/>
      <c r="I553" s="53"/>
      <c r="J553" s="53"/>
      <c r="K553" s="53"/>
      <c r="L553" s="53"/>
      <c r="AA553" s="54"/>
      <c r="AI553" s="55"/>
    </row>
    <row r="554" spans="8:35" x14ac:dyDescent="0.25">
      <c r="H554" s="53"/>
      <c r="I554" s="53"/>
      <c r="J554" s="53"/>
      <c r="K554" s="53"/>
      <c r="L554" s="53"/>
      <c r="AA554" s="54"/>
      <c r="AI554" s="55"/>
    </row>
    <row r="555" spans="8:35" x14ac:dyDescent="0.25">
      <c r="H555" s="53"/>
      <c r="I555" s="53"/>
      <c r="J555" s="53"/>
      <c r="K555" s="53"/>
      <c r="L555" s="53"/>
      <c r="AA555" s="54"/>
      <c r="AI555" s="55"/>
    </row>
    <row r="556" spans="8:35" x14ac:dyDescent="0.25">
      <c r="H556" s="53"/>
      <c r="I556" s="53"/>
      <c r="J556" s="53"/>
      <c r="K556" s="53"/>
      <c r="L556" s="53"/>
      <c r="AA556" s="54"/>
      <c r="AI556" s="55"/>
    </row>
    <row r="557" spans="8:35" x14ac:dyDescent="0.25">
      <c r="H557" s="53"/>
      <c r="I557" s="53"/>
      <c r="J557" s="53"/>
      <c r="K557" s="53"/>
      <c r="L557" s="53"/>
      <c r="AA557" s="54"/>
      <c r="AI557" s="55"/>
    </row>
    <row r="558" spans="8:35" x14ac:dyDescent="0.25">
      <c r="H558" s="53"/>
      <c r="I558" s="53"/>
      <c r="J558" s="53"/>
      <c r="K558" s="53"/>
      <c r="L558" s="53"/>
      <c r="AA558" s="54"/>
      <c r="AI558" s="55"/>
    </row>
    <row r="559" spans="8:35" x14ac:dyDescent="0.25">
      <c r="H559" s="53"/>
      <c r="I559" s="53"/>
      <c r="J559" s="53"/>
      <c r="K559" s="53"/>
      <c r="L559" s="53"/>
      <c r="AA559" s="54"/>
      <c r="AI559" s="55"/>
    </row>
    <row r="560" spans="8:35" x14ac:dyDescent="0.25">
      <c r="H560" s="53"/>
      <c r="I560" s="53"/>
      <c r="J560" s="53"/>
      <c r="K560" s="53"/>
      <c r="L560" s="53"/>
      <c r="AA560" s="54"/>
      <c r="AI560" s="55"/>
    </row>
    <row r="561" spans="8:35" x14ac:dyDescent="0.25">
      <c r="H561" s="53"/>
      <c r="I561" s="53"/>
      <c r="J561" s="53"/>
      <c r="K561" s="53"/>
      <c r="L561" s="53"/>
      <c r="AA561" s="54"/>
      <c r="AI561" s="55"/>
    </row>
    <row r="562" spans="8:35" x14ac:dyDescent="0.25">
      <c r="H562" s="53"/>
      <c r="I562" s="53"/>
      <c r="J562" s="53"/>
      <c r="K562" s="53"/>
      <c r="L562" s="53"/>
      <c r="AA562" s="54"/>
      <c r="AI562" s="55"/>
    </row>
    <row r="563" spans="8:35" x14ac:dyDescent="0.25">
      <c r="H563" s="53"/>
      <c r="I563" s="53"/>
      <c r="J563" s="53"/>
      <c r="K563" s="53"/>
      <c r="L563" s="53"/>
      <c r="AA563" s="54"/>
      <c r="AI563" s="55"/>
    </row>
    <row r="564" spans="8:35" x14ac:dyDescent="0.25">
      <c r="H564" s="53"/>
      <c r="I564" s="53"/>
      <c r="J564" s="53"/>
      <c r="K564" s="53"/>
      <c r="L564" s="53"/>
      <c r="AA564" s="54"/>
      <c r="AI564" s="55"/>
    </row>
    <row r="565" spans="8:35" x14ac:dyDescent="0.25">
      <c r="H565" s="53"/>
      <c r="I565" s="53"/>
      <c r="J565" s="53"/>
      <c r="K565" s="53"/>
      <c r="L565" s="53"/>
      <c r="AA565" s="54"/>
      <c r="AI565" s="55"/>
    </row>
    <row r="566" spans="8:35" x14ac:dyDescent="0.25">
      <c r="H566" s="53"/>
      <c r="I566" s="53"/>
      <c r="J566" s="53"/>
      <c r="K566" s="53"/>
      <c r="L566" s="53"/>
      <c r="AA566" s="54"/>
      <c r="AI566" s="55"/>
    </row>
    <row r="567" spans="8:35" x14ac:dyDescent="0.25">
      <c r="H567" s="53"/>
      <c r="I567" s="53"/>
      <c r="J567" s="53"/>
      <c r="K567" s="53"/>
      <c r="L567" s="53"/>
      <c r="AA567" s="54"/>
      <c r="AI567" s="55"/>
    </row>
    <row r="568" spans="8:35" x14ac:dyDescent="0.25">
      <c r="H568" s="53"/>
      <c r="I568" s="53"/>
      <c r="J568" s="53"/>
      <c r="K568" s="53"/>
      <c r="L568" s="53"/>
      <c r="AA568" s="54"/>
      <c r="AI568" s="55"/>
    </row>
    <row r="569" spans="8:35" x14ac:dyDescent="0.25">
      <c r="H569" s="53"/>
      <c r="I569" s="53"/>
      <c r="J569" s="53"/>
      <c r="K569" s="53"/>
      <c r="L569" s="53"/>
      <c r="AA569" s="54"/>
      <c r="AI569" s="55"/>
    </row>
    <row r="570" spans="8:35" x14ac:dyDescent="0.25">
      <c r="H570" s="53"/>
      <c r="I570" s="53"/>
      <c r="J570" s="53"/>
      <c r="K570" s="53"/>
      <c r="L570" s="53"/>
      <c r="AA570" s="54"/>
      <c r="AI570" s="55"/>
    </row>
    <row r="571" spans="8:35" x14ac:dyDescent="0.25">
      <c r="H571" s="53"/>
      <c r="I571" s="53"/>
      <c r="J571" s="53"/>
      <c r="K571" s="53"/>
      <c r="L571" s="53"/>
      <c r="AA571" s="54"/>
      <c r="AI571" s="55"/>
    </row>
    <row r="572" spans="8:35" x14ac:dyDescent="0.25">
      <c r="H572" s="53"/>
      <c r="I572" s="53"/>
      <c r="J572" s="53"/>
      <c r="K572" s="53"/>
      <c r="L572" s="53"/>
      <c r="AA572" s="54"/>
      <c r="AI572" s="55"/>
    </row>
    <row r="573" spans="8:35" x14ac:dyDescent="0.25">
      <c r="H573" s="53"/>
      <c r="I573" s="53"/>
      <c r="J573" s="53"/>
      <c r="K573" s="53"/>
      <c r="L573" s="53"/>
      <c r="AA573" s="54"/>
      <c r="AI573" s="55"/>
    </row>
    <row r="574" spans="8:35" x14ac:dyDescent="0.25">
      <c r="H574" s="53"/>
      <c r="I574" s="53"/>
      <c r="J574" s="53"/>
      <c r="K574" s="53"/>
      <c r="L574" s="53"/>
      <c r="AA574" s="54"/>
      <c r="AI574" s="55"/>
    </row>
    <row r="575" spans="8:35" x14ac:dyDescent="0.25">
      <c r="H575" s="53"/>
      <c r="I575" s="53"/>
      <c r="J575" s="53"/>
      <c r="K575" s="53"/>
      <c r="L575" s="53"/>
      <c r="AA575" s="54"/>
      <c r="AI575" s="55"/>
    </row>
    <row r="576" spans="8:35" x14ac:dyDescent="0.25">
      <c r="H576" s="53"/>
      <c r="I576" s="53"/>
      <c r="J576" s="53"/>
      <c r="K576" s="53"/>
      <c r="L576" s="53"/>
      <c r="AA576" s="54"/>
      <c r="AI576" s="55"/>
    </row>
    <row r="577" spans="8:35" x14ac:dyDescent="0.25">
      <c r="H577" s="53"/>
      <c r="I577" s="53"/>
      <c r="J577" s="53"/>
      <c r="K577" s="53"/>
      <c r="L577" s="53"/>
      <c r="AA577" s="54"/>
      <c r="AI577" s="55"/>
    </row>
    <row r="578" spans="8:35" x14ac:dyDescent="0.25">
      <c r="H578" s="53"/>
      <c r="I578" s="53"/>
      <c r="J578" s="53"/>
      <c r="K578" s="53"/>
      <c r="L578" s="53"/>
      <c r="AA578" s="54"/>
      <c r="AI578" s="55"/>
    </row>
    <row r="579" spans="8:35" x14ac:dyDescent="0.25">
      <c r="H579" s="53"/>
      <c r="I579" s="53"/>
      <c r="J579" s="53"/>
      <c r="K579" s="53"/>
      <c r="L579" s="53"/>
      <c r="AA579" s="54"/>
      <c r="AI579" s="55"/>
    </row>
    <row r="580" spans="8:35" x14ac:dyDescent="0.25">
      <c r="H580" s="53"/>
      <c r="I580" s="53"/>
      <c r="J580" s="53"/>
      <c r="K580" s="53"/>
      <c r="L580" s="53"/>
      <c r="AA580" s="54"/>
      <c r="AI580" s="55"/>
    </row>
    <row r="581" spans="8:35" x14ac:dyDescent="0.25">
      <c r="H581" s="53"/>
      <c r="I581" s="53"/>
      <c r="J581" s="53"/>
      <c r="K581" s="53"/>
      <c r="L581" s="53"/>
      <c r="AA581" s="54"/>
      <c r="AI581" s="55"/>
    </row>
    <row r="582" spans="8:35" x14ac:dyDescent="0.25">
      <c r="H582" s="53"/>
      <c r="I582" s="53"/>
      <c r="J582" s="53"/>
      <c r="K582" s="53"/>
      <c r="L582" s="53"/>
      <c r="AA582" s="54"/>
      <c r="AI582" s="55"/>
    </row>
    <row r="583" spans="8:35" x14ac:dyDescent="0.25">
      <c r="H583" s="53"/>
      <c r="I583" s="53"/>
      <c r="J583" s="53"/>
      <c r="K583" s="53"/>
      <c r="L583" s="53"/>
      <c r="AA583" s="54"/>
      <c r="AI583" s="55"/>
    </row>
    <row r="584" spans="8:35" x14ac:dyDescent="0.25">
      <c r="H584" s="53"/>
      <c r="I584" s="53"/>
      <c r="J584" s="53"/>
      <c r="K584" s="53"/>
      <c r="L584" s="53"/>
      <c r="AA584" s="54"/>
      <c r="AI584" s="55"/>
    </row>
    <row r="585" spans="8:35" x14ac:dyDescent="0.25">
      <c r="H585" s="53"/>
      <c r="I585" s="53"/>
      <c r="J585" s="53"/>
      <c r="K585" s="53"/>
      <c r="L585" s="53"/>
      <c r="AA585" s="54"/>
      <c r="AI585" s="55"/>
    </row>
    <row r="586" spans="8:35" x14ac:dyDescent="0.25">
      <c r="H586" s="53"/>
      <c r="I586" s="53"/>
      <c r="J586" s="53"/>
      <c r="K586" s="53"/>
      <c r="L586" s="53"/>
      <c r="AA586" s="54"/>
      <c r="AI586" s="55"/>
    </row>
    <row r="587" spans="8:35" x14ac:dyDescent="0.25">
      <c r="H587" s="53"/>
      <c r="I587" s="53"/>
      <c r="J587" s="53"/>
      <c r="K587" s="53"/>
      <c r="L587" s="53"/>
      <c r="AA587" s="54"/>
      <c r="AI587" s="55"/>
    </row>
    <row r="588" spans="8:35" x14ac:dyDescent="0.25">
      <c r="H588" s="53"/>
      <c r="I588" s="53"/>
      <c r="J588" s="53"/>
      <c r="K588" s="53"/>
      <c r="L588" s="53"/>
      <c r="AA588" s="54"/>
      <c r="AI588" s="55"/>
    </row>
    <row r="589" spans="8:35" x14ac:dyDescent="0.25">
      <c r="H589" s="53"/>
      <c r="I589" s="53"/>
      <c r="J589" s="53"/>
      <c r="K589" s="53"/>
      <c r="L589" s="53"/>
      <c r="AA589" s="54"/>
      <c r="AI589" s="55"/>
    </row>
    <row r="590" spans="8:35" x14ac:dyDescent="0.25">
      <c r="H590" s="53"/>
      <c r="I590" s="53"/>
      <c r="J590" s="53"/>
      <c r="K590" s="53"/>
      <c r="L590" s="53"/>
      <c r="AA590" s="54"/>
      <c r="AI590" s="55"/>
    </row>
    <row r="591" spans="8:35" x14ac:dyDescent="0.25">
      <c r="H591" s="53"/>
      <c r="I591" s="53"/>
      <c r="J591" s="53"/>
      <c r="K591" s="53"/>
      <c r="L591" s="53"/>
      <c r="AA591" s="54"/>
      <c r="AI591" s="55"/>
    </row>
    <row r="592" spans="8:35" x14ac:dyDescent="0.25">
      <c r="H592" s="53"/>
      <c r="I592" s="53"/>
      <c r="J592" s="53"/>
      <c r="K592" s="53"/>
      <c r="L592" s="53"/>
      <c r="AA592" s="54"/>
      <c r="AI592" s="55"/>
    </row>
    <row r="593" spans="8:35" x14ac:dyDescent="0.25">
      <c r="H593" s="53"/>
      <c r="I593" s="53"/>
      <c r="J593" s="53"/>
      <c r="K593" s="53"/>
      <c r="L593" s="53"/>
      <c r="AA593" s="54"/>
      <c r="AI593" s="55"/>
    </row>
    <row r="594" spans="8:35" x14ac:dyDescent="0.25">
      <c r="H594" s="53"/>
      <c r="I594" s="53"/>
      <c r="J594" s="53"/>
      <c r="K594" s="53"/>
      <c r="L594" s="53"/>
      <c r="AA594" s="54"/>
      <c r="AI594" s="55"/>
    </row>
    <row r="595" spans="8:35" x14ac:dyDescent="0.25">
      <c r="H595" s="53"/>
      <c r="I595" s="53"/>
      <c r="J595" s="53"/>
      <c r="K595" s="53"/>
      <c r="L595" s="53"/>
      <c r="AA595" s="54"/>
      <c r="AI595" s="55"/>
    </row>
    <row r="596" spans="8:35" x14ac:dyDescent="0.25">
      <c r="H596" s="53"/>
      <c r="I596" s="53"/>
      <c r="J596" s="53"/>
      <c r="K596" s="53"/>
      <c r="L596" s="53"/>
      <c r="AA596" s="54"/>
      <c r="AI596" s="55"/>
    </row>
    <row r="597" spans="8:35" x14ac:dyDescent="0.25">
      <c r="H597" s="53"/>
      <c r="I597" s="53"/>
      <c r="J597" s="53"/>
      <c r="K597" s="53"/>
      <c r="L597" s="53"/>
      <c r="AA597" s="54"/>
      <c r="AI597" s="55"/>
    </row>
    <row r="598" spans="8:35" x14ac:dyDescent="0.25">
      <c r="H598" s="53"/>
      <c r="I598" s="53"/>
      <c r="J598" s="53"/>
      <c r="K598" s="53"/>
      <c r="L598" s="53"/>
      <c r="AA598" s="54"/>
      <c r="AI598" s="55"/>
    </row>
    <row r="599" spans="8:35" x14ac:dyDescent="0.25">
      <c r="H599" s="53"/>
      <c r="I599" s="53"/>
      <c r="J599" s="53"/>
      <c r="K599" s="53"/>
      <c r="L599" s="53"/>
      <c r="AA599" s="54"/>
      <c r="AI599" s="55"/>
    </row>
    <row r="600" spans="8:35" x14ac:dyDescent="0.25">
      <c r="H600" s="53"/>
      <c r="I600" s="53"/>
      <c r="J600" s="53"/>
      <c r="K600" s="53"/>
      <c r="L600" s="53"/>
      <c r="AA600" s="54"/>
      <c r="AI600" s="55"/>
    </row>
    <row r="601" spans="8:35" x14ac:dyDescent="0.25">
      <c r="H601" s="53"/>
      <c r="I601" s="53"/>
      <c r="J601" s="53"/>
      <c r="K601" s="53"/>
      <c r="L601" s="53"/>
      <c r="AA601" s="54"/>
      <c r="AI601" s="55"/>
    </row>
    <row r="602" spans="8:35" x14ac:dyDescent="0.25">
      <c r="H602" s="53"/>
      <c r="I602" s="53"/>
      <c r="J602" s="53"/>
      <c r="K602" s="53"/>
      <c r="L602" s="53"/>
      <c r="AA602" s="54"/>
      <c r="AI602" s="55"/>
    </row>
    <row r="603" spans="8:35" x14ac:dyDescent="0.25">
      <c r="H603" s="53"/>
      <c r="I603" s="53"/>
      <c r="J603" s="53"/>
      <c r="K603" s="53"/>
      <c r="L603" s="53"/>
      <c r="AA603" s="54"/>
      <c r="AI603" s="55"/>
    </row>
    <row r="604" spans="8:35" x14ac:dyDescent="0.25">
      <c r="H604" s="53"/>
      <c r="I604" s="53"/>
      <c r="J604" s="53"/>
      <c r="K604" s="53"/>
      <c r="L604" s="53"/>
      <c r="AA604" s="54"/>
      <c r="AI604" s="55"/>
    </row>
    <row r="605" spans="8:35" x14ac:dyDescent="0.25">
      <c r="H605" s="53"/>
      <c r="I605" s="53"/>
      <c r="J605" s="53"/>
      <c r="K605" s="53"/>
      <c r="L605" s="53"/>
      <c r="AA605" s="54"/>
      <c r="AI605" s="55"/>
    </row>
    <row r="606" spans="8:35" x14ac:dyDescent="0.25">
      <c r="H606" s="53"/>
      <c r="I606" s="53"/>
      <c r="J606" s="53"/>
      <c r="K606" s="53"/>
      <c r="L606" s="53"/>
      <c r="AA606" s="54"/>
      <c r="AI606" s="55"/>
    </row>
    <row r="607" spans="8:35" x14ac:dyDescent="0.25">
      <c r="H607" s="53"/>
      <c r="I607" s="53"/>
      <c r="J607" s="53"/>
      <c r="K607" s="53"/>
      <c r="L607" s="53"/>
      <c r="AA607" s="54"/>
      <c r="AI607" s="55"/>
    </row>
    <row r="608" spans="8:35" x14ac:dyDescent="0.25">
      <c r="H608" s="53"/>
      <c r="I608" s="53"/>
      <c r="J608" s="53"/>
      <c r="K608" s="53"/>
      <c r="L608" s="53"/>
      <c r="AA608" s="54"/>
      <c r="AI608" s="55"/>
    </row>
    <row r="609" spans="8:35" x14ac:dyDescent="0.25">
      <c r="H609" s="53"/>
      <c r="I609" s="53"/>
      <c r="J609" s="53"/>
      <c r="K609" s="53"/>
      <c r="L609" s="53"/>
      <c r="AA609" s="54"/>
      <c r="AI609" s="55"/>
    </row>
    <row r="610" spans="8:35" x14ac:dyDescent="0.25">
      <c r="H610" s="53"/>
      <c r="I610" s="53"/>
      <c r="J610" s="53"/>
      <c r="K610" s="53"/>
      <c r="L610" s="53"/>
      <c r="AA610" s="54"/>
      <c r="AI610" s="55"/>
    </row>
    <row r="611" spans="8:35" x14ac:dyDescent="0.25">
      <c r="H611" s="53"/>
      <c r="I611" s="53"/>
      <c r="J611" s="53"/>
      <c r="K611" s="53"/>
      <c r="L611" s="53"/>
      <c r="AA611" s="54"/>
      <c r="AI611" s="55"/>
    </row>
    <row r="612" spans="8:35" x14ac:dyDescent="0.25">
      <c r="H612" s="53"/>
      <c r="I612" s="53"/>
      <c r="J612" s="53"/>
      <c r="K612" s="53"/>
      <c r="L612" s="53"/>
      <c r="AA612" s="54"/>
      <c r="AI612" s="55"/>
    </row>
    <row r="613" spans="8:35" x14ac:dyDescent="0.25">
      <c r="H613" s="53"/>
      <c r="I613" s="53"/>
      <c r="J613" s="53"/>
      <c r="K613" s="53"/>
      <c r="L613" s="53"/>
      <c r="AA613" s="54"/>
      <c r="AI613" s="55"/>
    </row>
    <row r="614" spans="8:35" x14ac:dyDescent="0.25">
      <c r="H614" s="53"/>
      <c r="I614" s="53"/>
      <c r="J614" s="53"/>
      <c r="K614" s="53"/>
      <c r="L614" s="53"/>
      <c r="AA614" s="54"/>
      <c r="AI614" s="55"/>
    </row>
    <row r="615" spans="8:35" x14ac:dyDescent="0.25">
      <c r="H615" s="53"/>
      <c r="I615" s="53"/>
      <c r="J615" s="53"/>
      <c r="K615" s="53"/>
      <c r="L615" s="53"/>
      <c r="AA615" s="54"/>
      <c r="AI615" s="55"/>
    </row>
    <row r="616" spans="8:35" x14ac:dyDescent="0.25">
      <c r="H616" s="53"/>
      <c r="I616" s="53"/>
      <c r="J616" s="53"/>
      <c r="K616" s="53"/>
      <c r="L616" s="53"/>
      <c r="AA616" s="54"/>
      <c r="AI616" s="55"/>
    </row>
    <row r="617" spans="8:35" x14ac:dyDescent="0.25">
      <c r="H617" s="53"/>
      <c r="I617" s="53"/>
      <c r="J617" s="53"/>
      <c r="K617" s="53"/>
      <c r="L617" s="53"/>
      <c r="AA617" s="54"/>
      <c r="AI617" s="55"/>
    </row>
    <row r="618" spans="8:35" x14ac:dyDescent="0.25">
      <c r="H618" s="53"/>
      <c r="I618" s="53"/>
      <c r="J618" s="53"/>
      <c r="K618" s="53"/>
      <c r="L618" s="53"/>
      <c r="AA618" s="54"/>
      <c r="AI618" s="55"/>
    </row>
    <row r="619" spans="8:35" x14ac:dyDescent="0.25">
      <c r="H619" s="53"/>
      <c r="I619" s="53"/>
      <c r="J619" s="53"/>
      <c r="K619" s="53"/>
      <c r="L619" s="53"/>
      <c r="AA619" s="54"/>
      <c r="AI619" s="55"/>
    </row>
    <row r="620" spans="8:35" x14ac:dyDescent="0.25">
      <c r="H620" s="53"/>
      <c r="I620" s="53"/>
      <c r="J620" s="53"/>
      <c r="K620" s="53"/>
      <c r="L620" s="53"/>
      <c r="AA620" s="54"/>
      <c r="AI620" s="55"/>
    </row>
    <row r="621" spans="8:35" x14ac:dyDescent="0.25">
      <c r="H621" s="53"/>
      <c r="I621" s="53"/>
      <c r="J621" s="53"/>
      <c r="K621" s="53"/>
      <c r="L621" s="53"/>
      <c r="AA621" s="54"/>
      <c r="AI621" s="55"/>
    </row>
    <row r="622" spans="8:35" x14ac:dyDescent="0.25">
      <c r="H622" s="53"/>
      <c r="I622" s="53"/>
      <c r="J622" s="53"/>
      <c r="K622" s="53"/>
      <c r="L622" s="53"/>
      <c r="AA622" s="54"/>
      <c r="AI622" s="55"/>
    </row>
    <row r="623" spans="8:35" x14ac:dyDescent="0.25">
      <c r="H623" s="53"/>
      <c r="I623" s="53"/>
      <c r="J623" s="53"/>
      <c r="K623" s="53"/>
      <c r="L623" s="53"/>
      <c r="AA623" s="54"/>
      <c r="AI623" s="55"/>
    </row>
    <row r="624" spans="8:35" x14ac:dyDescent="0.25">
      <c r="H624" s="53"/>
      <c r="I624" s="53"/>
      <c r="J624" s="53"/>
      <c r="K624" s="53"/>
      <c r="L624" s="53"/>
      <c r="AA624" s="54"/>
      <c r="AI624" s="55"/>
    </row>
    <row r="625" spans="8:35" x14ac:dyDescent="0.25">
      <c r="H625" s="53"/>
      <c r="I625" s="53"/>
      <c r="J625" s="53"/>
      <c r="K625" s="53"/>
      <c r="L625" s="53"/>
      <c r="AA625" s="54"/>
      <c r="AI625" s="55"/>
    </row>
    <row r="626" spans="8:35" x14ac:dyDescent="0.25">
      <c r="H626" s="53"/>
      <c r="I626" s="53"/>
      <c r="J626" s="53"/>
      <c r="K626" s="53"/>
      <c r="L626" s="53"/>
      <c r="AA626" s="54"/>
      <c r="AI626" s="55"/>
    </row>
    <row r="627" spans="8:35" x14ac:dyDescent="0.25">
      <c r="H627" s="53"/>
      <c r="I627" s="53"/>
      <c r="J627" s="53"/>
      <c r="K627" s="53"/>
      <c r="L627" s="53"/>
      <c r="AA627" s="54"/>
      <c r="AI627" s="55"/>
    </row>
    <row r="628" spans="8:35" x14ac:dyDescent="0.25">
      <c r="H628" s="53"/>
      <c r="I628" s="53"/>
      <c r="J628" s="53"/>
      <c r="K628" s="53"/>
      <c r="L628" s="53"/>
      <c r="AA628" s="54"/>
      <c r="AI628" s="55"/>
    </row>
    <row r="629" spans="8:35" x14ac:dyDescent="0.25">
      <c r="H629" s="53"/>
      <c r="I629" s="53"/>
      <c r="J629" s="53"/>
      <c r="K629" s="53"/>
      <c r="L629" s="53"/>
      <c r="AA629" s="54"/>
      <c r="AI629" s="55"/>
    </row>
    <row r="630" spans="8:35" x14ac:dyDescent="0.25">
      <c r="H630" s="53"/>
      <c r="I630" s="53"/>
      <c r="J630" s="53"/>
      <c r="K630" s="53"/>
      <c r="L630" s="53"/>
      <c r="AA630" s="54"/>
      <c r="AI630" s="55"/>
    </row>
    <row r="631" spans="8:35" x14ac:dyDescent="0.25">
      <c r="H631" s="53"/>
      <c r="I631" s="53"/>
      <c r="J631" s="53"/>
      <c r="K631" s="53"/>
      <c r="L631" s="53"/>
      <c r="AA631" s="54"/>
      <c r="AI631" s="55"/>
    </row>
    <row r="632" spans="8:35" x14ac:dyDescent="0.25">
      <c r="H632" s="53"/>
      <c r="I632" s="53"/>
      <c r="J632" s="53"/>
      <c r="K632" s="53"/>
      <c r="L632" s="53"/>
      <c r="AA632" s="54"/>
      <c r="AI632" s="55"/>
    </row>
    <row r="633" spans="8:35" x14ac:dyDescent="0.25">
      <c r="H633" s="53"/>
      <c r="I633" s="53"/>
      <c r="J633" s="53"/>
      <c r="K633" s="53"/>
      <c r="L633" s="53"/>
      <c r="AA633" s="54"/>
      <c r="AI633" s="55"/>
    </row>
    <row r="634" spans="8:35" x14ac:dyDescent="0.25">
      <c r="H634" s="53"/>
      <c r="I634" s="53"/>
      <c r="J634" s="53"/>
      <c r="K634" s="53"/>
      <c r="L634" s="53"/>
      <c r="AA634" s="54"/>
      <c r="AI634" s="55"/>
    </row>
    <row r="635" spans="8:35" x14ac:dyDescent="0.25">
      <c r="H635" s="53"/>
      <c r="I635" s="53"/>
      <c r="J635" s="53"/>
      <c r="K635" s="53"/>
      <c r="L635" s="53"/>
      <c r="AA635" s="54"/>
      <c r="AI635" s="55"/>
    </row>
    <row r="636" spans="8:35" x14ac:dyDescent="0.25">
      <c r="H636" s="53"/>
      <c r="I636" s="53"/>
      <c r="J636" s="53"/>
      <c r="K636" s="53"/>
      <c r="L636" s="53"/>
      <c r="AA636" s="54"/>
      <c r="AI636" s="55"/>
    </row>
    <row r="637" spans="8:35" x14ac:dyDescent="0.25">
      <c r="H637" s="53"/>
      <c r="I637" s="53"/>
      <c r="J637" s="53"/>
      <c r="K637" s="53"/>
      <c r="L637" s="53"/>
      <c r="AA637" s="54"/>
      <c r="AI637" s="55"/>
    </row>
    <row r="638" spans="8:35" x14ac:dyDescent="0.25">
      <c r="H638" s="53"/>
      <c r="I638" s="53"/>
      <c r="J638" s="53"/>
      <c r="K638" s="53"/>
      <c r="L638" s="53"/>
      <c r="AA638" s="54"/>
      <c r="AI638" s="55"/>
    </row>
    <row r="639" spans="8:35" x14ac:dyDescent="0.25">
      <c r="H639" s="53"/>
      <c r="I639" s="53"/>
      <c r="J639" s="53"/>
      <c r="K639" s="53"/>
      <c r="L639" s="53"/>
      <c r="AA639" s="54"/>
      <c r="AI639" s="55"/>
    </row>
    <row r="640" spans="8:35" x14ac:dyDescent="0.25">
      <c r="H640" s="53"/>
      <c r="I640" s="53"/>
      <c r="J640" s="53"/>
      <c r="K640" s="53"/>
      <c r="L640" s="53"/>
      <c r="AA640" s="54"/>
      <c r="AI640" s="55"/>
    </row>
    <row r="641" spans="8:35" x14ac:dyDescent="0.25">
      <c r="H641" s="53"/>
      <c r="I641" s="53"/>
      <c r="J641" s="53"/>
      <c r="K641" s="53"/>
      <c r="L641" s="53"/>
      <c r="AA641" s="54"/>
      <c r="AI641" s="55"/>
    </row>
    <row r="642" spans="8:35" x14ac:dyDescent="0.25">
      <c r="H642" s="53"/>
      <c r="I642" s="53"/>
      <c r="J642" s="53"/>
      <c r="K642" s="53"/>
      <c r="L642" s="53"/>
      <c r="AA642" s="54"/>
      <c r="AI642" s="55"/>
    </row>
    <row r="643" spans="8:35" x14ac:dyDescent="0.25">
      <c r="H643" s="53"/>
      <c r="I643" s="53"/>
      <c r="J643" s="53"/>
      <c r="K643" s="53"/>
      <c r="L643" s="53"/>
      <c r="AA643" s="54"/>
      <c r="AI643" s="55"/>
    </row>
    <row r="644" spans="8:35" x14ac:dyDescent="0.25">
      <c r="H644" s="53"/>
      <c r="I644" s="53"/>
      <c r="J644" s="53"/>
      <c r="K644" s="53"/>
      <c r="L644" s="53"/>
      <c r="AA644" s="54"/>
      <c r="AI644" s="55"/>
    </row>
    <row r="645" spans="8:35" x14ac:dyDescent="0.25">
      <c r="H645" s="53"/>
      <c r="I645" s="53"/>
      <c r="J645" s="53"/>
      <c r="K645" s="53"/>
      <c r="L645" s="53"/>
      <c r="AA645" s="54"/>
      <c r="AI645" s="55"/>
    </row>
    <row r="646" spans="8:35" x14ac:dyDescent="0.25">
      <c r="H646" s="53"/>
      <c r="I646" s="53"/>
      <c r="J646" s="53"/>
      <c r="K646" s="53"/>
      <c r="L646" s="53"/>
      <c r="AA646" s="54"/>
      <c r="AI646" s="55"/>
    </row>
    <row r="647" spans="8:35" x14ac:dyDescent="0.25">
      <c r="H647" s="53"/>
      <c r="I647" s="53"/>
      <c r="J647" s="53"/>
      <c r="K647" s="53"/>
      <c r="L647" s="53"/>
      <c r="AA647" s="54"/>
      <c r="AI647" s="55"/>
    </row>
    <row r="648" spans="8:35" x14ac:dyDescent="0.25">
      <c r="H648" s="53"/>
      <c r="I648" s="53"/>
      <c r="J648" s="53"/>
      <c r="K648" s="53"/>
      <c r="L648" s="53"/>
      <c r="AA648" s="54"/>
      <c r="AI648" s="55"/>
    </row>
    <row r="649" spans="8:35" x14ac:dyDescent="0.25">
      <c r="H649" s="53"/>
      <c r="I649" s="53"/>
      <c r="J649" s="53"/>
      <c r="K649" s="53"/>
      <c r="L649" s="53"/>
      <c r="AA649" s="54"/>
      <c r="AI649" s="55"/>
    </row>
    <row r="650" spans="8:35" x14ac:dyDescent="0.25">
      <c r="H650" s="53"/>
      <c r="I650" s="53"/>
      <c r="J650" s="53"/>
      <c r="K650" s="53"/>
      <c r="L650" s="53"/>
      <c r="AA650" s="54"/>
      <c r="AI650" s="55"/>
    </row>
    <row r="651" spans="8:35" x14ac:dyDescent="0.25">
      <c r="H651" s="53"/>
      <c r="I651" s="53"/>
      <c r="J651" s="53"/>
      <c r="K651" s="53"/>
      <c r="L651" s="53"/>
      <c r="AA651" s="54"/>
      <c r="AI651" s="55"/>
    </row>
    <row r="652" spans="8:35" x14ac:dyDescent="0.25">
      <c r="H652" s="53"/>
      <c r="I652" s="53"/>
      <c r="J652" s="53"/>
      <c r="K652" s="53"/>
      <c r="L652" s="53"/>
      <c r="AA652" s="54"/>
      <c r="AI652" s="55"/>
    </row>
    <row r="653" spans="8:35" x14ac:dyDescent="0.25">
      <c r="H653" s="53"/>
      <c r="I653" s="53"/>
      <c r="J653" s="53"/>
      <c r="K653" s="53"/>
      <c r="L653" s="53"/>
      <c r="AA653" s="54"/>
      <c r="AI653" s="55"/>
    </row>
    <row r="654" spans="8:35" x14ac:dyDescent="0.25">
      <c r="H654" s="53"/>
      <c r="I654" s="53"/>
      <c r="J654" s="53"/>
      <c r="K654" s="53"/>
      <c r="L654" s="53"/>
      <c r="AA654" s="54"/>
      <c r="AI654" s="55"/>
    </row>
    <row r="655" spans="8:35" x14ac:dyDescent="0.25">
      <c r="H655" s="53"/>
      <c r="I655" s="53"/>
      <c r="J655" s="53"/>
      <c r="K655" s="53"/>
      <c r="L655" s="53"/>
      <c r="AA655" s="54"/>
      <c r="AI655" s="55"/>
    </row>
    <row r="656" spans="8:35" x14ac:dyDescent="0.25">
      <c r="H656" s="53"/>
      <c r="I656" s="53"/>
      <c r="J656" s="53"/>
      <c r="K656" s="53"/>
      <c r="L656" s="53"/>
      <c r="AA656" s="54"/>
      <c r="AI656" s="55"/>
    </row>
    <row r="657" spans="8:35" x14ac:dyDescent="0.25">
      <c r="H657" s="53"/>
      <c r="I657" s="53"/>
      <c r="J657" s="53"/>
      <c r="K657" s="53"/>
      <c r="L657" s="53"/>
      <c r="AA657" s="54"/>
      <c r="AI657" s="55"/>
    </row>
    <row r="658" spans="8:35" x14ac:dyDescent="0.25">
      <c r="H658" s="53"/>
      <c r="I658" s="53"/>
      <c r="J658" s="53"/>
      <c r="K658" s="53"/>
      <c r="L658" s="53"/>
      <c r="AA658" s="54"/>
      <c r="AI658" s="55"/>
    </row>
    <row r="659" spans="8:35" x14ac:dyDescent="0.25">
      <c r="H659" s="53"/>
      <c r="I659" s="53"/>
      <c r="J659" s="53"/>
      <c r="K659" s="53"/>
      <c r="L659" s="53"/>
      <c r="AA659" s="54"/>
      <c r="AI659" s="55"/>
    </row>
    <row r="660" spans="8:35" x14ac:dyDescent="0.25">
      <c r="H660" s="53"/>
      <c r="I660" s="53"/>
      <c r="J660" s="53"/>
      <c r="K660" s="53"/>
      <c r="L660" s="53"/>
      <c r="AA660" s="54"/>
      <c r="AI660" s="55"/>
    </row>
    <row r="661" spans="8:35" x14ac:dyDescent="0.25">
      <c r="H661" s="53"/>
      <c r="I661" s="53"/>
      <c r="J661" s="53"/>
      <c r="K661" s="53"/>
      <c r="L661" s="53"/>
      <c r="AA661" s="54"/>
      <c r="AI661" s="55"/>
    </row>
    <row r="662" spans="8:35" x14ac:dyDescent="0.25">
      <c r="H662" s="53"/>
      <c r="I662" s="53"/>
      <c r="J662" s="53"/>
      <c r="K662" s="53"/>
      <c r="L662" s="53"/>
      <c r="AA662" s="54"/>
      <c r="AI662" s="55"/>
    </row>
    <row r="663" spans="8:35" x14ac:dyDescent="0.25">
      <c r="H663" s="53"/>
      <c r="I663" s="53"/>
      <c r="J663" s="53"/>
      <c r="K663" s="53"/>
      <c r="L663" s="53"/>
      <c r="AA663" s="54"/>
      <c r="AI663" s="55"/>
    </row>
    <row r="664" spans="8:35" x14ac:dyDescent="0.25">
      <c r="H664" s="53"/>
      <c r="I664" s="53"/>
      <c r="J664" s="53"/>
      <c r="K664" s="53"/>
      <c r="L664" s="53"/>
      <c r="AA664" s="54"/>
      <c r="AI664" s="55"/>
    </row>
    <row r="665" spans="8:35" x14ac:dyDescent="0.25">
      <c r="H665" s="53"/>
      <c r="I665" s="53"/>
      <c r="J665" s="53"/>
      <c r="K665" s="53"/>
      <c r="L665" s="53"/>
      <c r="AA665" s="54"/>
      <c r="AI665" s="55"/>
    </row>
    <row r="666" spans="8:35" x14ac:dyDescent="0.25">
      <c r="H666" s="53"/>
      <c r="I666" s="53"/>
      <c r="J666" s="53"/>
      <c r="K666" s="53"/>
      <c r="L666" s="53"/>
      <c r="AA666" s="54"/>
      <c r="AI666" s="55"/>
    </row>
    <row r="667" spans="8:35" x14ac:dyDescent="0.25">
      <c r="H667" s="53"/>
      <c r="I667" s="53"/>
      <c r="J667" s="53"/>
      <c r="K667" s="53"/>
      <c r="L667" s="53"/>
      <c r="AA667" s="54"/>
      <c r="AI667" s="55"/>
    </row>
    <row r="668" spans="8:35" x14ac:dyDescent="0.25">
      <c r="H668" s="53"/>
      <c r="I668" s="53"/>
      <c r="J668" s="53"/>
      <c r="K668" s="53"/>
      <c r="L668" s="53"/>
      <c r="AA668" s="54"/>
      <c r="AI668" s="55"/>
    </row>
    <row r="669" spans="8:35" x14ac:dyDescent="0.25">
      <c r="H669" s="53"/>
      <c r="I669" s="53"/>
      <c r="J669" s="53"/>
      <c r="K669" s="53"/>
      <c r="L669" s="53"/>
      <c r="AA669" s="54"/>
      <c r="AI669" s="55"/>
    </row>
    <row r="670" spans="8:35" x14ac:dyDescent="0.25">
      <c r="H670" s="53"/>
      <c r="I670" s="53"/>
      <c r="J670" s="53"/>
      <c r="K670" s="53"/>
      <c r="L670" s="53"/>
      <c r="AA670" s="54"/>
      <c r="AI670" s="55"/>
    </row>
    <row r="671" spans="8:35" x14ac:dyDescent="0.25">
      <c r="H671" s="53"/>
      <c r="I671" s="53"/>
      <c r="J671" s="53"/>
      <c r="K671" s="53"/>
      <c r="L671" s="53"/>
      <c r="AA671" s="54"/>
      <c r="AI671" s="55"/>
    </row>
    <row r="672" spans="8:35" x14ac:dyDescent="0.25">
      <c r="H672" s="53"/>
      <c r="I672" s="53"/>
      <c r="J672" s="53"/>
      <c r="K672" s="53"/>
      <c r="L672" s="53"/>
      <c r="AA672" s="54"/>
      <c r="AI672" s="55"/>
    </row>
    <row r="673" spans="8:35" x14ac:dyDescent="0.25">
      <c r="H673" s="53"/>
      <c r="I673" s="53"/>
      <c r="J673" s="53"/>
      <c r="K673" s="53"/>
      <c r="L673" s="53"/>
      <c r="AA673" s="54"/>
      <c r="AI673" s="55"/>
    </row>
    <row r="674" spans="8:35" x14ac:dyDescent="0.25">
      <c r="H674" s="53"/>
      <c r="I674" s="53"/>
      <c r="J674" s="53"/>
      <c r="K674" s="53"/>
      <c r="L674" s="53"/>
      <c r="AA674" s="54"/>
      <c r="AI674" s="55"/>
    </row>
    <row r="675" spans="8:35" x14ac:dyDescent="0.25">
      <c r="H675" s="53"/>
      <c r="I675" s="53"/>
      <c r="J675" s="53"/>
      <c r="K675" s="53"/>
      <c r="L675" s="53"/>
      <c r="AA675" s="54"/>
      <c r="AI675" s="55"/>
    </row>
    <row r="676" spans="8:35" x14ac:dyDescent="0.25">
      <c r="H676" s="53"/>
      <c r="I676" s="53"/>
      <c r="J676" s="53"/>
      <c r="K676" s="53"/>
      <c r="L676" s="53"/>
      <c r="AA676" s="54"/>
      <c r="AI676" s="55"/>
    </row>
    <row r="677" spans="8:35" x14ac:dyDescent="0.25">
      <c r="H677" s="53"/>
      <c r="I677" s="53"/>
      <c r="J677" s="53"/>
      <c r="K677" s="53"/>
      <c r="L677" s="53"/>
      <c r="AA677" s="54"/>
      <c r="AI677" s="55"/>
    </row>
    <row r="678" spans="8:35" x14ac:dyDescent="0.25">
      <c r="H678" s="53"/>
      <c r="I678" s="53"/>
      <c r="J678" s="53"/>
      <c r="K678" s="53"/>
      <c r="L678" s="53"/>
      <c r="AA678" s="54"/>
      <c r="AI678" s="55"/>
    </row>
    <row r="679" spans="8:35" x14ac:dyDescent="0.25">
      <c r="H679" s="53"/>
      <c r="I679" s="53"/>
      <c r="J679" s="53"/>
      <c r="K679" s="53"/>
      <c r="L679" s="53"/>
      <c r="AA679" s="54"/>
      <c r="AI679" s="55"/>
    </row>
    <row r="680" spans="8:35" x14ac:dyDescent="0.25">
      <c r="H680" s="53"/>
      <c r="I680" s="53"/>
      <c r="J680" s="53"/>
      <c r="K680" s="53"/>
      <c r="L680" s="53"/>
      <c r="AA680" s="54"/>
      <c r="AI680" s="55"/>
    </row>
    <row r="681" spans="8:35" x14ac:dyDescent="0.25">
      <c r="H681" s="53"/>
      <c r="I681" s="53"/>
      <c r="J681" s="53"/>
      <c r="K681" s="53"/>
      <c r="L681" s="53"/>
      <c r="AA681" s="54"/>
      <c r="AI681" s="55"/>
    </row>
    <row r="682" spans="8:35" x14ac:dyDescent="0.25">
      <c r="H682" s="53"/>
      <c r="I682" s="53"/>
      <c r="J682" s="53"/>
      <c r="K682" s="53"/>
      <c r="L682" s="53"/>
      <c r="AA682" s="54"/>
      <c r="AI682" s="55"/>
    </row>
    <row r="683" spans="8:35" x14ac:dyDescent="0.25">
      <c r="H683" s="53"/>
      <c r="I683" s="53"/>
      <c r="J683" s="53"/>
      <c r="K683" s="53"/>
      <c r="L683" s="53"/>
      <c r="AA683" s="54"/>
      <c r="AI683" s="55"/>
    </row>
    <row r="684" spans="8:35" x14ac:dyDescent="0.25">
      <c r="H684" s="53"/>
      <c r="I684" s="53"/>
      <c r="J684" s="53"/>
      <c r="K684" s="53"/>
      <c r="L684" s="53"/>
      <c r="AA684" s="54"/>
      <c r="AI684" s="55"/>
    </row>
    <row r="685" spans="8:35" x14ac:dyDescent="0.25">
      <c r="H685" s="53"/>
      <c r="I685" s="53"/>
      <c r="J685" s="53"/>
      <c r="K685" s="53"/>
      <c r="L685" s="53"/>
      <c r="AA685" s="54"/>
      <c r="AI685" s="55"/>
    </row>
    <row r="686" spans="8:35" x14ac:dyDescent="0.25">
      <c r="H686" s="53"/>
      <c r="I686" s="53"/>
      <c r="J686" s="53"/>
      <c r="K686" s="53"/>
      <c r="L686" s="53"/>
      <c r="AA686" s="54"/>
      <c r="AI686" s="55"/>
    </row>
    <row r="687" spans="8:35" x14ac:dyDescent="0.25">
      <c r="H687" s="53"/>
      <c r="I687" s="53"/>
      <c r="J687" s="53"/>
      <c r="K687" s="53"/>
      <c r="L687" s="53"/>
      <c r="AA687" s="54"/>
      <c r="AI687" s="55"/>
    </row>
    <row r="688" spans="8:35" x14ac:dyDescent="0.25">
      <c r="H688" s="53"/>
      <c r="I688" s="53"/>
      <c r="J688" s="53"/>
      <c r="K688" s="53"/>
      <c r="L688" s="53"/>
      <c r="AA688" s="54"/>
      <c r="AI688" s="55"/>
    </row>
    <row r="689" spans="8:35" x14ac:dyDescent="0.25">
      <c r="H689" s="53"/>
      <c r="I689" s="53"/>
      <c r="J689" s="53"/>
      <c r="K689" s="53"/>
      <c r="L689" s="53"/>
      <c r="AA689" s="54"/>
      <c r="AI689" s="55"/>
    </row>
    <row r="690" spans="8:35" x14ac:dyDescent="0.25">
      <c r="H690" s="53"/>
      <c r="I690" s="53"/>
      <c r="J690" s="53"/>
      <c r="K690" s="53"/>
      <c r="L690" s="53"/>
      <c r="AA690" s="54"/>
      <c r="AI690" s="55"/>
    </row>
    <row r="691" spans="8:35" x14ac:dyDescent="0.25">
      <c r="H691" s="53"/>
      <c r="I691" s="53"/>
      <c r="J691" s="53"/>
      <c r="K691" s="53"/>
      <c r="L691" s="53"/>
      <c r="AA691" s="54"/>
      <c r="AI691" s="55"/>
    </row>
    <row r="692" spans="8:35" x14ac:dyDescent="0.25">
      <c r="H692" s="53"/>
      <c r="I692" s="53"/>
      <c r="J692" s="53"/>
      <c r="K692" s="53"/>
      <c r="L692" s="53"/>
      <c r="AA692" s="54"/>
      <c r="AI692" s="55"/>
    </row>
    <row r="693" spans="8:35" x14ac:dyDescent="0.25">
      <c r="H693" s="53"/>
      <c r="I693" s="53"/>
      <c r="J693" s="53"/>
      <c r="K693" s="53"/>
      <c r="L693" s="53"/>
      <c r="AA693" s="54"/>
      <c r="AI693" s="55"/>
    </row>
    <row r="694" spans="8:35" x14ac:dyDescent="0.25">
      <c r="H694" s="53"/>
      <c r="I694" s="53"/>
      <c r="J694" s="53"/>
      <c r="K694" s="53"/>
      <c r="L694" s="53"/>
      <c r="AA694" s="54"/>
      <c r="AI694" s="55"/>
    </row>
    <row r="695" spans="8:35" x14ac:dyDescent="0.25">
      <c r="H695" s="53"/>
      <c r="I695" s="53"/>
      <c r="J695" s="53"/>
      <c r="K695" s="53"/>
      <c r="L695" s="53"/>
      <c r="AA695" s="54"/>
      <c r="AI695" s="55"/>
    </row>
  </sheetData>
  <mergeCells count="26">
    <mergeCell ref="A13:C13"/>
    <mergeCell ref="F13:H13"/>
    <mergeCell ref="A7:G7"/>
    <mergeCell ref="A8:L8"/>
    <mergeCell ref="A10:L10"/>
    <mergeCell ref="A11:L11"/>
    <mergeCell ref="A12:C12"/>
    <mergeCell ref="F12:H12"/>
    <mergeCell ref="B5:F5"/>
    <mergeCell ref="G5:H5"/>
    <mergeCell ref="I5:J5"/>
    <mergeCell ref="B6:F6"/>
    <mergeCell ref="G6:H6"/>
    <mergeCell ref="I6:J6"/>
    <mergeCell ref="B3:F3"/>
    <mergeCell ref="G3:H3"/>
    <mergeCell ref="I3:J3"/>
    <mergeCell ref="B4:F4"/>
    <mergeCell ref="G4:H4"/>
    <mergeCell ref="I4:J4"/>
    <mergeCell ref="B1:F1"/>
    <mergeCell ref="G1:H1"/>
    <mergeCell ref="I1:J1"/>
    <mergeCell ref="B2:F2"/>
    <mergeCell ref="G2:H2"/>
    <mergeCell ref="I2:J2"/>
  </mergeCells>
  <phoneticPr fontId="22" type="noConversion"/>
  <dataValidations count="10">
    <dataValidation type="list" allowBlank="1" showInputMessage="1" showErrorMessage="1" sqref="B4:F4 E17:E216" xr:uid="{98A3A720-CEAF-434D-B2BB-17F62C799C13}">
      <formula1>"AL,AK,AZ,AR,CA,CO,CT,DE,FL,GA,HI,ID,IL,IN,IA,KS,KY,LA,ME,MD,MA,MI,MN,MS,MO,MT,NE,NV,NH,NJ,NM,NY,NC,ND,OH,OK,OR,PA,RI,SC,SD,TN,TX,UT,VT,VA,WA,WV,WI,WY,DC"</formula1>
    </dataValidation>
    <dataValidation type="list" allowBlank="1" showInputMessage="1" showErrorMessage="1" sqref="H7 U17:U216 AN17:AP216 AG17:AG216 Y17:Y216 AD17:AE216 AS17:AS216" xr:uid="{F018DF7A-0CF0-42D0-ABA1-C68C36925156}">
      <formula1>"Yes,No"</formula1>
    </dataValidation>
    <dataValidation type="list" allowBlank="1" showInputMessage="1" showErrorMessage="1" sqref="Q17:Q216" xr:uid="{C16202F8-5A2C-4A39-8497-B90B1714A334}">
      <formula1>"Frame,Joisted Masonry,Non-Combustible,Steel Frame"</formula1>
    </dataValidation>
    <dataValidation type="list" allowBlank="1" showInputMessage="1" showErrorMessage="1" sqref="V17:V216" xr:uid="{85D689AE-ED11-4BEF-8BBC-8FE189AFD94F}">
      <formula1>"Asphalt shingles,Built-up roof with gravel,Clay/concrete tiles,Light metal panels,Rubber membrane"</formula1>
    </dataValidation>
    <dataValidation type="list" allowBlank="1" showInputMessage="1" showErrorMessage="1" sqref="X17:X216" xr:uid="{4B4B08F4-C3FD-447E-BF74-7B2325A90EC9}">
      <formula1>"Copper,Pigtailed,COPALUM,Co/ALR,Not Applicable"</formula1>
    </dataValidation>
    <dataValidation type="list" allowBlank="1" showInputMessage="1" showErrorMessage="1" sqref="Z17:Z216" xr:uid="{077CBBA6-6F2C-4B9B-9B90-A72A1B1B33C5}">
      <formula1>"AC Units on Roof,AC Units on Ground"</formula1>
    </dataValidation>
    <dataValidation type="list" allowBlank="1" showInputMessage="1" showErrorMessage="1" sqref="AM17:AM216" xr:uid="{D6DF77F9-142C-4823-B199-B43EE23464D8}">
      <formula1>"Yes - All Areas,Yes - Common Areas,No"</formula1>
    </dataValidation>
    <dataValidation type="textLength" operator="equal" allowBlank="1" showInputMessage="1" showErrorMessage="1" error="5 Digit Postal Code Required" sqref="B5:F5 F17:F216" xr:uid="{29A102F3-5F98-47C5-9747-47D6D34103EA}">
      <formula1>5</formula1>
    </dataValidation>
    <dataValidation type="list" allowBlank="1" showInputMessage="1" showErrorMessage="1" sqref="AF17:AF216" xr:uid="{3E70A5FC-F09B-48D5-8D3E-5B3C7F278237}">
      <formula1>"Not Applicable,Assisted Living,Senior Housing 55 yrs +,Student Housing,Subsidized Housing"</formula1>
    </dataValidation>
    <dataValidation type="list" allowBlank="1" showInputMessage="1" showErrorMessage="1" sqref="AC17:AC216" xr:uid="{83756885-E130-4545-B184-7CE38D3C8D84}">
      <formula1>"Garden Style,Townhouse,Tower,Multiplex,Mixed Use Apartment/Commercial Retail,Corporate Office"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ABEF1-848A-4120-A2C1-C4523D3E454D}">
  <dimension ref="A1:U998"/>
  <sheetViews>
    <sheetView workbookViewId="0">
      <selection activeCell="C25" sqref="C25"/>
    </sheetView>
  </sheetViews>
  <sheetFormatPr defaultColWidth="9" defaultRowHeight="12" x14ac:dyDescent="0.2"/>
  <cols>
    <col min="1" max="1" width="26.7109375" style="1" bestFit="1" customWidth="1"/>
    <col min="2" max="2" width="18" style="1" bestFit="1" customWidth="1"/>
    <col min="3" max="3" width="23.28515625" style="2" bestFit="1" customWidth="1"/>
    <col min="4" max="4" width="7.85546875" style="2" customWidth="1"/>
    <col min="5" max="5" width="15.85546875" style="2" bestFit="1" customWidth="1"/>
    <col min="6" max="6" width="10.7109375" style="3" bestFit="1" customWidth="1"/>
    <col min="7" max="7" width="8" style="2" customWidth="1"/>
    <col min="8" max="8" width="5.42578125" style="2" customWidth="1"/>
    <col min="9" max="9" width="22.85546875" style="1" bestFit="1" customWidth="1"/>
    <col min="10" max="10" width="11.42578125" style="68" customWidth="1"/>
    <col min="11" max="11" width="7.5703125" style="69" customWidth="1"/>
    <col min="12" max="12" width="8.42578125" style="69" customWidth="1"/>
    <col min="13" max="13" width="8.140625" style="70" customWidth="1"/>
    <col min="14" max="14" width="9.85546875" style="69" customWidth="1"/>
    <col min="15" max="15" width="8.7109375" style="69" customWidth="1"/>
    <col min="16" max="16" width="7.42578125" style="2" customWidth="1"/>
    <col min="17" max="17" width="12.5703125" style="71" customWidth="1"/>
    <col min="18" max="18" width="9.28515625" style="2" customWidth="1"/>
    <col min="19" max="19" width="10.42578125" style="69" customWidth="1"/>
    <col min="20" max="20" width="9.42578125" style="2" customWidth="1"/>
    <col min="21" max="21" width="11" style="69" customWidth="1"/>
    <col min="22" max="256" width="9" style="2"/>
    <col min="257" max="257" width="7.140625" style="2" customWidth="1"/>
    <col min="258" max="258" width="14.42578125" style="2" customWidth="1"/>
    <col min="259" max="259" width="18.28515625" style="2" customWidth="1"/>
    <col min="260" max="260" width="7.85546875" style="2" customWidth="1"/>
    <col min="261" max="261" width="13.5703125" style="2" customWidth="1"/>
    <col min="262" max="262" width="10.140625" style="2" customWidth="1"/>
    <col min="263" max="263" width="8" style="2" customWidth="1"/>
    <col min="264" max="264" width="5.42578125" style="2" customWidth="1"/>
    <col min="265" max="265" width="14.42578125" style="2" customWidth="1"/>
    <col min="266" max="266" width="11.42578125" style="2" customWidth="1"/>
    <col min="267" max="267" width="7.5703125" style="2" customWidth="1"/>
    <col min="268" max="268" width="8.42578125" style="2" customWidth="1"/>
    <col min="269" max="269" width="8.140625" style="2" customWidth="1"/>
    <col min="270" max="270" width="9.85546875" style="2" customWidth="1"/>
    <col min="271" max="271" width="8.7109375" style="2" customWidth="1"/>
    <col min="272" max="272" width="7.42578125" style="2" customWidth="1"/>
    <col min="273" max="273" width="12.5703125" style="2" customWidth="1"/>
    <col min="274" max="274" width="9.28515625" style="2" customWidth="1"/>
    <col min="275" max="275" width="10.42578125" style="2" customWidth="1"/>
    <col min="276" max="276" width="9.42578125" style="2" customWidth="1"/>
    <col min="277" max="277" width="11" style="2" customWidth="1"/>
    <col min="278" max="512" width="9" style="2"/>
    <col min="513" max="513" width="7.140625" style="2" customWidth="1"/>
    <col min="514" max="514" width="14.42578125" style="2" customWidth="1"/>
    <col min="515" max="515" width="18.28515625" style="2" customWidth="1"/>
    <col min="516" max="516" width="7.85546875" style="2" customWidth="1"/>
    <col min="517" max="517" width="13.5703125" style="2" customWidth="1"/>
    <col min="518" max="518" width="10.140625" style="2" customWidth="1"/>
    <col min="519" max="519" width="8" style="2" customWidth="1"/>
    <col min="520" max="520" width="5.42578125" style="2" customWidth="1"/>
    <col min="521" max="521" width="14.42578125" style="2" customWidth="1"/>
    <col min="522" max="522" width="11.42578125" style="2" customWidth="1"/>
    <col min="523" max="523" width="7.5703125" style="2" customWidth="1"/>
    <col min="524" max="524" width="8.42578125" style="2" customWidth="1"/>
    <col min="525" max="525" width="8.140625" style="2" customWidth="1"/>
    <col min="526" max="526" width="9.85546875" style="2" customWidth="1"/>
    <col min="527" max="527" width="8.7109375" style="2" customWidth="1"/>
    <col min="528" max="528" width="7.42578125" style="2" customWidth="1"/>
    <col min="529" max="529" width="12.5703125" style="2" customWidth="1"/>
    <col min="530" max="530" width="9.28515625" style="2" customWidth="1"/>
    <col min="531" max="531" width="10.42578125" style="2" customWidth="1"/>
    <col min="532" max="532" width="9.42578125" style="2" customWidth="1"/>
    <col min="533" max="533" width="11" style="2" customWidth="1"/>
    <col min="534" max="768" width="9" style="2"/>
    <col min="769" max="769" width="7.140625" style="2" customWidth="1"/>
    <col min="770" max="770" width="14.42578125" style="2" customWidth="1"/>
    <col min="771" max="771" width="18.28515625" style="2" customWidth="1"/>
    <col min="772" max="772" width="7.85546875" style="2" customWidth="1"/>
    <col min="773" max="773" width="13.5703125" style="2" customWidth="1"/>
    <col min="774" max="774" width="10.140625" style="2" customWidth="1"/>
    <col min="775" max="775" width="8" style="2" customWidth="1"/>
    <col min="776" max="776" width="5.42578125" style="2" customWidth="1"/>
    <col min="777" max="777" width="14.42578125" style="2" customWidth="1"/>
    <col min="778" max="778" width="11.42578125" style="2" customWidth="1"/>
    <col min="779" max="779" width="7.5703125" style="2" customWidth="1"/>
    <col min="780" max="780" width="8.42578125" style="2" customWidth="1"/>
    <col min="781" max="781" width="8.140625" style="2" customWidth="1"/>
    <col min="782" max="782" width="9.85546875" style="2" customWidth="1"/>
    <col min="783" max="783" width="8.7109375" style="2" customWidth="1"/>
    <col min="784" max="784" width="7.42578125" style="2" customWidth="1"/>
    <col min="785" max="785" width="12.5703125" style="2" customWidth="1"/>
    <col min="786" max="786" width="9.28515625" style="2" customWidth="1"/>
    <col min="787" max="787" width="10.42578125" style="2" customWidth="1"/>
    <col min="788" max="788" width="9.42578125" style="2" customWidth="1"/>
    <col min="789" max="789" width="11" style="2" customWidth="1"/>
    <col min="790" max="1024" width="9" style="2"/>
    <col min="1025" max="1025" width="7.140625" style="2" customWidth="1"/>
    <col min="1026" max="1026" width="14.42578125" style="2" customWidth="1"/>
    <col min="1027" max="1027" width="18.28515625" style="2" customWidth="1"/>
    <col min="1028" max="1028" width="7.85546875" style="2" customWidth="1"/>
    <col min="1029" max="1029" width="13.5703125" style="2" customWidth="1"/>
    <col min="1030" max="1030" width="10.140625" style="2" customWidth="1"/>
    <col min="1031" max="1031" width="8" style="2" customWidth="1"/>
    <col min="1032" max="1032" width="5.42578125" style="2" customWidth="1"/>
    <col min="1033" max="1033" width="14.42578125" style="2" customWidth="1"/>
    <col min="1034" max="1034" width="11.42578125" style="2" customWidth="1"/>
    <col min="1035" max="1035" width="7.5703125" style="2" customWidth="1"/>
    <col min="1036" max="1036" width="8.42578125" style="2" customWidth="1"/>
    <col min="1037" max="1037" width="8.140625" style="2" customWidth="1"/>
    <col min="1038" max="1038" width="9.85546875" style="2" customWidth="1"/>
    <col min="1039" max="1039" width="8.7109375" style="2" customWidth="1"/>
    <col min="1040" max="1040" width="7.42578125" style="2" customWidth="1"/>
    <col min="1041" max="1041" width="12.5703125" style="2" customWidth="1"/>
    <col min="1042" max="1042" width="9.28515625" style="2" customWidth="1"/>
    <col min="1043" max="1043" width="10.42578125" style="2" customWidth="1"/>
    <col min="1044" max="1044" width="9.42578125" style="2" customWidth="1"/>
    <col min="1045" max="1045" width="11" style="2" customWidth="1"/>
    <col min="1046" max="1280" width="9" style="2"/>
    <col min="1281" max="1281" width="7.140625" style="2" customWidth="1"/>
    <col min="1282" max="1282" width="14.42578125" style="2" customWidth="1"/>
    <col min="1283" max="1283" width="18.28515625" style="2" customWidth="1"/>
    <col min="1284" max="1284" width="7.85546875" style="2" customWidth="1"/>
    <col min="1285" max="1285" width="13.5703125" style="2" customWidth="1"/>
    <col min="1286" max="1286" width="10.140625" style="2" customWidth="1"/>
    <col min="1287" max="1287" width="8" style="2" customWidth="1"/>
    <col min="1288" max="1288" width="5.42578125" style="2" customWidth="1"/>
    <col min="1289" max="1289" width="14.42578125" style="2" customWidth="1"/>
    <col min="1290" max="1290" width="11.42578125" style="2" customWidth="1"/>
    <col min="1291" max="1291" width="7.5703125" style="2" customWidth="1"/>
    <col min="1292" max="1292" width="8.42578125" style="2" customWidth="1"/>
    <col min="1293" max="1293" width="8.140625" style="2" customWidth="1"/>
    <col min="1294" max="1294" width="9.85546875" style="2" customWidth="1"/>
    <col min="1295" max="1295" width="8.7109375" style="2" customWidth="1"/>
    <col min="1296" max="1296" width="7.42578125" style="2" customWidth="1"/>
    <col min="1297" max="1297" width="12.5703125" style="2" customWidth="1"/>
    <col min="1298" max="1298" width="9.28515625" style="2" customWidth="1"/>
    <col min="1299" max="1299" width="10.42578125" style="2" customWidth="1"/>
    <col min="1300" max="1300" width="9.42578125" style="2" customWidth="1"/>
    <col min="1301" max="1301" width="11" style="2" customWidth="1"/>
    <col min="1302" max="1536" width="9" style="2"/>
    <col min="1537" max="1537" width="7.140625" style="2" customWidth="1"/>
    <col min="1538" max="1538" width="14.42578125" style="2" customWidth="1"/>
    <col min="1539" max="1539" width="18.28515625" style="2" customWidth="1"/>
    <col min="1540" max="1540" width="7.85546875" style="2" customWidth="1"/>
    <col min="1541" max="1541" width="13.5703125" style="2" customWidth="1"/>
    <col min="1542" max="1542" width="10.140625" style="2" customWidth="1"/>
    <col min="1543" max="1543" width="8" style="2" customWidth="1"/>
    <col min="1544" max="1544" width="5.42578125" style="2" customWidth="1"/>
    <col min="1545" max="1545" width="14.42578125" style="2" customWidth="1"/>
    <col min="1546" max="1546" width="11.42578125" style="2" customWidth="1"/>
    <col min="1547" max="1547" width="7.5703125" style="2" customWidth="1"/>
    <col min="1548" max="1548" width="8.42578125" style="2" customWidth="1"/>
    <col min="1549" max="1549" width="8.140625" style="2" customWidth="1"/>
    <col min="1550" max="1550" width="9.85546875" style="2" customWidth="1"/>
    <col min="1551" max="1551" width="8.7109375" style="2" customWidth="1"/>
    <col min="1552" max="1552" width="7.42578125" style="2" customWidth="1"/>
    <col min="1553" max="1553" width="12.5703125" style="2" customWidth="1"/>
    <col min="1554" max="1554" width="9.28515625" style="2" customWidth="1"/>
    <col min="1555" max="1555" width="10.42578125" style="2" customWidth="1"/>
    <col min="1556" max="1556" width="9.42578125" style="2" customWidth="1"/>
    <col min="1557" max="1557" width="11" style="2" customWidth="1"/>
    <col min="1558" max="1792" width="9" style="2"/>
    <col min="1793" max="1793" width="7.140625" style="2" customWidth="1"/>
    <col min="1794" max="1794" width="14.42578125" style="2" customWidth="1"/>
    <col min="1795" max="1795" width="18.28515625" style="2" customWidth="1"/>
    <col min="1796" max="1796" width="7.85546875" style="2" customWidth="1"/>
    <col min="1797" max="1797" width="13.5703125" style="2" customWidth="1"/>
    <col min="1798" max="1798" width="10.140625" style="2" customWidth="1"/>
    <col min="1799" max="1799" width="8" style="2" customWidth="1"/>
    <col min="1800" max="1800" width="5.42578125" style="2" customWidth="1"/>
    <col min="1801" max="1801" width="14.42578125" style="2" customWidth="1"/>
    <col min="1802" max="1802" width="11.42578125" style="2" customWidth="1"/>
    <col min="1803" max="1803" width="7.5703125" style="2" customWidth="1"/>
    <col min="1804" max="1804" width="8.42578125" style="2" customWidth="1"/>
    <col min="1805" max="1805" width="8.140625" style="2" customWidth="1"/>
    <col min="1806" max="1806" width="9.85546875" style="2" customWidth="1"/>
    <col min="1807" max="1807" width="8.7109375" style="2" customWidth="1"/>
    <col min="1808" max="1808" width="7.42578125" style="2" customWidth="1"/>
    <col min="1809" max="1809" width="12.5703125" style="2" customWidth="1"/>
    <col min="1810" max="1810" width="9.28515625" style="2" customWidth="1"/>
    <col min="1811" max="1811" width="10.42578125" style="2" customWidth="1"/>
    <col min="1812" max="1812" width="9.42578125" style="2" customWidth="1"/>
    <col min="1813" max="1813" width="11" style="2" customWidth="1"/>
    <col min="1814" max="2048" width="9" style="2"/>
    <col min="2049" max="2049" width="7.140625" style="2" customWidth="1"/>
    <col min="2050" max="2050" width="14.42578125" style="2" customWidth="1"/>
    <col min="2051" max="2051" width="18.28515625" style="2" customWidth="1"/>
    <col min="2052" max="2052" width="7.85546875" style="2" customWidth="1"/>
    <col min="2053" max="2053" width="13.5703125" style="2" customWidth="1"/>
    <col min="2054" max="2054" width="10.140625" style="2" customWidth="1"/>
    <col min="2055" max="2055" width="8" style="2" customWidth="1"/>
    <col min="2056" max="2056" width="5.42578125" style="2" customWidth="1"/>
    <col min="2057" max="2057" width="14.42578125" style="2" customWidth="1"/>
    <col min="2058" max="2058" width="11.42578125" style="2" customWidth="1"/>
    <col min="2059" max="2059" width="7.5703125" style="2" customWidth="1"/>
    <col min="2060" max="2060" width="8.42578125" style="2" customWidth="1"/>
    <col min="2061" max="2061" width="8.140625" style="2" customWidth="1"/>
    <col min="2062" max="2062" width="9.85546875" style="2" customWidth="1"/>
    <col min="2063" max="2063" width="8.7109375" style="2" customWidth="1"/>
    <col min="2064" max="2064" width="7.42578125" style="2" customWidth="1"/>
    <col min="2065" max="2065" width="12.5703125" style="2" customWidth="1"/>
    <col min="2066" max="2066" width="9.28515625" style="2" customWidth="1"/>
    <col min="2067" max="2067" width="10.42578125" style="2" customWidth="1"/>
    <col min="2068" max="2068" width="9.42578125" style="2" customWidth="1"/>
    <col min="2069" max="2069" width="11" style="2" customWidth="1"/>
    <col min="2070" max="2304" width="9" style="2"/>
    <col min="2305" max="2305" width="7.140625" style="2" customWidth="1"/>
    <col min="2306" max="2306" width="14.42578125" style="2" customWidth="1"/>
    <col min="2307" max="2307" width="18.28515625" style="2" customWidth="1"/>
    <col min="2308" max="2308" width="7.85546875" style="2" customWidth="1"/>
    <col min="2309" max="2309" width="13.5703125" style="2" customWidth="1"/>
    <col min="2310" max="2310" width="10.140625" style="2" customWidth="1"/>
    <col min="2311" max="2311" width="8" style="2" customWidth="1"/>
    <col min="2312" max="2312" width="5.42578125" style="2" customWidth="1"/>
    <col min="2313" max="2313" width="14.42578125" style="2" customWidth="1"/>
    <col min="2314" max="2314" width="11.42578125" style="2" customWidth="1"/>
    <col min="2315" max="2315" width="7.5703125" style="2" customWidth="1"/>
    <col min="2316" max="2316" width="8.42578125" style="2" customWidth="1"/>
    <col min="2317" max="2317" width="8.140625" style="2" customWidth="1"/>
    <col min="2318" max="2318" width="9.85546875" style="2" customWidth="1"/>
    <col min="2319" max="2319" width="8.7109375" style="2" customWidth="1"/>
    <col min="2320" max="2320" width="7.42578125" style="2" customWidth="1"/>
    <col min="2321" max="2321" width="12.5703125" style="2" customWidth="1"/>
    <col min="2322" max="2322" width="9.28515625" style="2" customWidth="1"/>
    <col min="2323" max="2323" width="10.42578125" style="2" customWidth="1"/>
    <col min="2324" max="2324" width="9.42578125" style="2" customWidth="1"/>
    <col min="2325" max="2325" width="11" style="2" customWidth="1"/>
    <col min="2326" max="2560" width="9" style="2"/>
    <col min="2561" max="2561" width="7.140625" style="2" customWidth="1"/>
    <col min="2562" max="2562" width="14.42578125" style="2" customWidth="1"/>
    <col min="2563" max="2563" width="18.28515625" style="2" customWidth="1"/>
    <col min="2564" max="2564" width="7.85546875" style="2" customWidth="1"/>
    <col min="2565" max="2565" width="13.5703125" style="2" customWidth="1"/>
    <col min="2566" max="2566" width="10.140625" style="2" customWidth="1"/>
    <col min="2567" max="2567" width="8" style="2" customWidth="1"/>
    <col min="2568" max="2568" width="5.42578125" style="2" customWidth="1"/>
    <col min="2569" max="2569" width="14.42578125" style="2" customWidth="1"/>
    <col min="2570" max="2570" width="11.42578125" style="2" customWidth="1"/>
    <col min="2571" max="2571" width="7.5703125" style="2" customWidth="1"/>
    <col min="2572" max="2572" width="8.42578125" style="2" customWidth="1"/>
    <col min="2573" max="2573" width="8.140625" style="2" customWidth="1"/>
    <col min="2574" max="2574" width="9.85546875" style="2" customWidth="1"/>
    <col min="2575" max="2575" width="8.7109375" style="2" customWidth="1"/>
    <col min="2576" max="2576" width="7.42578125" style="2" customWidth="1"/>
    <col min="2577" max="2577" width="12.5703125" style="2" customWidth="1"/>
    <col min="2578" max="2578" width="9.28515625" style="2" customWidth="1"/>
    <col min="2579" max="2579" width="10.42578125" style="2" customWidth="1"/>
    <col min="2580" max="2580" width="9.42578125" style="2" customWidth="1"/>
    <col min="2581" max="2581" width="11" style="2" customWidth="1"/>
    <col min="2582" max="2816" width="9" style="2"/>
    <col min="2817" max="2817" width="7.140625" style="2" customWidth="1"/>
    <col min="2818" max="2818" width="14.42578125" style="2" customWidth="1"/>
    <col min="2819" max="2819" width="18.28515625" style="2" customWidth="1"/>
    <col min="2820" max="2820" width="7.85546875" style="2" customWidth="1"/>
    <col min="2821" max="2821" width="13.5703125" style="2" customWidth="1"/>
    <col min="2822" max="2822" width="10.140625" style="2" customWidth="1"/>
    <col min="2823" max="2823" width="8" style="2" customWidth="1"/>
    <col min="2824" max="2824" width="5.42578125" style="2" customWidth="1"/>
    <col min="2825" max="2825" width="14.42578125" style="2" customWidth="1"/>
    <col min="2826" max="2826" width="11.42578125" style="2" customWidth="1"/>
    <col min="2827" max="2827" width="7.5703125" style="2" customWidth="1"/>
    <col min="2828" max="2828" width="8.42578125" style="2" customWidth="1"/>
    <col min="2829" max="2829" width="8.140625" style="2" customWidth="1"/>
    <col min="2830" max="2830" width="9.85546875" style="2" customWidth="1"/>
    <col min="2831" max="2831" width="8.7109375" style="2" customWidth="1"/>
    <col min="2832" max="2832" width="7.42578125" style="2" customWidth="1"/>
    <col min="2833" max="2833" width="12.5703125" style="2" customWidth="1"/>
    <col min="2834" max="2834" width="9.28515625" style="2" customWidth="1"/>
    <col min="2835" max="2835" width="10.42578125" style="2" customWidth="1"/>
    <col min="2836" max="2836" width="9.42578125" style="2" customWidth="1"/>
    <col min="2837" max="2837" width="11" style="2" customWidth="1"/>
    <col min="2838" max="3072" width="9" style="2"/>
    <col min="3073" max="3073" width="7.140625" style="2" customWidth="1"/>
    <col min="3074" max="3074" width="14.42578125" style="2" customWidth="1"/>
    <col min="3075" max="3075" width="18.28515625" style="2" customWidth="1"/>
    <col min="3076" max="3076" width="7.85546875" style="2" customWidth="1"/>
    <col min="3077" max="3077" width="13.5703125" style="2" customWidth="1"/>
    <col min="3078" max="3078" width="10.140625" style="2" customWidth="1"/>
    <col min="3079" max="3079" width="8" style="2" customWidth="1"/>
    <col min="3080" max="3080" width="5.42578125" style="2" customWidth="1"/>
    <col min="3081" max="3081" width="14.42578125" style="2" customWidth="1"/>
    <col min="3082" max="3082" width="11.42578125" style="2" customWidth="1"/>
    <col min="3083" max="3083" width="7.5703125" style="2" customWidth="1"/>
    <col min="3084" max="3084" width="8.42578125" style="2" customWidth="1"/>
    <col min="3085" max="3085" width="8.140625" style="2" customWidth="1"/>
    <col min="3086" max="3086" width="9.85546875" style="2" customWidth="1"/>
    <col min="3087" max="3087" width="8.7109375" style="2" customWidth="1"/>
    <col min="3088" max="3088" width="7.42578125" style="2" customWidth="1"/>
    <col min="3089" max="3089" width="12.5703125" style="2" customWidth="1"/>
    <col min="3090" max="3090" width="9.28515625" style="2" customWidth="1"/>
    <col min="3091" max="3091" width="10.42578125" style="2" customWidth="1"/>
    <col min="3092" max="3092" width="9.42578125" style="2" customWidth="1"/>
    <col min="3093" max="3093" width="11" style="2" customWidth="1"/>
    <col min="3094" max="3328" width="9" style="2"/>
    <col min="3329" max="3329" width="7.140625" style="2" customWidth="1"/>
    <col min="3330" max="3330" width="14.42578125" style="2" customWidth="1"/>
    <col min="3331" max="3331" width="18.28515625" style="2" customWidth="1"/>
    <col min="3332" max="3332" width="7.85546875" style="2" customWidth="1"/>
    <col min="3333" max="3333" width="13.5703125" style="2" customWidth="1"/>
    <col min="3334" max="3334" width="10.140625" style="2" customWidth="1"/>
    <col min="3335" max="3335" width="8" style="2" customWidth="1"/>
    <col min="3336" max="3336" width="5.42578125" style="2" customWidth="1"/>
    <col min="3337" max="3337" width="14.42578125" style="2" customWidth="1"/>
    <col min="3338" max="3338" width="11.42578125" style="2" customWidth="1"/>
    <col min="3339" max="3339" width="7.5703125" style="2" customWidth="1"/>
    <col min="3340" max="3340" width="8.42578125" style="2" customWidth="1"/>
    <col min="3341" max="3341" width="8.140625" style="2" customWidth="1"/>
    <col min="3342" max="3342" width="9.85546875" style="2" customWidth="1"/>
    <col min="3343" max="3343" width="8.7109375" style="2" customWidth="1"/>
    <col min="3344" max="3344" width="7.42578125" style="2" customWidth="1"/>
    <col min="3345" max="3345" width="12.5703125" style="2" customWidth="1"/>
    <col min="3346" max="3346" width="9.28515625" style="2" customWidth="1"/>
    <col min="3347" max="3347" width="10.42578125" style="2" customWidth="1"/>
    <col min="3348" max="3348" width="9.42578125" style="2" customWidth="1"/>
    <col min="3349" max="3349" width="11" style="2" customWidth="1"/>
    <col min="3350" max="3584" width="9" style="2"/>
    <col min="3585" max="3585" width="7.140625" style="2" customWidth="1"/>
    <col min="3586" max="3586" width="14.42578125" style="2" customWidth="1"/>
    <col min="3587" max="3587" width="18.28515625" style="2" customWidth="1"/>
    <col min="3588" max="3588" width="7.85546875" style="2" customWidth="1"/>
    <col min="3589" max="3589" width="13.5703125" style="2" customWidth="1"/>
    <col min="3590" max="3590" width="10.140625" style="2" customWidth="1"/>
    <col min="3591" max="3591" width="8" style="2" customWidth="1"/>
    <col min="3592" max="3592" width="5.42578125" style="2" customWidth="1"/>
    <col min="3593" max="3593" width="14.42578125" style="2" customWidth="1"/>
    <col min="3594" max="3594" width="11.42578125" style="2" customWidth="1"/>
    <col min="3595" max="3595" width="7.5703125" style="2" customWidth="1"/>
    <col min="3596" max="3596" width="8.42578125" style="2" customWidth="1"/>
    <col min="3597" max="3597" width="8.140625" style="2" customWidth="1"/>
    <col min="3598" max="3598" width="9.85546875" style="2" customWidth="1"/>
    <col min="3599" max="3599" width="8.7109375" style="2" customWidth="1"/>
    <col min="3600" max="3600" width="7.42578125" style="2" customWidth="1"/>
    <col min="3601" max="3601" width="12.5703125" style="2" customWidth="1"/>
    <col min="3602" max="3602" width="9.28515625" style="2" customWidth="1"/>
    <col min="3603" max="3603" width="10.42578125" style="2" customWidth="1"/>
    <col min="3604" max="3604" width="9.42578125" style="2" customWidth="1"/>
    <col min="3605" max="3605" width="11" style="2" customWidth="1"/>
    <col min="3606" max="3840" width="9" style="2"/>
    <col min="3841" max="3841" width="7.140625" style="2" customWidth="1"/>
    <col min="3842" max="3842" width="14.42578125" style="2" customWidth="1"/>
    <col min="3843" max="3843" width="18.28515625" style="2" customWidth="1"/>
    <col min="3844" max="3844" width="7.85546875" style="2" customWidth="1"/>
    <col min="3845" max="3845" width="13.5703125" style="2" customWidth="1"/>
    <col min="3846" max="3846" width="10.140625" style="2" customWidth="1"/>
    <col min="3847" max="3847" width="8" style="2" customWidth="1"/>
    <col min="3848" max="3848" width="5.42578125" style="2" customWidth="1"/>
    <col min="3849" max="3849" width="14.42578125" style="2" customWidth="1"/>
    <col min="3850" max="3850" width="11.42578125" style="2" customWidth="1"/>
    <col min="3851" max="3851" width="7.5703125" style="2" customWidth="1"/>
    <col min="3852" max="3852" width="8.42578125" style="2" customWidth="1"/>
    <col min="3853" max="3853" width="8.140625" style="2" customWidth="1"/>
    <col min="3854" max="3854" width="9.85546875" style="2" customWidth="1"/>
    <col min="3855" max="3855" width="8.7109375" style="2" customWidth="1"/>
    <col min="3856" max="3856" width="7.42578125" style="2" customWidth="1"/>
    <col min="3857" max="3857" width="12.5703125" style="2" customWidth="1"/>
    <col min="3858" max="3858" width="9.28515625" style="2" customWidth="1"/>
    <col min="3859" max="3859" width="10.42578125" style="2" customWidth="1"/>
    <col min="3860" max="3860" width="9.42578125" style="2" customWidth="1"/>
    <col min="3861" max="3861" width="11" style="2" customWidth="1"/>
    <col min="3862" max="4096" width="9" style="2"/>
    <col min="4097" max="4097" width="7.140625" style="2" customWidth="1"/>
    <col min="4098" max="4098" width="14.42578125" style="2" customWidth="1"/>
    <col min="4099" max="4099" width="18.28515625" style="2" customWidth="1"/>
    <col min="4100" max="4100" width="7.85546875" style="2" customWidth="1"/>
    <col min="4101" max="4101" width="13.5703125" style="2" customWidth="1"/>
    <col min="4102" max="4102" width="10.140625" style="2" customWidth="1"/>
    <col min="4103" max="4103" width="8" style="2" customWidth="1"/>
    <col min="4104" max="4104" width="5.42578125" style="2" customWidth="1"/>
    <col min="4105" max="4105" width="14.42578125" style="2" customWidth="1"/>
    <col min="4106" max="4106" width="11.42578125" style="2" customWidth="1"/>
    <col min="4107" max="4107" width="7.5703125" style="2" customWidth="1"/>
    <col min="4108" max="4108" width="8.42578125" style="2" customWidth="1"/>
    <col min="4109" max="4109" width="8.140625" style="2" customWidth="1"/>
    <col min="4110" max="4110" width="9.85546875" style="2" customWidth="1"/>
    <col min="4111" max="4111" width="8.7109375" style="2" customWidth="1"/>
    <col min="4112" max="4112" width="7.42578125" style="2" customWidth="1"/>
    <col min="4113" max="4113" width="12.5703125" style="2" customWidth="1"/>
    <col min="4114" max="4114" width="9.28515625" style="2" customWidth="1"/>
    <col min="4115" max="4115" width="10.42578125" style="2" customWidth="1"/>
    <col min="4116" max="4116" width="9.42578125" style="2" customWidth="1"/>
    <col min="4117" max="4117" width="11" style="2" customWidth="1"/>
    <col min="4118" max="4352" width="9" style="2"/>
    <col min="4353" max="4353" width="7.140625" style="2" customWidth="1"/>
    <col min="4354" max="4354" width="14.42578125" style="2" customWidth="1"/>
    <col min="4355" max="4355" width="18.28515625" style="2" customWidth="1"/>
    <col min="4356" max="4356" width="7.85546875" style="2" customWidth="1"/>
    <col min="4357" max="4357" width="13.5703125" style="2" customWidth="1"/>
    <col min="4358" max="4358" width="10.140625" style="2" customWidth="1"/>
    <col min="4359" max="4359" width="8" style="2" customWidth="1"/>
    <col min="4360" max="4360" width="5.42578125" style="2" customWidth="1"/>
    <col min="4361" max="4361" width="14.42578125" style="2" customWidth="1"/>
    <col min="4362" max="4362" width="11.42578125" style="2" customWidth="1"/>
    <col min="4363" max="4363" width="7.5703125" style="2" customWidth="1"/>
    <col min="4364" max="4364" width="8.42578125" style="2" customWidth="1"/>
    <col min="4365" max="4365" width="8.140625" style="2" customWidth="1"/>
    <col min="4366" max="4366" width="9.85546875" style="2" customWidth="1"/>
    <col min="4367" max="4367" width="8.7109375" style="2" customWidth="1"/>
    <col min="4368" max="4368" width="7.42578125" style="2" customWidth="1"/>
    <col min="4369" max="4369" width="12.5703125" style="2" customWidth="1"/>
    <col min="4370" max="4370" width="9.28515625" style="2" customWidth="1"/>
    <col min="4371" max="4371" width="10.42578125" style="2" customWidth="1"/>
    <col min="4372" max="4372" width="9.42578125" style="2" customWidth="1"/>
    <col min="4373" max="4373" width="11" style="2" customWidth="1"/>
    <col min="4374" max="4608" width="9" style="2"/>
    <col min="4609" max="4609" width="7.140625" style="2" customWidth="1"/>
    <col min="4610" max="4610" width="14.42578125" style="2" customWidth="1"/>
    <col min="4611" max="4611" width="18.28515625" style="2" customWidth="1"/>
    <col min="4612" max="4612" width="7.85546875" style="2" customWidth="1"/>
    <col min="4613" max="4613" width="13.5703125" style="2" customWidth="1"/>
    <col min="4614" max="4614" width="10.140625" style="2" customWidth="1"/>
    <col min="4615" max="4615" width="8" style="2" customWidth="1"/>
    <col min="4616" max="4616" width="5.42578125" style="2" customWidth="1"/>
    <col min="4617" max="4617" width="14.42578125" style="2" customWidth="1"/>
    <col min="4618" max="4618" width="11.42578125" style="2" customWidth="1"/>
    <col min="4619" max="4619" width="7.5703125" style="2" customWidth="1"/>
    <col min="4620" max="4620" width="8.42578125" style="2" customWidth="1"/>
    <col min="4621" max="4621" width="8.140625" style="2" customWidth="1"/>
    <col min="4622" max="4622" width="9.85546875" style="2" customWidth="1"/>
    <col min="4623" max="4623" width="8.7109375" style="2" customWidth="1"/>
    <col min="4624" max="4624" width="7.42578125" style="2" customWidth="1"/>
    <col min="4625" max="4625" width="12.5703125" style="2" customWidth="1"/>
    <col min="4626" max="4626" width="9.28515625" style="2" customWidth="1"/>
    <col min="4627" max="4627" width="10.42578125" style="2" customWidth="1"/>
    <col min="4628" max="4628" width="9.42578125" style="2" customWidth="1"/>
    <col min="4629" max="4629" width="11" style="2" customWidth="1"/>
    <col min="4630" max="4864" width="9" style="2"/>
    <col min="4865" max="4865" width="7.140625" style="2" customWidth="1"/>
    <col min="4866" max="4866" width="14.42578125" style="2" customWidth="1"/>
    <col min="4867" max="4867" width="18.28515625" style="2" customWidth="1"/>
    <col min="4868" max="4868" width="7.85546875" style="2" customWidth="1"/>
    <col min="4869" max="4869" width="13.5703125" style="2" customWidth="1"/>
    <col min="4870" max="4870" width="10.140625" style="2" customWidth="1"/>
    <col min="4871" max="4871" width="8" style="2" customWidth="1"/>
    <col min="4872" max="4872" width="5.42578125" style="2" customWidth="1"/>
    <col min="4873" max="4873" width="14.42578125" style="2" customWidth="1"/>
    <col min="4874" max="4874" width="11.42578125" style="2" customWidth="1"/>
    <col min="4875" max="4875" width="7.5703125" style="2" customWidth="1"/>
    <col min="4876" max="4876" width="8.42578125" style="2" customWidth="1"/>
    <col min="4877" max="4877" width="8.140625" style="2" customWidth="1"/>
    <col min="4878" max="4878" width="9.85546875" style="2" customWidth="1"/>
    <col min="4879" max="4879" width="8.7109375" style="2" customWidth="1"/>
    <col min="4880" max="4880" width="7.42578125" style="2" customWidth="1"/>
    <col min="4881" max="4881" width="12.5703125" style="2" customWidth="1"/>
    <col min="4882" max="4882" width="9.28515625" style="2" customWidth="1"/>
    <col min="4883" max="4883" width="10.42578125" style="2" customWidth="1"/>
    <col min="4884" max="4884" width="9.42578125" style="2" customWidth="1"/>
    <col min="4885" max="4885" width="11" style="2" customWidth="1"/>
    <col min="4886" max="5120" width="9" style="2"/>
    <col min="5121" max="5121" width="7.140625" style="2" customWidth="1"/>
    <col min="5122" max="5122" width="14.42578125" style="2" customWidth="1"/>
    <col min="5123" max="5123" width="18.28515625" style="2" customWidth="1"/>
    <col min="5124" max="5124" width="7.85546875" style="2" customWidth="1"/>
    <col min="5125" max="5125" width="13.5703125" style="2" customWidth="1"/>
    <col min="5126" max="5126" width="10.140625" style="2" customWidth="1"/>
    <col min="5127" max="5127" width="8" style="2" customWidth="1"/>
    <col min="5128" max="5128" width="5.42578125" style="2" customWidth="1"/>
    <col min="5129" max="5129" width="14.42578125" style="2" customWidth="1"/>
    <col min="5130" max="5130" width="11.42578125" style="2" customWidth="1"/>
    <col min="5131" max="5131" width="7.5703125" style="2" customWidth="1"/>
    <col min="5132" max="5132" width="8.42578125" style="2" customWidth="1"/>
    <col min="5133" max="5133" width="8.140625" style="2" customWidth="1"/>
    <col min="5134" max="5134" width="9.85546875" style="2" customWidth="1"/>
    <col min="5135" max="5135" width="8.7109375" style="2" customWidth="1"/>
    <col min="5136" max="5136" width="7.42578125" style="2" customWidth="1"/>
    <col min="5137" max="5137" width="12.5703125" style="2" customWidth="1"/>
    <col min="5138" max="5138" width="9.28515625" style="2" customWidth="1"/>
    <col min="5139" max="5139" width="10.42578125" style="2" customWidth="1"/>
    <col min="5140" max="5140" width="9.42578125" style="2" customWidth="1"/>
    <col min="5141" max="5141" width="11" style="2" customWidth="1"/>
    <col min="5142" max="5376" width="9" style="2"/>
    <col min="5377" max="5377" width="7.140625" style="2" customWidth="1"/>
    <col min="5378" max="5378" width="14.42578125" style="2" customWidth="1"/>
    <col min="5379" max="5379" width="18.28515625" style="2" customWidth="1"/>
    <col min="5380" max="5380" width="7.85546875" style="2" customWidth="1"/>
    <col min="5381" max="5381" width="13.5703125" style="2" customWidth="1"/>
    <col min="5382" max="5382" width="10.140625" style="2" customWidth="1"/>
    <col min="5383" max="5383" width="8" style="2" customWidth="1"/>
    <col min="5384" max="5384" width="5.42578125" style="2" customWidth="1"/>
    <col min="5385" max="5385" width="14.42578125" style="2" customWidth="1"/>
    <col min="5386" max="5386" width="11.42578125" style="2" customWidth="1"/>
    <col min="5387" max="5387" width="7.5703125" style="2" customWidth="1"/>
    <col min="5388" max="5388" width="8.42578125" style="2" customWidth="1"/>
    <col min="5389" max="5389" width="8.140625" style="2" customWidth="1"/>
    <col min="5390" max="5390" width="9.85546875" style="2" customWidth="1"/>
    <col min="5391" max="5391" width="8.7109375" style="2" customWidth="1"/>
    <col min="5392" max="5392" width="7.42578125" style="2" customWidth="1"/>
    <col min="5393" max="5393" width="12.5703125" style="2" customWidth="1"/>
    <col min="5394" max="5394" width="9.28515625" style="2" customWidth="1"/>
    <col min="5395" max="5395" width="10.42578125" style="2" customWidth="1"/>
    <col min="5396" max="5396" width="9.42578125" style="2" customWidth="1"/>
    <col min="5397" max="5397" width="11" style="2" customWidth="1"/>
    <col min="5398" max="5632" width="9" style="2"/>
    <col min="5633" max="5633" width="7.140625" style="2" customWidth="1"/>
    <col min="5634" max="5634" width="14.42578125" style="2" customWidth="1"/>
    <col min="5635" max="5635" width="18.28515625" style="2" customWidth="1"/>
    <col min="5636" max="5636" width="7.85546875" style="2" customWidth="1"/>
    <col min="5637" max="5637" width="13.5703125" style="2" customWidth="1"/>
    <col min="5638" max="5638" width="10.140625" style="2" customWidth="1"/>
    <col min="5639" max="5639" width="8" style="2" customWidth="1"/>
    <col min="5640" max="5640" width="5.42578125" style="2" customWidth="1"/>
    <col min="5641" max="5641" width="14.42578125" style="2" customWidth="1"/>
    <col min="5642" max="5642" width="11.42578125" style="2" customWidth="1"/>
    <col min="5643" max="5643" width="7.5703125" style="2" customWidth="1"/>
    <col min="5644" max="5644" width="8.42578125" style="2" customWidth="1"/>
    <col min="5645" max="5645" width="8.140625" style="2" customWidth="1"/>
    <col min="5646" max="5646" width="9.85546875" style="2" customWidth="1"/>
    <col min="5647" max="5647" width="8.7109375" style="2" customWidth="1"/>
    <col min="5648" max="5648" width="7.42578125" style="2" customWidth="1"/>
    <col min="5649" max="5649" width="12.5703125" style="2" customWidth="1"/>
    <col min="5650" max="5650" width="9.28515625" style="2" customWidth="1"/>
    <col min="5651" max="5651" width="10.42578125" style="2" customWidth="1"/>
    <col min="5652" max="5652" width="9.42578125" style="2" customWidth="1"/>
    <col min="5653" max="5653" width="11" style="2" customWidth="1"/>
    <col min="5654" max="5888" width="9" style="2"/>
    <col min="5889" max="5889" width="7.140625" style="2" customWidth="1"/>
    <col min="5890" max="5890" width="14.42578125" style="2" customWidth="1"/>
    <col min="5891" max="5891" width="18.28515625" style="2" customWidth="1"/>
    <col min="5892" max="5892" width="7.85546875" style="2" customWidth="1"/>
    <col min="5893" max="5893" width="13.5703125" style="2" customWidth="1"/>
    <col min="5894" max="5894" width="10.140625" style="2" customWidth="1"/>
    <col min="5895" max="5895" width="8" style="2" customWidth="1"/>
    <col min="5896" max="5896" width="5.42578125" style="2" customWidth="1"/>
    <col min="5897" max="5897" width="14.42578125" style="2" customWidth="1"/>
    <col min="5898" max="5898" width="11.42578125" style="2" customWidth="1"/>
    <col min="5899" max="5899" width="7.5703125" style="2" customWidth="1"/>
    <col min="5900" max="5900" width="8.42578125" style="2" customWidth="1"/>
    <col min="5901" max="5901" width="8.140625" style="2" customWidth="1"/>
    <col min="5902" max="5902" width="9.85546875" style="2" customWidth="1"/>
    <col min="5903" max="5903" width="8.7109375" style="2" customWidth="1"/>
    <col min="5904" max="5904" width="7.42578125" style="2" customWidth="1"/>
    <col min="5905" max="5905" width="12.5703125" style="2" customWidth="1"/>
    <col min="5906" max="5906" width="9.28515625" style="2" customWidth="1"/>
    <col min="5907" max="5907" width="10.42578125" style="2" customWidth="1"/>
    <col min="5908" max="5908" width="9.42578125" style="2" customWidth="1"/>
    <col min="5909" max="5909" width="11" style="2" customWidth="1"/>
    <col min="5910" max="6144" width="9" style="2"/>
    <col min="6145" max="6145" width="7.140625" style="2" customWidth="1"/>
    <col min="6146" max="6146" width="14.42578125" style="2" customWidth="1"/>
    <col min="6147" max="6147" width="18.28515625" style="2" customWidth="1"/>
    <col min="6148" max="6148" width="7.85546875" style="2" customWidth="1"/>
    <col min="6149" max="6149" width="13.5703125" style="2" customWidth="1"/>
    <col min="6150" max="6150" width="10.140625" style="2" customWidth="1"/>
    <col min="6151" max="6151" width="8" style="2" customWidth="1"/>
    <col min="6152" max="6152" width="5.42578125" style="2" customWidth="1"/>
    <col min="6153" max="6153" width="14.42578125" style="2" customWidth="1"/>
    <col min="6154" max="6154" width="11.42578125" style="2" customWidth="1"/>
    <col min="6155" max="6155" width="7.5703125" style="2" customWidth="1"/>
    <col min="6156" max="6156" width="8.42578125" style="2" customWidth="1"/>
    <col min="6157" max="6157" width="8.140625" style="2" customWidth="1"/>
    <col min="6158" max="6158" width="9.85546875" style="2" customWidth="1"/>
    <col min="6159" max="6159" width="8.7109375" style="2" customWidth="1"/>
    <col min="6160" max="6160" width="7.42578125" style="2" customWidth="1"/>
    <col min="6161" max="6161" width="12.5703125" style="2" customWidth="1"/>
    <col min="6162" max="6162" width="9.28515625" style="2" customWidth="1"/>
    <col min="6163" max="6163" width="10.42578125" style="2" customWidth="1"/>
    <col min="6164" max="6164" width="9.42578125" style="2" customWidth="1"/>
    <col min="6165" max="6165" width="11" style="2" customWidth="1"/>
    <col min="6166" max="6400" width="9" style="2"/>
    <col min="6401" max="6401" width="7.140625" style="2" customWidth="1"/>
    <col min="6402" max="6402" width="14.42578125" style="2" customWidth="1"/>
    <col min="6403" max="6403" width="18.28515625" style="2" customWidth="1"/>
    <col min="6404" max="6404" width="7.85546875" style="2" customWidth="1"/>
    <col min="6405" max="6405" width="13.5703125" style="2" customWidth="1"/>
    <col min="6406" max="6406" width="10.140625" style="2" customWidth="1"/>
    <col min="6407" max="6407" width="8" style="2" customWidth="1"/>
    <col min="6408" max="6408" width="5.42578125" style="2" customWidth="1"/>
    <col min="6409" max="6409" width="14.42578125" style="2" customWidth="1"/>
    <col min="6410" max="6410" width="11.42578125" style="2" customWidth="1"/>
    <col min="6411" max="6411" width="7.5703125" style="2" customWidth="1"/>
    <col min="6412" max="6412" width="8.42578125" style="2" customWidth="1"/>
    <col min="6413" max="6413" width="8.140625" style="2" customWidth="1"/>
    <col min="6414" max="6414" width="9.85546875" style="2" customWidth="1"/>
    <col min="6415" max="6415" width="8.7109375" style="2" customWidth="1"/>
    <col min="6416" max="6416" width="7.42578125" style="2" customWidth="1"/>
    <col min="6417" max="6417" width="12.5703125" style="2" customWidth="1"/>
    <col min="6418" max="6418" width="9.28515625" style="2" customWidth="1"/>
    <col min="6419" max="6419" width="10.42578125" style="2" customWidth="1"/>
    <col min="6420" max="6420" width="9.42578125" style="2" customWidth="1"/>
    <col min="6421" max="6421" width="11" style="2" customWidth="1"/>
    <col min="6422" max="6656" width="9" style="2"/>
    <col min="6657" max="6657" width="7.140625" style="2" customWidth="1"/>
    <col min="6658" max="6658" width="14.42578125" style="2" customWidth="1"/>
    <col min="6659" max="6659" width="18.28515625" style="2" customWidth="1"/>
    <col min="6660" max="6660" width="7.85546875" style="2" customWidth="1"/>
    <col min="6661" max="6661" width="13.5703125" style="2" customWidth="1"/>
    <col min="6662" max="6662" width="10.140625" style="2" customWidth="1"/>
    <col min="6663" max="6663" width="8" style="2" customWidth="1"/>
    <col min="6664" max="6664" width="5.42578125" style="2" customWidth="1"/>
    <col min="6665" max="6665" width="14.42578125" style="2" customWidth="1"/>
    <col min="6666" max="6666" width="11.42578125" style="2" customWidth="1"/>
    <col min="6667" max="6667" width="7.5703125" style="2" customWidth="1"/>
    <col min="6668" max="6668" width="8.42578125" style="2" customWidth="1"/>
    <col min="6669" max="6669" width="8.140625" style="2" customWidth="1"/>
    <col min="6670" max="6670" width="9.85546875" style="2" customWidth="1"/>
    <col min="6671" max="6671" width="8.7109375" style="2" customWidth="1"/>
    <col min="6672" max="6672" width="7.42578125" style="2" customWidth="1"/>
    <col min="6673" max="6673" width="12.5703125" style="2" customWidth="1"/>
    <col min="6674" max="6674" width="9.28515625" style="2" customWidth="1"/>
    <col min="6675" max="6675" width="10.42578125" style="2" customWidth="1"/>
    <col min="6676" max="6676" width="9.42578125" style="2" customWidth="1"/>
    <col min="6677" max="6677" width="11" style="2" customWidth="1"/>
    <col min="6678" max="6912" width="9" style="2"/>
    <col min="6913" max="6913" width="7.140625" style="2" customWidth="1"/>
    <col min="6914" max="6914" width="14.42578125" style="2" customWidth="1"/>
    <col min="6915" max="6915" width="18.28515625" style="2" customWidth="1"/>
    <col min="6916" max="6916" width="7.85546875" style="2" customWidth="1"/>
    <col min="6917" max="6917" width="13.5703125" style="2" customWidth="1"/>
    <col min="6918" max="6918" width="10.140625" style="2" customWidth="1"/>
    <col min="6919" max="6919" width="8" style="2" customWidth="1"/>
    <col min="6920" max="6920" width="5.42578125" style="2" customWidth="1"/>
    <col min="6921" max="6921" width="14.42578125" style="2" customWidth="1"/>
    <col min="6922" max="6922" width="11.42578125" style="2" customWidth="1"/>
    <col min="6923" max="6923" width="7.5703125" style="2" customWidth="1"/>
    <col min="6924" max="6924" width="8.42578125" style="2" customWidth="1"/>
    <col min="6925" max="6925" width="8.140625" style="2" customWidth="1"/>
    <col min="6926" max="6926" width="9.85546875" style="2" customWidth="1"/>
    <col min="6927" max="6927" width="8.7109375" style="2" customWidth="1"/>
    <col min="6928" max="6928" width="7.42578125" style="2" customWidth="1"/>
    <col min="6929" max="6929" width="12.5703125" style="2" customWidth="1"/>
    <col min="6930" max="6930" width="9.28515625" style="2" customWidth="1"/>
    <col min="6931" max="6931" width="10.42578125" style="2" customWidth="1"/>
    <col min="6932" max="6932" width="9.42578125" style="2" customWidth="1"/>
    <col min="6933" max="6933" width="11" style="2" customWidth="1"/>
    <col min="6934" max="7168" width="9" style="2"/>
    <col min="7169" max="7169" width="7.140625" style="2" customWidth="1"/>
    <col min="7170" max="7170" width="14.42578125" style="2" customWidth="1"/>
    <col min="7171" max="7171" width="18.28515625" style="2" customWidth="1"/>
    <col min="7172" max="7172" width="7.85546875" style="2" customWidth="1"/>
    <col min="7173" max="7173" width="13.5703125" style="2" customWidth="1"/>
    <col min="7174" max="7174" width="10.140625" style="2" customWidth="1"/>
    <col min="7175" max="7175" width="8" style="2" customWidth="1"/>
    <col min="7176" max="7176" width="5.42578125" style="2" customWidth="1"/>
    <col min="7177" max="7177" width="14.42578125" style="2" customWidth="1"/>
    <col min="7178" max="7178" width="11.42578125" style="2" customWidth="1"/>
    <col min="7179" max="7179" width="7.5703125" style="2" customWidth="1"/>
    <col min="7180" max="7180" width="8.42578125" style="2" customWidth="1"/>
    <col min="7181" max="7181" width="8.140625" style="2" customWidth="1"/>
    <col min="7182" max="7182" width="9.85546875" style="2" customWidth="1"/>
    <col min="7183" max="7183" width="8.7109375" style="2" customWidth="1"/>
    <col min="7184" max="7184" width="7.42578125" style="2" customWidth="1"/>
    <col min="7185" max="7185" width="12.5703125" style="2" customWidth="1"/>
    <col min="7186" max="7186" width="9.28515625" style="2" customWidth="1"/>
    <col min="7187" max="7187" width="10.42578125" style="2" customWidth="1"/>
    <col min="7188" max="7188" width="9.42578125" style="2" customWidth="1"/>
    <col min="7189" max="7189" width="11" style="2" customWidth="1"/>
    <col min="7190" max="7424" width="9" style="2"/>
    <col min="7425" max="7425" width="7.140625" style="2" customWidth="1"/>
    <col min="7426" max="7426" width="14.42578125" style="2" customWidth="1"/>
    <col min="7427" max="7427" width="18.28515625" style="2" customWidth="1"/>
    <col min="7428" max="7428" width="7.85546875" style="2" customWidth="1"/>
    <col min="7429" max="7429" width="13.5703125" style="2" customWidth="1"/>
    <col min="7430" max="7430" width="10.140625" style="2" customWidth="1"/>
    <col min="7431" max="7431" width="8" style="2" customWidth="1"/>
    <col min="7432" max="7432" width="5.42578125" style="2" customWidth="1"/>
    <col min="7433" max="7433" width="14.42578125" style="2" customWidth="1"/>
    <col min="7434" max="7434" width="11.42578125" style="2" customWidth="1"/>
    <col min="7435" max="7435" width="7.5703125" style="2" customWidth="1"/>
    <col min="7436" max="7436" width="8.42578125" style="2" customWidth="1"/>
    <col min="7437" max="7437" width="8.140625" style="2" customWidth="1"/>
    <col min="7438" max="7438" width="9.85546875" style="2" customWidth="1"/>
    <col min="7439" max="7439" width="8.7109375" style="2" customWidth="1"/>
    <col min="7440" max="7440" width="7.42578125" style="2" customWidth="1"/>
    <col min="7441" max="7441" width="12.5703125" style="2" customWidth="1"/>
    <col min="7442" max="7442" width="9.28515625" style="2" customWidth="1"/>
    <col min="7443" max="7443" width="10.42578125" style="2" customWidth="1"/>
    <col min="7444" max="7444" width="9.42578125" style="2" customWidth="1"/>
    <col min="7445" max="7445" width="11" style="2" customWidth="1"/>
    <col min="7446" max="7680" width="9" style="2"/>
    <col min="7681" max="7681" width="7.140625" style="2" customWidth="1"/>
    <col min="7682" max="7682" width="14.42578125" style="2" customWidth="1"/>
    <col min="7683" max="7683" width="18.28515625" style="2" customWidth="1"/>
    <col min="7684" max="7684" width="7.85546875" style="2" customWidth="1"/>
    <col min="7685" max="7685" width="13.5703125" style="2" customWidth="1"/>
    <col min="7686" max="7686" width="10.140625" style="2" customWidth="1"/>
    <col min="7687" max="7687" width="8" style="2" customWidth="1"/>
    <col min="7688" max="7688" width="5.42578125" style="2" customWidth="1"/>
    <col min="7689" max="7689" width="14.42578125" style="2" customWidth="1"/>
    <col min="7690" max="7690" width="11.42578125" style="2" customWidth="1"/>
    <col min="7691" max="7691" width="7.5703125" style="2" customWidth="1"/>
    <col min="7692" max="7692" width="8.42578125" style="2" customWidth="1"/>
    <col min="7693" max="7693" width="8.140625" style="2" customWidth="1"/>
    <col min="7694" max="7694" width="9.85546875" style="2" customWidth="1"/>
    <col min="7695" max="7695" width="8.7109375" style="2" customWidth="1"/>
    <col min="7696" max="7696" width="7.42578125" style="2" customWidth="1"/>
    <col min="7697" max="7697" width="12.5703125" style="2" customWidth="1"/>
    <col min="7698" max="7698" width="9.28515625" style="2" customWidth="1"/>
    <col min="7699" max="7699" width="10.42578125" style="2" customWidth="1"/>
    <col min="7700" max="7700" width="9.42578125" style="2" customWidth="1"/>
    <col min="7701" max="7701" width="11" style="2" customWidth="1"/>
    <col min="7702" max="7936" width="9" style="2"/>
    <col min="7937" max="7937" width="7.140625" style="2" customWidth="1"/>
    <col min="7938" max="7938" width="14.42578125" style="2" customWidth="1"/>
    <col min="7939" max="7939" width="18.28515625" style="2" customWidth="1"/>
    <col min="7940" max="7940" width="7.85546875" style="2" customWidth="1"/>
    <col min="7941" max="7941" width="13.5703125" style="2" customWidth="1"/>
    <col min="7942" max="7942" width="10.140625" style="2" customWidth="1"/>
    <col min="7943" max="7943" width="8" style="2" customWidth="1"/>
    <col min="7944" max="7944" width="5.42578125" style="2" customWidth="1"/>
    <col min="7945" max="7945" width="14.42578125" style="2" customWidth="1"/>
    <col min="7946" max="7946" width="11.42578125" style="2" customWidth="1"/>
    <col min="7947" max="7947" width="7.5703125" style="2" customWidth="1"/>
    <col min="7948" max="7948" width="8.42578125" style="2" customWidth="1"/>
    <col min="7949" max="7949" width="8.140625" style="2" customWidth="1"/>
    <col min="7950" max="7950" width="9.85546875" style="2" customWidth="1"/>
    <col min="7951" max="7951" width="8.7109375" style="2" customWidth="1"/>
    <col min="7952" max="7952" width="7.42578125" style="2" customWidth="1"/>
    <col min="7953" max="7953" width="12.5703125" style="2" customWidth="1"/>
    <col min="7954" max="7954" width="9.28515625" style="2" customWidth="1"/>
    <col min="7955" max="7955" width="10.42578125" style="2" customWidth="1"/>
    <col min="7956" max="7956" width="9.42578125" style="2" customWidth="1"/>
    <col min="7957" max="7957" width="11" style="2" customWidth="1"/>
    <col min="7958" max="8192" width="9" style="2"/>
    <col min="8193" max="8193" width="7.140625" style="2" customWidth="1"/>
    <col min="8194" max="8194" width="14.42578125" style="2" customWidth="1"/>
    <col min="8195" max="8195" width="18.28515625" style="2" customWidth="1"/>
    <col min="8196" max="8196" width="7.85546875" style="2" customWidth="1"/>
    <col min="8197" max="8197" width="13.5703125" style="2" customWidth="1"/>
    <col min="8198" max="8198" width="10.140625" style="2" customWidth="1"/>
    <col min="8199" max="8199" width="8" style="2" customWidth="1"/>
    <col min="8200" max="8200" width="5.42578125" style="2" customWidth="1"/>
    <col min="8201" max="8201" width="14.42578125" style="2" customWidth="1"/>
    <col min="8202" max="8202" width="11.42578125" style="2" customWidth="1"/>
    <col min="8203" max="8203" width="7.5703125" style="2" customWidth="1"/>
    <col min="8204" max="8204" width="8.42578125" style="2" customWidth="1"/>
    <col min="8205" max="8205" width="8.140625" style="2" customWidth="1"/>
    <col min="8206" max="8206" width="9.85546875" style="2" customWidth="1"/>
    <col min="8207" max="8207" width="8.7109375" style="2" customWidth="1"/>
    <col min="8208" max="8208" width="7.42578125" style="2" customWidth="1"/>
    <col min="8209" max="8209" width="12.5703125" style="2" customWidth="1"/>
    <col min="8210" max="8210" width="9.28515625" style="2" customWidth="1"/>
    <col min="8211" max="8211" width="10.42578125" style="2" customWidth="1"/>
    <col min="8212" max="8212" width="9.42578125" style="2" customWidth="1"/>
    <col min="8213" max="8213" width="11" style="2" customWidth="1"/>
    <col min="8214" max="8448" width="9" style="2"/>
    <col min="8449" max="8449" width="7.140625" style="2" customWidth="1"/>
    <col min="8450" max="8450" width="14.42578125" style="2" customWidth="1"/>
    <col min="8451" max="8451" width="18.28515625" style="2" customWidth="1"/>
    <col min="8452" max="8452" width="7.85546875" style="2" customWidth="1"/>
    <col min="8453" max="8453" width="13.5703125" style="2" customWidth="1"/>
    <col min="8454" max="8454" width="10.140625" style="2" customWidth="1"/>
    <col min="8455" max="8455" width="8" style="2" customWidth="1"/>
    <col min="8456" max="8456" width="5.42578125" style="2" customWidth="1"/>
    <col min="8457" max="8457" width="14.42578125" style="2" customWidth="1"/>
    <col min="8458" max="8458" width="11.42578125" style="2" customWidth="1"/>
    <col min="8459" max="8459" width="7.5703125" style="2" customWidth="1"/>
    <col min="8460" max="8460" width="8.42578125" style="2" customWidth="1"/>
    <col min="8461" max="8461" width="8.140625" style="2" customWidth="1"/>
    <col min="8462" max="8462" width="9.85546875" style="2" customWidth="1"/>
    <col min="8463" max="8463" width="8.7109375" style="2" customWidth="1"/>
    <col min="8464" max="8464" width="7.42578125" style="2" customWidth="1"/>
    <col min="8465" max="8465" width="12.5703125" style="2" customWidth="1"/>
    <col min="8466" max="8466" width="9.28515625" style="2" customWidth="1"/>
    <col min="8467" max="8467" width="10.42578125" style="2" customWidth="1"/>
    <col min="8468" max="8468" width="9.42578125" style="2" customWidth="1"/>
    <col min="8469" max="8469" width="11" style="2" customWidth="1"/>
    <col min="8470" max="8704" width="9" style="2"/>
    <col min="8705" max="8705" width="7.140625" style="2" customWidth="1"/>
    <col min="8706" max="8706" width="14.42578125" style="2" customWidth="1"/>
    <col min="8707" max="8707" width="18.28515625" style="2" customWidth="1"/>
    <col min="8708" max="8708" width="7.85546875" style="2" customWidth="1"/>
    <col min="8709" max="8709" width="13.5703125" style="2" customWidth="1"/>
    <col min="8710" max="8710" width="10.140625" style="2" customWidth="1"/>
    <col min="8711" max="8711" width="8" style="2" customWidth="1"/>
    <col min="8712" max="8712" width="5.42578125" style="2" customWidth="1"/>
    <col min="8713" max="8713" width="14.42578125" style="2" customWidth="1"/>
    <col min="8714" max="8714" width="11.42578125" style="2" customWidth="1"/>
    <col min="8715" max="8715" width="7.5703125" style="2" customWidth="1"/>
    <col min="8716" max="8716" width="8.42578125" style="2" customWidth="1"/>
    <col min="8717" max="8717" width="8.140625" style="2" customWidth="1"/>
    <col min="8718" max="8718" width="9.85546875" style="2" customWidth="1"/>
    <col min="8719" max="8719" width="8.7109375" style="2" customWidth="1"/>
    <col min="8720" max="8720" width="7.42578125" style="2" customWidth="1"/>
    <col min="8721" max="8721" width="12.5703125" style="2" customWidth="1"/>
    <col min="8722" max="8722" width="9.28515625" style="2" customWidth="1"/>
    <col min="8723" max="8723" width="10.42578125" style="2" customWidth="1"/>
    <col min="8724" max="8724" width="9.42578125" style="2" customWidth="1"/>
    <col min="8725" max="8725" width="11" style="2" customWidth="1"/>
    <col min="8726" max="8960" width="9" style="2"/>
    <col min="8961" max="8961" width="7.140625" style="2" customWidth="1"/>
    <col min="8962" max="8962" width="14.42578125" style="2" customWidth="1"/>
    <col min="8963" max="8963" width="18.28515625" style="2" customWidth="1"/>
    <col min="8964" max="8964" width="7.85546875" style="2" customWidth="1"/>
    <col min="8965" max="8965" width="13.5703125" style="2" customWidth="1"/>
    <col min="8966" max="8966" width="10.140625" style="2" customWidth="1"/>
    <col min="8967" max="8967" width="8" style="2" customWidth="1"/>
    <col min="8968" max="8968" width="5.42578125" style="2" customWidth="1"/>
    <col min="8969" max="8969" width="14.42578125" style="2" customWidth="1"/>
    <col min="8970" max="8970" width="11.42578125" style="2" customWidth="1"/>
    <col min="8971" max="8971" width="7.5703125" style="2" customWidth="1"/>
    <col min="8972" max="8972" width="8.42578125" style="2" customWidth="1"/>
    <col min="8973" max="8973" width="8.140625" style="2" customWidth="1"/>
    <col min="8974" max="8974" width="9.85546875" style="2" customWidth="1"/>
    <col min="8975" max="8975" width="8.7109375" style="2" customWidth="1"/>
    <col min="8976" max="8976" width="7.42578125" style="2" customWidth="1"/>
    <col min="8977" max="8977" width="12.5703125" style="2" customWidth="1"/>
    <col min="8978" max="8978" width="9.28515625" style="2" customWidth="1"/>
    <col min="8979" max="8979" width="10.42578125" style="2" customWidth="1"/>
    <col min="8980" max="8980" width="9.42578125" style="2" customWidth="1"/>
    <col min="8981" max="8981" width="11" style="2" customWidth="1"/>
    <col min="8982" max="9216" width="9" style="2"/>
    <col min="9217" max="9217" width="7.140625" style="2" customWidth="1"/>
    <col min="9218" max="9218" width="14.42578125" style="2" customWidth="1"/>
    <col min="9219" max="9219" width="18.28515625" style="2" customWidth="1"/>
    <col min="9220" max="9220" width="7.85546875" style="2" customWidth="1"/>
    <col min="9221" max="9221" width="13.5703125" style="2" customWidth="1"/>
    <col min="9222" max="9222" width="10.140625" style="2" customWidth="1"/>
    <col min="9223" max="9223" width="8" style="2" customWidth="1"/>
    <col min="9224" max="9224" width="5.42578125" style="2" customWidth="1"/>
    <col min="9225" max="9225" width="14.42578125" style="2" customWidth="1"/>
    <col min="9226" max="9226" width="11.42578125" style="2" customWidth="1"/>
    <col min="9227" max="9227" width="7.5703125" style="2" customWidth="1"/>
    <col min="9228" max="9228" width="8.42578125" style="2" customWidth="1"/>
    <col min="9229" max="9229" width="8.140625" style="2" customWidth="1"/>
    <col min="9230" max="9230" width="9.85546875" style="2" customWidth="1"/>
    <col min="9231" max="9231" width="8.7109375" style="2" customWidth="1"/>
    <col min="9232" max="9232" width="7.42578125" style="2" customWidth="1"/>
    <col min="9233" max="9233" width="12.5703125" style="2" customWidth="1"/>
    <col min="9234" max="9234" width="9.28515625" style="2" customWidth="1"/>
    <col min="9235" max="9235" width="10.42578125" style="2" customWidth="1"/>
    <col min="9236" max="9236" width="9.42578125" style="2" customWidth="1"/>
    <col min="9237" max="9237" width="11" style="2" customWidth="1"/>
    <col min="9238" max="9472" width="9" style="2"/>
    <col min="9473" max="9473" width="7.140625" style="2" customWidth="1"/>
    <col min="9474" max="9474" width="14.42578125" style="2" customWidth="1"/>
    <col min="9475" max="9475" width="18.28515625" style="2" customWidth="1"/>
    <col min="9476" max="9476" width="7.85546875" style="2" customWidth="1"/>
    <col min="9477" max="9477" width="13.5703125" style="2" customWidth="1"/>
    <col min="9478" max="9478" width="10.140625" style="2" customWidth="1"/>
    <col min="9479" max="9479" width="8" style="2" customWidth="1"/>
    <col min="9480" max="9480" width="5.42578125" style="2" customWidth="1"/>
    <col min="9481" max="9481" width="14.42578125" style="2" customWidth="1"/>
    <col min="9482" max="9482" width="11.42578125" style="2" customWidth="1"/>
    <col min="9483" max="9483" width="7.5703125" style="2" customWidth="1"/>
    <col min="9484" max="9484" width="8.42578125" style="2" customWidth="1"/>
    <col min="9485" max="9485" width="8.140625" style="2" customWidth="1"/>
    <col min="9486" max="9486" width="9.85546875" style="2" customWidth="1"/>
    <col min="9487" max="9487" width="8.7109375" style="2" customWidth="1"/>
    <col min="9488" max="9488" width="7.42578125" style="2" customWidth="1"/>
    <col min="9489" max="9489" width="12.5703125" style="2" customWidth="1"/>
    <col min="9490" max="9490" width="9.28515625" style="2" customWidth="1"/>
    <col min="9491" max="9491" width="10.42578125" style="2" customWidth="1"/>
    <col min="9492" max="9492" width="9.42578125" style="2" customWidth="1"/>
    <col min="9493" max="9493" width="11" style="2" customWidth="1"/>
    <col min="9494" max="9728" width="9" style="2"/>
    <col min="9729" max="9729" width="7.140625" style="2" customWidth="1"/>
    <col min="9730" max="9730" width="14.42578125" style="2" customWidth="1"/>
    <col min="9731" max="9731" width="18.28515625" style="2" customWidth="1"/>
    <col min="9732" max="9732" width="7.85546875" style="2" customWidth="1"/>
    <col min="9733" max="9733" width="13.5703125" style="2" customWidth="1"/>
    <col min="9734" max="9734" width="10.140625" style="2" customWidth="1"/>
    <col min="9735" max="9735" width="8" style="2" customWidth="1"/>
    <col min="9736" max="9736" width="5.42578125" style="2" customWidth="1"/>
    <col min="9737" max="9737" width="14.42578125" style="2" customWidth="1"/>
    <col min="9738" max="9738" width="11.42578125" style="2" customWidth="1"/>
    <col min="9739" max="9739" width="7.5703125" style="2" customWidth="1"/>
    <col min="9740" max="9740" width="8.42578125" style="2" customWidth="1"/>
    <col min="9741" max="9741" width="8.140625" style="2" customWidth="1"/>
    <col min="9742" max="9742" width="9.85546875" style="2" customWidth="1"/>
    <col min="9743" max="9743" width="8.7109375" style="2" customWidth="1"/>
    <col min="9744" max="9744" width="7.42578125" style="2" customWidth="1"/>
    <col min="9745" max="9745" width="12.5703125" style="2" customWidth="1"/>
    <col min="9746" max="9746" width="9.28515625" style="2" customWidth="1"/>
    <col min="9747" max="9747" width="10.42578125" style="2" customWidth="1"/>
    <col min="9748" max="9748" width="9.42578125" style="2" customWidth="1"/>
    <col min="9749" max="9749" width="11" style="2" customWidth="1"/>
    <col min="9750" max="9984" width="9" style="2"/>
    <col min="9985" max="9985" width="7.140625" style="2" customWidth="1"/>
    <col min="9986" max="9986" width="14.42578125" style="2" customWidth="1"/>
    <col min="9987" max="9987" width="18.28515625" style="2" customWidth="1"/>
    <col min="9988" max="9988" width="7.85546875" style="2" customWidth="1"/>
    <col min="9989" max="9989" width="13.5703125" style="2" customWidth="1"/>
    <col min="9990" max="9990" width="10.140625" style="2" customWidth="1"/>
    <col min="9991" max="9991" width="8" style="2" customWidth="1"/>
    <col min="9992" max="9992" width="5.42578125" style="2" customWidth="1"/>
    <col min="9993" max="9993" width="14.42578125" style="2" customWidth="1"/>
    <col min="9994" max="9994" width="11.42578125" style="2" customWidth="1"/>
    <col min="9995" max="9995" width="7.5703125" style="2" customWidth="1"/>
    <col min="9996" max="9996" width="8.42578125" style="2" customWidth="1"/>
    <col min="9997" max="9997" width="8.140625" style="2" customWidth="1"/>
    <col min="9998" max="9998" width="9.85546875" style="2" customWidth="1"/>
    <col min="9999" max="9999" width="8.7109375" style="2" customWidth="1"/>
    <col min="10000" max="10000" width="7.42578125" style="2" customWidth="1"/>
    <col min="10001" max="10001" width="12.5703125" style="2" customWidth="1"/>
    <col min="10002" max="10002" width="9.28515625" style="2" customWidth="1"/>
    <col min="10003" max="10003" width="10.42578125" style="2" customWidth="1"/>
    <col min="10004" max="10004" width="9.42578125" style="2" customWidth="1"/>
    <col min="10005" max="10005" width="11" style="2" customWidth="1"/>
    <col min="10006" max="10240" width="9" style="2"/>
    <col min="10241" max="10241" width="7.140625" style="2" customWidth="1"/>
    <col min="10242" max="10242" width="14.42578125" style="2" customWidth="1"/>
    <col min="10243" max="10243" width="18.28515625" style="2" customWidth="1"/>
    <col min="10244" max="10244" width="7.85546875" style="2" customWidth="1"/>
    <col min="10245" max="10245" width="13.5703125" style="2" customWidth="1"/>
    <col min="10246" max="10246" width="10.140625" style="2" customWidth="1"/>
    <col min="10247" max="10247" width="8" style="2" customWidth="1"/>
    <col min="10248" max="10248" width="5.42578125" style="2" customWidth="1"/>
    <col min="10249" max="10249" width="14.42578125" style="2" customWidth="1"/>
    <col min="10250" max="10250" width="11.42578125" style="2" customWidth="1"/>
    <col min="10251" max="10251" width="7.5703125" style="2" customWidth="1"/>
    <col min="10252" max="10252" width="8.42578125" style="2" customWidth="1"/>
    <col min="10253" max="10253" width="8.140625" style="2" customWidth="1"/>
    <col min="10254" max="10254" width="9.85546875" style="2" customWidth="1"/>
    <col min="10255" max="10255" width="8.7109375" style="2" customWidth="1"/>
    <col min="10256" max="10256" width="7.42578125" style="2" customWidth="1"/>
    <col min="10257" max="10257" width="12.5703125" style="2" customWidth="1"/>
    <col min="10258" max="10258" width="9.28515625" style="2" customWidth="1"/>
    <col min="10259" max="10259" width="10.42578125" style="2" customWidth="1"/>
    <col min="10260" max="10260" width="9.42578125" style="2" customWidth="1"/>
    <col min="10261" max="10261" width="11" style="2" customWidth="1"/>
    <col min="10262" max="10496" width="9" style="2"/>
    <col min="10497" max="10497" width="7.140625" style="2" customWidth="1"/>
    <col min="10498" max="10498" width="14.42578125" style="2" customWidth="1"/>
    <col min="10499" max="10499" width="18.28515625" style="2" customWidth="1"/>
    <col min="10500" max="10500" width="7.85546875" style="2" customWidth="1"/>
    <col min="10501" max="10501" width="13.5703125" style="2" customWidth="1"/>
    <col min="10502" max="10502" width="10.140625" style="2" customWidth="1"/>
    <col min="10503" max="10503" width="8" style="2" customWidth="1"/>
    <col min="10504" max="10504" width="5.42578125" style="2" customWidth="1"/>
    <col min="10505" max="10505" width="14.42578125" style="2" customWidth="1"/>
    <col min="10506" max="10506" width="11.42578125" style="2" customWidth="1"/>
    <col min="10507" max="10507" width="7.5703125" style="2" customWidth="1"/>
    <col min="10508" max="10508" width="8.42578125" style="2" customWidth="1"/>
    <col min="10509" max="10509" width="8.140625" style="2" customWidth="1"/>
    <col min="10510" max="10510" width="9.85546875" style="2" customWidth="1"/>
    <col min="10511" max="10511" width="8.7109375" style="2" customWidth="1"/>
    <col min="10512" max="10512" width="7.42578125" style="2" customWidth="1"/>
    <col min="10513" max="10513" width="12.5703125" style="2" customWidth="1"/>
    <col min="10514" max="10514" width="9.28515625" style="2" customWidth="1"/>
    <col min="10515" max="10515" width="10.42578125" style="2" customWidth="1"/>
    <col min="10516" max="10516" width="9.42578125" style="2" customWidth="1"/>
    <col min="10517" max="10517" width="11" style="2" customWidth="1"/>
    <col min="10518" max="10752" width="9" style="2"/>
    <col min="10753" max="10753" width="7.140625" style="2" customWidth="1"/>
    <col min="10754" max="10754" width="14.42578125" style="2" customWidth="1"/>
    <col min="10755" max="10755" width="18.28515625" style="2" customWidth="1"/>
    <col min="10756" max="10756" width="7.85546875" style="2" customWidth="1"/>
    <col min="10757" max="10757" width="13.5703125" style="2" customWidth="1"/>
    <col min="10758" max="10758" width="10.140625" style="2" customWidth="1"/>
    <col min="10759" max="10759" width="8" style="2" customWidth="1"/>
    <col min="10760" max="10760" width="5.42578125" style="2" customWidth="1"/>
    <col min="10761" max="10761" width="14.42578125" style="2" customWidth="1"/>
    <col min="10762" max="10762" width="11.42578125" style="2" customWidth="1"/>
    <col min="10763" max="10763" width="7.5703125" style="2" customWidth="1"/>
    <col min="10764" max="10764" width="8.42578125" style="2" customWidth="1"/>
    <col min="10765" max="10765" width="8.140625" style="2" customWidth="1"/>
    <col min="10766" max="10766" width="9.85546875" style="2" customWidth="1"/>
    <col min="10767" max="10767" width="8.7109375" style="2" customWidth="1"/>
    <col min="10768" max="10768" width="7.42578125" style="2" customWidth="1"/>
    <col min="10769" max="10769" width="12.5703125" style="2" customWidth="1"/>
    <col min="10770" max="10770" width="9.28515625" style="2" customWidth="1"/>
    <col min="10771" max="10771" width="10.42578125" style="2" customWidth="1"/>
    <col min="10772" max="10772" width="9.42578125" style="2" customWidth="1"/>
    <col min="10773" max="10773" width="11" style="2" customWidth="1"/>
    <col min="10774" max="11008" width="9" style="2"/>
    <col min="11009" max="11009" width="7.140625" style="2" customWidth="1"/>
    <col min="11010" max="11010" width="14.42578125" style="2" customWidth="1"/>
    <col min="11011" max="11011" width="18.28515625" style="2" customWidth="1"/>
    <col min="11012" max="11012" width="7.85546875" style="2" customWidth="1"/>
    <col min="11013" max="11013" width="13.5703125" style="2" customWidth="1"/>
    <col min="11014" max="11014" width="10.140625" style="2" customWidth="1"/>
    <col min="11015" max="11015" width="8" style="2" customWidth="1"/>
    <col min="11016" max="11016" width="5.42578125" style="2" customWidth="1"/>
    <col min="11017" max="11017" width="14.42578125" style="2" customWidth="1"/>
    <col min="11018" max="11018" width="11.42578125" style="2" customWidth="1"/>
    <col min="11019" max="11019" width="7.5703125" style="2" customWidth="1"/>
    <col min="11020" max="11020" width="8.42578125" style="2" customWidth="1"/>
    <col min="11021" max="11021" width="8.140625" style="2" customWidth="1"/>
    <col min="11022" max="11022" width="9.85546875" style="2" customWidth="1"/>
    <col min="11023" max="11023" width="8.7109375" style="2" customWidth="1"/>
    <col min="11024" max="11024" width="7.42578125" style="2" customWidth="1"/>
    <col min="11025" max="11025" width="12.5703125" style="2" customWidth="1"/>
    <col min="11026" max="11026" width="9.28515625" style="2" customWidth="1"/>
    <col min="11027" max="11027" width="10.42578125" style="2" customWidth="1"/>
    <col min="11028" max="11028" width="9.42578125" style="2" customWidth="1"/>
    <col min="11029" max="11029" width="11" style="2" customWidth="1"/>
    <col min="11030" max="11264" width="9" style="2"/>
    <col min="11265" max="11265" width="7.140625" style="2" customWidth="1"/>
    <col min="11266" max="11266" width="14.42578125" style="2" customWidth="1"/>
    <col min="11267" max="11267" width="18.28515625" style="2" customWidth="1"/>
    <col min="11268" max="11268" width="7.85546875" style="2" customWidth="1"/>
    <col min="11269" max="11269" width="13.5703125" style="2" customWidth="1"/>
    <col min="11270" max="11270" width="10.140625" style="2" customWidth="1"/>
    <col min="11271" max="11271" width="8" style="2" customWidth="1"/>
    <col min="11272" max="11272" width="5.42578125" style="2" customWidth="1"/>
    <col min="11273" max="11273" width="14.42578125" style="2" customWidth="1"/>
    <col min="11274" max="11274" width="11.42578125" style="2" customWidth="1"/>
    <col min="11275" max="11275" width="7.5703125" style="2" customWidth="1"/>
    <col min="11276" max="11276" width="8.42578125" style="2" customWidth="1"/>
    <col min="11277" max="11277" width="8.140625" style="2" customWidth="1"/>
    <col min="11278" max="11278" width="9.85546875" style="2" customWidth="1"/>
    <col min="11279" max="11279" width="8.7109375" style="2" customWidth="1"/>
    <col min="11280" max="11280" width="7.42578125" style="2" customWidth="1"/>
    <col min="11281" max="11281" width="12.5703125" style="2" customWidth="1"/>
    <col min="11282" max="11282" width="9.28515625" style="2" customWidth="1"/>
    <col min="11283" max="11283" width="10.42578125" style="2" customWidth="1"/>
    <col min="11284" max="11284" width="9.42578125" style="2" customWidth="1"/>
    <col min="11285" max="11285" width="11" style="2" customWidth="1"/>
    <col min="11286" max="11520" width="9" style="2"/>
    <col min="11521" max="11521" width="7.140625" style="2" customWidth="1"/>
    <col min="11522" max="11522" width="14.42578125" style="2" customWidth="1"/>
    <col min="11523" max="11523" width="18.28515625" style="2" customWidth="1"/>
    <col min="11524" max="11524" width="7.85546875" style="2" customWidth="1"/>
    <col min="11525" max="11525" width="13.5703125" style="2" customWidth="1"/>
    <col min="11526" max="11526" width="10.140625" style="2" customWidth="1"/>
    <col min="11527" max="11527" width="8" style="2" customWidth="1"/>
    <col min="11528" max="11528" width="5.42578125" style="2" customWidth="1"/>
    <col min="11529" max="11529" width="14.42578125" style="2" customWidth="1"/>
    <col min="11530" max="11530" width="11.42578125" style="2" customWidth="1"/>
    <col min="11531" max="11531" width="7.5703125" style="2" customWidth="1"/>
    <col min="11532" max="11532" width="8.42578125" style="2" customWidth="1"/>
    <col min="11533" max="11533" width="8.140625" style="2" customWidth="1"/>
    <col min="11534" max="11534" width="9.85546875" style="2" customWidth="1"/>
    <col min="11535" max="11535" width="8.7109375" style="2" customWidth="1"/>
    <col min="11536" max="11536" width="7.42578125" style="2" customWidth="1"/>
    <col min="11537" max="11537" width="12.5703125" style="2" customWidth="1"/>
    <col min="11538" max="11538" width="9.28515625" style="2" customWidth="1"/>
    <col min="11539" max="11539" width="10.42578125" style="2" customWidth="1"/>
    <col min="11540" max="11540" width="9.42578125" style="2" customWidth="1"/>
    <col min="11541" max="11541" width="11" style="2" customWidth="1"/>
    <col min="11542" max="11776" width="9" style="2"/>
    <col min="11777" max="11777" width="7.140625" style="2" customWidth="1"/>
    <col min="11778" max="11778" width="14.42578125" style="2" customWidth="1"/>
    <col min="11779" max="11779" width="18.28515625" style="2" customWidth="1"/>
    <col min="11780" max="11780" width="7.85546875" style="2" customWidth="1"/>
    <col min="11781" max="11781" width="13.5703125" style="2" customWidth="1"/>
    <col min="11782" max="11782" width="10.140625" style="2" customWidth="1"/>
    <col min="11783" max="11783" width="8" style="2" customWidth="1"/>
    <col min="11784" max="11784" width="5.42578125" style="2" customWidth="1"/>
    <col min="11785" max="11785" width="14.42578125" style="2" customWidth="1"/>
    <col min="11786" max="11786" width="11.42578125" style="2" customWidth="1"/>
    <col min="11787" max="11787" width="7.5703125" style="2" customWidth="1"/>
    <col min="11788" max="11788" width="8.42578125" style="2" customWidth="1"/>
    <col min="11789" max="11789" width="8.140625" style="2" customWidth="1"/>
    <col min="11790" max="11790" width="9.85546875" style="2" customWidth="1"/>
    <col min="11791" max="11791" width="8.7109375" style="2" customWidth="1"/>
    <col min="11792" max="11792" width="7.42578125" style="2" customWidth="1"/>
    <col min="11793" max="11793" width="12.5703125" style="2" customWidth="1"/>
    <col min="11794" max="11794" width="9.28515625" style="2" customWidth="1"/>
    <col min="11795" max="11795" width="10.42578125" style="2" customWidth="1"/>
    <col min="11796" max="11796" width="9.42578125" style="2" customWidth="1"/>
    <col min="11797" max="11797" width="11" style="2" customWidth="1"/>
    <col min="11798" max="12032" width="9" style="2"/>
    <col min="12033" max="12033" width="7.140625" style="2" customWidth="1"/>
    <col min="12034" max="12034" width="14.42578125" style="2" customWidth="1"/>
    <col min="12035" max="12035" width="18.28515625" style="2" customWidth="1"/>
    <col min="12036" max="12036" width="7.85546875" style="2" customWidth="1"/>
    <col min="12037" max="12037" width="13.5703125" style="2" customWidth="1"/>
    <col min="12038" max="12038" width="10.140625" style="2" customWidth="1"/>
    <col min="12039" max="12039" width="8" style="2" customWidth="1"/>
    <col min="12040" max="12040" width="5.42578125" style="2" customWidth="1"/>
    <col min="12041" max="12041" width="14.42578125" style="2" customWidth="1"/>
    <col min="12042" max="12042" width="11.42578125" style="2" customWidth="1"/>
    <col min="12043" max="12043" width="7.5703125" style="2" customWidth="1"/>
    <col min="12044" max="12044" width="8.42578125" style="2" customWidth="1"/>
    <col min="12045" max="12045" width="8.140625" style="2" customWidth="1"/>
    <col min="12046" max="12046" width="9.85546875" style="2" customWidth="1"/>
    <col min="12047" max="12047" width="8.7109375" style="2" customWidth="1"/>
    <col min="12048" max="12048" width="7.42578125" style="2" customWidth="1"/>
    <col min="12049" max="12049" width="12.5703125" style="2" customWidth="1"/>
    <col min="12050" max="12050" width="9.28515625" style="2" customWidth="1"/>
    <col min="12051" max="12051" width="10.42578125" style="2" customWidth="1"/>
    <col min="12052" max="12052" width="9.42578125" style="2" customWidth="1"/>
    <col min="12053" max="12053" width="11" style="2" customWidth="1"/>
    <col min="12054" max="12288" width="9" style="2"/>
    <col min="12289" max="12289" width="7.140625" style="2" customWidth="1"/>
    <col min="12290" max="12290" width="14.42578125" style="2" customWidth="1"/>
    <col min="12291" max="12291" width="18.28515625" style="2" customWidth="1"/>
    <col min="12292" max="12292" width="7.85546875" style="2" customWidth="1"/>
    <col min="12293" max="12293" width="13.5703125" style="2" customWidth="1"/>
    <col min="12294" max="12294" width="10.140625" style="2" customWidth="1"/>
    <col min="12295" max="12295" width="8" style="2" customWidth="1"/>
    <col min="12296" max="12296" width="5.42578125" style="2" customWidth="1"/>
    <col min="12297" max="12297" width="14.42578125" style="2" customWidth="1"/>
    <col min="12298" max="12298" width="11.42578125" style="2" customWidth="1"/>
    <col min="12299" max="12299" width="7.5703125" style="2" customWidth="1"/>
    <col min="12300" max="12300" width="8.42578125" style="2" customWidth="1"/>
    <col min="12301" max="12301" width="8.140625" style="2" customWidth="1"/>
    <col min="12302" max="12302" width="9.85546875" style="2" customWidth="1"/>
    <col min="12303" max="12303" width="8.7109375" style="2" customWidth="1"/>
    <col min="12304" max="12304" width="7.42578125" style="2" customWidth="1"/>
    <col min="12305" max="12305" width="12.5703125" style="2" customWidth="1"/>
    <col min="12306" max="12306" width="9.28515625" style="2" customWidth="1"/>
    <col min="12307" max="12307" width="10.42578125" style="2" customWidth="1"/>
    <col min="12308" max="12308" width="9.42578125" style="2" customWidth="1"/>
    <col min="12309" max="12309" width="11" style="2" customWidth="1"/>
    <col min="12310" max="12544" width="9" style="2"/>
    <col min="12545" max="12545" width="7.140625" style="2" customWidth="1"/>
    <col min="12546" max="12546" width="14.42578125" style="2" customWidth="1"/>
    <col min="12547" max="12547" width="18.28515625" style="2" customWidth="1"/>
    <col min="12548" max="12548" width="7.85546875" style="2" customWidth="1"/>
    <col min="12549" max="12549" width="13.5703125" style="2" customWidth="1"/>
    <col min="12550" max="12550" width="10.140625" style="2" customWidth="1"/>
    <col min="12551" max="12551" width="8" style="2" customWidth="1"/>
    <col min="12552" max="12552" width="5.42578125" style="2" customWidth="1"/>
    <col min="12553" max="12553" width="14.42578125" style="2" customWidth="1"/>
    <col min="12554" max="12554" width="11.42578125" style="2" customWidth="1"/>
    <col min="12555" max="12555" width="7.5703125" style="2" customWidth="1"/>
    <col min="12556" max="12556" width="8.42578125" style="2" customWidth="1"/>
    <col min="12557" max="12557" width="8.140625" style="2" customWidth="1"/>
    <col min="12558" max="12558" width="9.85546875" style="2" customWidth="1"/>
    <col min="12559" max="12559" width="8.7109375" style="2" customWidth="1"/>
    <col min="12560" max="12560" width="7.42578125" style="2" customWidth="1"/>
    <col min="12561" max="12561" width="12.5703125" style="2" customWidth="1"/>
    <col min="12562" max="12562" width="9.28515625" style="2" customWidth="1"/>
    <col min="12563" max="12563" width="10.42578125" style="2" customWidth="1"/>
    <col min="12564" max="12564" width="9.42578125" style="2" customWidth="1"/>
    <col min="12565" max="12565" width="11" style="2" customWidth="1"/>
    <col min="12566" max="12800" width="9" style="2"/>
    <col min="12801" max="12801" width="7.140625" style="2" customWidth="1"/>
    <col min="12802" max="12802" width="14.42578125" style="2" customWidth="1"/>
    <col min="12803" max="12803" width="18.28515625" style="2" customWidth="1"/>
    <col min="12804" max="12804" width="7.85546875" style="2" customWidth="1"/>
    <col min="12805" max="12805" width="13.5703125" style="2" customWidth="1"/>
    <col min="12806" max="12806" width="10.140625" style="2" customWidth="1"/>
    <col min="12807" max="12807" width="8" style="2" customWidth="1"/>
    <col min="12808" max="12808" width="5.42578125" style="2" customWidth="1"/>
    <col min="12809" max="12809" width="14.42578125" style="2" customWidth="1"/>
    <col min="12810" max="12810" width="11.42578125" style="2" customWidth="1"/>
    <col min="12811" max="12811" width="7.5703125" style="2" customWidth="1"/>
    <col min="12812" max="12812" width="8.42578125" style="2" customWidth="1"/>
    <col min="12813" max="12813" width="8.140625" style="2" customWidth="1"/>
    <col min="12814" max="12814" width="9.85546875" style="2" customWidth="1"/>
    <col min="12815" max="12815" width="8.7109375" style="2" customWidth="1"/>
    <col min="12816" max="12816" width="7.42578125" style="2" customWidth="1"/>
    <col min="12817" max="12817" width="12.5703125" style="2" customWidth="1"/>
    <col min="12818" max="12818" width="9.28515625" style="2" customWidth="1"/>
    <col min="12819" max="12819" width="10.42578125" style="2" customWidth="1"/>
    <col min="12820" max="12820" width="9.42578125" style="2" customWidth="1"/>
    <col min="12821" max="12821" width="11" style="2" customWidth="1"/>
    <col min="12822" max="13056" width="9" style="2"/>
    <col min="13057" max="13057" width="7.140625" style="2" customWidth="1"/>
    <col min="13058" max="13058" width="14.42578125" style="2" customWidth="1"/>
    <col min="13059" max="13059" width="18.28515625" style="2" customWidth="1"/>
    <col min="13060" max="13060" width="7.85546875" style="2" customWidth="1"/>
    <col min="13061" max="13061" width="13.5703125" style="2" customWidth="1"/>
    <col min="13062" max="13062" width="10.140625" style="2" customWidth="1"/>
    <col min="13063" max="13063" width="8" style="2" customWidth="1"/>
    <col min="13064" max="13064" width="5.42578125" style="2" customWidth="1"/>
    <col min="13065" max="13065" width="14.42578125" style="2" customWidth="1"/>
    <col min="13066" max="13066" width="11.42578125" style="2" customWidth="1"/>
    <col min="13067" max="13067" width="7.5703125" style="2" customWidth="1"/>
    <col min="13068" max="13068" width="8.42578125" style="2" customWidth="1"/>
    <col min="13069" max="13069" width="8.140625" style="2" customWidth="1"/>
    <col min="13070" max="13070" width="9.85546875" style="2" customWidth="1"/>
    <col min="13071" max="13071" width="8.7109375" style="2" customWidth="1"/>
    <col min="13072" max="13072" width="7.42578125" style="2" customWidth="1"/>
    <col min="13073" max="13073" width="12.5703125" style="2" customWidth="1"/>
    <col min="13074" max="13074" width="9.28515625" style="2" customWidth="1"/>
    <col min="13075" max="13075" width="10.42578125" style="2" customWidth="1"/>
    <col min="13076" max="13076" width="9.42578125" style="2" customWidth="1"/>
    <col min="13077" max="13077" width="11" style="2" customWidth="1"/>
    <col min="13078" max="13312" width="9" style="2"/>
    <col min="13313" max="13313" width="7.140625" style="2" customWidth="1"/>
    <col min="13314" max="13314" width="14.42578125" style="2" customWidth="1"/>
    <col min="13315" max="13315" width="18.28515625" style="2" customWidth="1"/>
    <col min="13316" max="13316" width="7.85546875" style="2" customWidth="1"/>
    <col min="13317" max="13317" width="13.5703125" style="2" customWidth="1"/>
    <col min="13318" max="13318" width="10.140625" style="2" customWidth="1"/>
    <col min="13319" max="13319" width="8" style="2" customWidth="1"/>
    <col min="13320" max="13320" width="5.42578125" style="2" customWidth="1"/>
    <col min="13321" max="13321" width="14.42578125" style="2" customWidth="1"/>
    <col min="13322" max="13322" width="11.42578125" style="2" customWidth="1"/>
    <col min="13323" max="13323" width="7.5703125" style="2" customWidth="1"/>
    <col min="13324" max="13324" width="8.42578125" style="2" customWidth="1"/>
    <col min="13325" max="13325" width="8.140625" style="2" customWidth="1"/>
    <col min="13326" max="13326" width="9.85546875" style="2" customWidth="1"/>
    <col min="13327" max="13327" width="8.7109375" style="2" customWidth="1"/>
    <col min="13328" max="13328" width="7.42578125" style="2" customWidth="1"/>
    <col min="13329" max="13329" width="12.5703125" style="2" customWidth="1"/>
    <col min="13330" max="13330" width="9.28515625" style="2" customWidth="1"/>
    <col min="13331" max="13331" width="10.42578125" style="2" customWidth="1"/>
    <col min="13332" max="13332" width="9.42578125" style="2" customWidth="1"/>
    <col min="13333" max="13333" width="11" style="2" customWidth="1"/>
    <col min="13334" max="13568" width="9" style="2"/>
    <col min="13569" max="13569" width="7.140625" style="2" customWidth="1"/>
    <col min="13570" max="13570" width="14.42578125" style="2" customWidth="1"/>
    <col min="13571" max="13571" width="18.28515625" style="2" customWidth="1"/>
    <col min="13572" max="13572" width="7.85546875" style="2" customWidth="1"/>
    <col min="13573" max="13573" width="13.5703125" style="2" customWidth="1"/>
    <col min="13574" max="13574" width="10.140625" style="2" customWidth="1"/>
    <col min="13575" max="13575" width="8" style="2" customWidth="1"/>
    <col min="13576" max="13576" width="5.42578125" style="2" customWidth="1"/>
    <col min="13577" max="13577" width="14.42578125" style="2" customWidth="1"/>
    <col min="13578" max="13578" width="11.42578125" style="2" customWidth="1"/>
    <col min="13579" max="13579" width="7.5703125" style="2" customWidth="1"/>
    <col min="13580" max="13580" width="8.42578125" style="2" customWidth="1"/>
    <col min="13581" max="13581" width="8.140625" style="2" customWidth="1"/>
    <col min="13582" max="13582" width="9.85546875" style="2" customWidth="1"/>
    <col min="13583" max="13583" width="8.7109375" style="2" customWidth="1"/>
    <col min="13584" max="13584" width="7.42578125" style="2" customWidth="1"/>
    <col min="13585" max="13585" width="12.5703125" style="2" customWidth="1"/>
    <col min="13586" max="13586" width="9.28515625" style="2" customWidth="1"/>
    <col min="13587" max="13587" width="10.42578125" style="2" customWidth="1"/>
    <col min="13588" max="13588" width="9.42578125" style="2" customWidth="1"/>
    <col min="13589" max="13589" width="11" style="2" customWidth="1"/>
    <col min="13590" max="13824" width="9" style="2"/>
    <col min="13825" max="13825" width="7.140625" style="2" customWidth="1"/>
    <col min="13826" max="13826" width="14.42578125" style="2" customWidth="1"/>
    <col min="13827" max="13827" width="18.28515625" style="2" customWidth="1"/>
    <col min="13828" max="13828" width="7.85546875" style="2" customWidth="1"/>
    <col min="13829" max="13829" width="13.5703125" style="2" customWidth="1"/>
    <col min="13830" max="13830" width="10.140625" style="2" customWidth="1"/>
    <col min="13831" max="13831" width="8" style="2" customWidth="1"/>
    <col min="13832" max="13832" width="5.42578125" style="2" customWidth="1"/>
    <col min="13833" max="13833" width="14.42578125" style="2" customWidth="1"/>
    <col min="13834" max="13834" width="11.42578125" style="2" customWidth="1"/>
    <col min="13835" max="13835" width="7.5703125" style="2" customWidth="1"/>
    <col min="13836" max="13836" width="8.42578125" style="2" customWidth="1"/>
    <col min="13837" max="13837" width="8.140625" style="2" customWidth="1"/>
    <col min="13838" max="13838" width="9.85546875" style="2" customWidth="1"/>
    <col min="13839" max="13839" width="8.7109375" style="2" customWidth="1"/>
    <col min="13840" max="13840" width="7.42578125" style="2" customWidth="1"/>
    <col min="13841" max="13841" width="12.5703125" style="2" customWidth="1"/>
    <col min="13842" max="13842" width="9.28515625" style="2" customWidth="1"/>
    <col min="13843" max="13843" width="10.42578125" style="2" customWidth="1"/>
    <col min="13844" max="13844" width="9.42578125" style="2" customWidth="1"/>
    <col min="13845" max="13845" width="11" style="2" customWidth="1"/>
    <col min="13846" max="14080" width="9" style="2"/>
    <col min="14081" max="14081" width="7.140625" style="2" customWidth="1"/>
    <col min="14082" max="14082" width="14.42578125" style="2" customWidth="1"/>
    <col min="14083" max="14083" width="18.28515625" style="2" customWidth="1"/>
    <col min="14084" max="14084" width="7.85546875" style="2" customWidth="1"/>
    <col min="14085" max="14085" width="13.5703125" style="2" customWidth="1"/>
    <col min="14086" max="14086" width="10.140625" style="2" customWidth="1"/>
    <col min="14087" max="14087" width="8" style="2" customWidth="1"/>
    <col min="14088" max="14088" width="5.42578125" style="2" customWidth="1"/>
    <col min="14089" max="14089" width="14.42578125" style="2" customWidth="1"/>
    <col min="14090" max="14090" width="11.42578125" style="2" customWidth="1"/>
    <col min="14091" max="14091" width="7.5703125" style="2" customWidth="1"/>
    <col min="14092" max="14092" width="8.42578125" style="2" customWidth="1"/>
    <col min="14093" max="14093" width="8.140625" style="2" customWidth="1"/>
    <col min="14094" max="14094" width="9.85546875" style="2" customWidth="1"/>
    <col min="14095" max="14095" width="8.7109375" style="2" customWidth="1"/>
    <col min="14096" max="14096" width="7.42578125" style="2" customWidth="1"/>
    <col min="14097" max="14097" width="12.5703125" style="2" customWidth="1"/>
    <col min="14098" max="14098" width="9.28515625" style="2" customWidth="1"/>
    <col min="14099" max="14099" width="10.42578125" style="2" customWidth="1"/>
    <col min="14100" max="14100" width="9.42578125" style="2" customWidth="1"/>
    <col min="14101" max="14101" width="11" style="2" customWidth="1"/>
    <col min="14102" max="14336" width="9" style="2"/>
    <col min="14337" max="14337" width="7.140625" style="2" customWidth="1"/>
    <col min="14338" max="14338" width="14.42578125" style="2" customWidth="1"/>
    <col min="14339" max="14339" width="18.28515625" style="2" customWidth="1"/>
    <col min="14340" max="14340" width="7.85546875" style="2" customWidth="1"/>
    <col min="14341" max="14341" width="13.5703125" style="2" customWidth="1"/>
    <col min="14342" max="14342" width="10.140625" style="2" customWidth="1"/>
    <col min="14343" max="14343" width="8" style="2" customWidth="1"/>
    <col min="14344" max="14344" width="5.42578125" style="2" customWidth="1"/>
    <col min="14345" max="14345" width="14.42578125" style="2" customWidth="1"/>
    <col min="14346" max="14346" width="11.42578125" style="2" customWidth="1"/>
    <col min="14347" max="14347" width="7.5703125" style="2" customWidth="1"/>
    <col min="14348" max="14348" width="8.42578125" style="2" customWidth="1"/>
    <col min="14349" max="14349" width="8.140625" style="2" customWidth="1"/>
    <col min="14350" max="14350" width="9.85546875" style="2" customWidth="1"/>
    <col min="14351" max="14351" width="8.7109375" style="2" customWidth="1"/>
    <col min="14352" max="14352" width="7.42578125" style="2" customWidth="1"/>
    <col min="14353" max="14353" width="12.5703125" style="2" customWidth="1"/>
    <col min="14354" max="14354" width="9.28515625" style="2" customWidth="1"/>
    <col min="14355" max="14355" width="10.42578125" style="2" customWidth="1"/>
    <col min="14356" max="14356" width="9.42578125" style="2" customWidth="1"/>
    <col min="14357" max="14357" width="11" style="2" customWidth="1"/>
    <col min="14358" max="14592" width="9" style="2"/>
    <col min="14593" max="14593" width="7.140625" style="2" customWidth="1"/>
    <col min="14594" max="14594" width="14.42578125" style="2" customWidth="1"/>
    <col min="14595" max="14595" width="18.28515625" style="2" customWidth="1"/>
    <col min="14596" max="14596" width="7.85546875" style="2" customWidth="1"/>
    <col min="14597" max="14597" width="13.5703125" style="2" customWidth="1"/>
    <col min="14598" max="14598" width="10.140625" style="2" customWidth="1"/>
    <col min="14599" max="14599" width="8" style="2" customWidth="1"/>
    <col min="14600" max="14600" width="5.42578125" style="2" customWidth="1"/>
    <col min="14601" max="14601" width="14.42578125" style="2" customWidth="1"/>
    <col min="14602" max="14602" width="11.42578125" style="2" customWidth="1"/>
    <col min="14603" max="14603" width="7.5703125" style="2" customWidth="1"/>
    <col min="14604" max="14604" width="8.42578125" style="2" customWidth="1"/>
    <col min="14605" max="14605" width="8.140625" style="2" customWidth="1"/>
    <col min="14606" max="14606" width="9.85546875" style="2" customWidth="1"/>
    <col min="14607" max="14607" width="8.7109375" style="2" customWidth="1"/>
    <col min="14608" max="14608" width="7.42578125" style="2" customWidth="1"/>
    <col min="14609" max="14609" width="12.5703125" style="2" customWidth="1"/>
    <col min="14610" max="14610" width="9.28515625" style="2" customWidth="1"/>
    <col min="14611" max="14611" width="10.42578125" style="2" customWidth="1"/>
    <col min="14612" max="14612" width="9.42578125" style="2" customWidth="1"/>
    <col min="14613" max="14613" width="11" style="2" customWidth="1"/>
    <col min="14614" max="14848" width="9" style="2"/>
    <col min="14849" max="14849" width="7.140625" style="2" customWidth="1"/>
    <col min="14850" max="14850" width="14.42578125" style="2" customWidth="1"/>
    <col min="14851" max="14851" width="18.28515625" style="2" customWidth="1"/>
    <col min="14852" max="14852" width="7.85546875" style="2" customWidth="1"/>
    <col min="14853" max="14853" width="13.5703125" style="2" customWidth="1"/>
    <col min="14854" max="14854" width="10.140625" style="2" customWidth="1"/>
    <col min="14855" max="14855" width="8" style="2" customWidth="1"/>
    <col min="14856" max="14856" width="5.42578125" style="2" customWidth="1"/>
    <col min="14857" max="14857" width="14.42578125" style="2" customWidth="1"/>
    <col min="14858" max="14858" width="11.42578125" style="2" customWidth="1"/>
    <col min="14859" max="14859" width="7.5703125" style="2" customWidth="1"/>
    <col min="14860" max="14860" width="8.42578125" style="2" customWidth="1"/>
    <col min="14861" max="14861" width="8.140625" style="2" customWidth="1"/>
    <col min="14862" max="14862" width="9.85546875" style="2" customWidth="1"/>
    <col min="14863" max="14863" width="8.7109375" style="2" customWidth="1"/>
    <col min="14864" max="14864" width="7.42578125" style="2" customWidth="1"/>
    <col min="14865" max="14865" width="12.5703125" style="2" customWidth="1"/>
    <col min="14866" max="14866" width="9.28515625" style="2" customWidth="1"/>
    <col min="14867" max="14867" width="10.42578125" style="2" customWidth="1"/>
    <col min="14868" max="14868" width="9.42578125" style="2" customWidth="1"/>
    <col min="14869" max="14869" width="11" style="2" customWidth="1"/>
    <col min="14870" max="15104" width="9" style="2"/>
    <col min="15105" max="15105" width="7.140625" style="2" customWidth="1"/>
    <col min="15106" max="15106" width="14.42578125" style="2" customWidth="1"/>
    <col min="15107" max="15107" width="18.28515625" style="2" customWidth="1"/>
    <col min="15108" max="15108" width="7.85546875" style="2" customWidth="1"/>
    <col min="15109" max="15109" width="13.5703125" style="2" customWidth="1"/>
    <col min="15110" max="15110" width="10.140625" style="2" customWidth="1"/>
    <col min="15111" max="15111" width="8" style="2" customWidth="1"/>
    <col min="15112" max="15112" width="5.42578125" style="2" customWidth="1"/>
    <col min="15113" max="15113" width="14.42578125" style="2" customWidth="1"/>
    <col min="15114" max="15114" width="11.42578125" style="2" customWidth="1"/>
    <col min="15115" max="15115" width="7.5703125" style="2" customWidth="1"/>
    <col min="15116" max="15116" width="8.42578125" style="2" customWidth="1"/>
    <col min="15117" max="15117" width="8.140625" style="2" customWidth="1"/>
    <col min="15118" max="15118" width="9.85546875" style="2" customWidth="1"/>
    <col min="15119" max="15119" width="8.7109375" style="2" customWidth="1"/>
    <col min="15120" max="15120" width="7.42578125" style="2" customWidth="1"/>
    <col min="15121" max="15121" width="12.5703125" style="2" customWidth="1"/>
    <col min="15122" max="15122" width="9.28515625" style="2" customWidth="1"/>
    <col min="15123" max="15123" width="10.42578125" style="2" customWidth="1"/>
    <col min="15124" max="15124" width="9.42578125" style="2" customWidth="1"/>
    <col min="15125" max="15125" width="11" style="2" customWidth="1"/>
    <col min="15126" max="15360" width="9" style="2"/>
    <col min="15361" max="15361" width="7.140625" style="2" customWidth="1"/>
    <col min="15362" max="15362" width="14.42578125" style="2" customWidth="1"/>
    <col min="15363" max="15363" width="18.28515625" style="2" customWidth="1"/>
    <col min="15364" max="15364" width="7.85546875" style="2" customWidth="1"/>
    <col min="15365" max="15365" width="13.5703125" style="2" customWidth="1"/>
    <col min="15366" max="15366" width="10.140625" style="2" customWidth="1"/>
    <col min="15367" max="15367" width="8" style="2" customWidth="1"/>
    <col min="15368" max="15368" width="5.42578125" style="2" customWidth="1"/>
    <col min="15369" max="15369" width="14.42578125" style="2" customWidth="1"/>
    <col min="15370" max="15370" width="11.42578125" style="2" customWidth="1"/>
    <col min="15371" max="15371" width="7.5703125" style="2" customWidth="1"/>
    <col min="15372" max="15372" width="8.42578125" style="2" customWidth="1"/>
    <col min="15373" max="15373" width="8.140625" style="2" customWidth="1"/>
    <col min="15374" max="15374" width="9.85546875" style="2" customWidth="1"/>
    <col min="15375" max="15375" width="8.7109375" style="2" customWidth="1"/>
    <col min="15376" max="15376" width="7.42578125" style="2" customWidth="1"/>
    <col min="15377" max="15377" width="12.5703125" style="2" customWidth="1"/>
    <col min="15378" max="15378" width="9.28515625" style="2" customWidth="1"/>
    <col min="15379" max="15379" width="10.42578125" style="2" customWidth="1"/>
    <col min="15380" max="15380" width="9.42578125" style="2" customWidth="1"/>
    <col min="15381" max="15381" width="11" style="2" customWidth="1"/>
    <col min="15382" max="15616" width="9" style="2"/>
    <col min="15617" max="15617" width="7.140625" style="2" customWidth="1"/>
    <col min="15618" max="15618" width="14.42578125" style="2" customWidth="1"/>
    <col min="15619" max="15619" width="18.28515625" style="2" customWidth="1"/>
    <col min="15620" max="15620" width="7.85546875" style="2" customWidth="1"/>
    <col min="15621" max="15621" width="13.5703125" style="2" customWidth="1"/>
    <col min="15622" max="15622" width="10.140625" style="2" customWidth="1"/>
    <col min="15623" max="15623" width="8" style="2" customWidth="1"/>
    <col min="15624" max="15624" width="5.42578125" style="2" customWidth="1"/>
    <col min="15625" max="15625" width="14.42578125" style="2" customWidth="1"/>
    <col min="15626" max="15626" width="11.42578125" style="2" customWidth="1"/>
    <col min="15627" max="15627" width="7.5703125" style="2" customWidth="1"/>
    <col min="15628" max="15628" width="8.42578125" style="2" customWidth="1"/>
    <col min="15629" max="15629" width="8.140625" style="2" customWidth="1"/>
    <col min="15630" max="15630" width="9.85546875" style="2" customWidth="1"/>
    <col min="15631" max="15631" width="8.7109375" style="2" customWidth="1"/>
    <col min="15632" max="15632" width="7.42578125" style="2" customWidth="1"/>
    <col min="15633" max="15633" width="12.5703125" style="2" customWidth="1"/>
    <col min="15634" max="15634" width="9.28515625" style="2" customWidth="1"/>
    <col min="15635" max="15635" width="10.42578125" style="2" customWidth="1"/>
    <col min="15636" max="15636" width="9.42578125" style="2" customWidth="1"/>
    <col min="15637" max="15637" width="11" style="2" customWidth="1"/>
    <col min="15638" max="15872" width="9" style="2"/>
    <col min="15873" max="15873" width="7.140625" style="2" customWidth="1"/>
    <col min="15874" max="15874" width="14.42578125" style="2" customWidth="1"/>
    <col min="15875" max="15875" width="18.28515625" style="2" customWidth="1"/>
    <col min="15876" max="15876" width="7.85546875" style="2" customWidth="1"/>
    <col min="15877" max="15877" width="13.5703125" style="2" customWidth="1"/>
    <col min="15878" max="15878" width="10.140625" style="2" customWidth="1"/>
    <col min="15879" max="15879" width="8" style="2" customWidth="1"/>
    <col min="15880" max="15880" width="5.42578125" style="2" customWidth="1"/>
    <col min="15881" max="15881" width="14.42578125" style="2" customWidth="1"/>
    <col min="15882" max="15882" width="11.42578125" style="2" customWidth="1"/>
    <col min="15883" max="15883" width="7.5703125" style="2" customWidth="1"/>
    <col min="15884" max="15884" width="8.42578125" style="2" customWidth="1"/>
    <col min="15885" max="15885" width="8.140625" style="2" customWidth="1"/>
    <col min="15886" max="15886" width="9.85546875" style="2" customWidth="1"/>
    <col min="15887" max="15887" width="8.7109375" style="2" customWidth="1"/>
    <col min="15888" max="15888" width="7.42578125" style="2" customWidth="1"/>
    <col min="15889" max="15889" width="12.5703125" style="2" customWidth="1"/>
    <col min="15890" max="15890" width="9.28515625" style="2" customWidth="1"/>
    <col min="15891" max="15891" width="10.42578125" style="2" customWidth="1"/>
    <col min="15892" max="15892" width="9.42578125" style="2" customWidth="1"/>
    <col min="15893" max="15893" width="11" style="2" customWidth="1"/>
    <col min="15894" max="16128" width="9" style="2"/>
    <col min="16129" max="16129" width="7.140625" style="2" customWidth="1"/>
    <col min="16130" max="16130" width="14.42578125" style="2" customWidth="1"/>
    <col min="16131" max="16131" width="18.28515625" style="2" customWidth="1"/>
    <col min="16132" max="16132" width="7.85546875" style="2" customWidth="1"/>
    <col min="16133" max="16133" width="13.5703125" style="2" customWidth="1"/>
    <col min="16134" max="16134" width="10.140625" style="2" customWidth="1"/>
    <col min="16135" max="16135" width="8" style="2" customWidth="1"/>
    <col min="16136" max="16136" width="5.42578125" style="2" customWidth="1"/>
    <col min="16137" max="16137" width="14.42578125" style="2" customWidth="1"/>
    <col min="16138" max="16138" width="11.42578125" style="2" customWidth="1"/>
    <col min="16139" max="16139" width="7.5703125" style="2" customWidth="1"/>
    <col min="16140" max="16140" width="8.42578125" style="2" customWidth="1"/>
    <col min="16141" max="16141" width="8.140625" style="2" customWidth="1"/>
    <col min="16142" max="16142" width="9.85546875" style="2" customWidth="1"/>
    <col min="16143" max="16143" width="8.7109375" style="2" customWidth="1"/>
    <col min="16144" max="16144" width="7.42578125" style="2" customWidth="1"/>
    <col min="16145" max="16145" width="12.5703125" style="2" customWidth="1"/>
    <col min="16146" max="16146" width="9.28515625" style="2" customWidth="1"/>
    <col min="16147" max="16147" width="10.42578125" style="2" customWidth="1"/>
    <col min="16148" max="16148" width="9.42578125" style="2" customWidth="1"/>
    <col min="16149" max="16149" width="11" style="2" customWidth="1"/>
    <col min="16150" max="16384" width="9" style="2"/>
  </cols>
  <sheetData>
    <row r="1" spans="1:21" s="56" customFormat="1" ht="15.75" thickTop="1" x14ac:dyDescent="0.25">
      <c r="F1" s="57"/>
      <c r="J1" s="58"/>
      <c r="K1" s="59"/>
      <c r="L1" s="59"/>
      <c r="M1" s="60"/>
      <c r="N1" s="59"/>
      <c r="O1" s="59"/>
      <c r="Q1" s="61"/>
      <c r="R1" s="201" t="s">
        <v>75</v>
      </c>
      <c r="S1" s="202"/>
      <c r="T1" s="202"/>
      <c r="U1" s="203"/>
    </row>
    <row r="2" spans="1:21" s="67" customFormat="1" ht="52.5" customHeight="1" thickBot="1" x14ac:dyDescent="0.3">
      <c r="A2" s="4" t="s">
        <v>0</v>
      </c>
      <c r="B2" s="4" t="s">
        <v>1</v>
      </c>
      <c r="C2" s="4" t="s">
        <v>2</v>
      </c>
      <c r="D2" s="4" t="s">
        <v>3</v>
      </c>
      <c r="E2" s="4" t="s">
        <v>4</v>
      </c>
      <c r="F2" s="4" t="s">
        <v>5</v>
      </c>
      <c r="G2" s="4" t="s">
        <v>6</v>
      </c>
      <c r="H2" s="4" t="s">
        <v>7</v>
      </c>
      <c r="I2" s="4" t="s">
        <v>8</v>
      </c>
      <c r="J2" s="4" t="s">
        <v>9</v>
      </c>
      <c r="K2" s="4" t="s">
        <v>10</v>
      </c>
      <c r="L2" s="4" t="s">
        <v>11</v>
      </c>
      <c r="M2" s="62" t="s">
        <v>76</v>
      </c>
      <c r="N2" s="4" t="s">
        <v>77</v>
      </c>
      <c r="O2" s="4" t="s">
        <v>78</v>
      </c>
      <c r="P2" s="4" t="s">
        <v>79</v>
      </c>
      <c r="Q2" s="63" t="s">
        <v>80</v>
      </c>
      <c r="R2" s="64" t="s">
        <v>81</v>
      </c>
      <c r="S2" s="65" t="s">
        <v>82</v>
      </c>
      <c r="T2" s="65" t="s">
        <v>83</v>
      </c>
      <c r="U2" s="66" t="s">
        <v>84</v>
      </c>
    </row>
    <row r="3" spans="1:21" ht="17.25" customHeight="1" thickTop="1" x14ac:dyDescent="0.25">
      <c r="A3" s="176" t="s">
        <v>162</v>
      </c>
      <c r="B3" s="177" t="s">
        <v>155</v>
      </c>
      <c r="C3" s="2" t="s">
        <v>148</v>
      </c>
      <c r="D3" s="165">
        <v>2004</v>
      </c>
      <c r="E3" s="2" t="s">
        <v>165</v>
      </c>
      <c r="F3" s="166">
        <v>1925000</v>
      </c>
      <c r="G3" s="165">
        <v>2</v>
      </c>
      <c r="H3" s="179">
        <v>3</v>
      </c>
      <c r="K3" s="167">
        <v>9277</v>
      </c>
      <c r="N3" s="69">
        <v>2970</v>
      </c>
    </row>
    <row r="4" spans="1:21" ht="17.25" customHeight="1" x14ac:dyDescent="0.25">
      <c r="A4" s="30" t="s">
        <v>160</v>
      </c>
      <c r="B4" s="177" t="s">
        <v>155</v>
      </c>
      <c r="C4" s="2" t="s">
        <v>148</v>
      </c>
      <c r="D4" s="165">
        <v>2004</v>
      </c>
      <c r="E4" s="2" t="s">
        <v>165</v>
      </c>
      <c r="F4" s="166">
        <v>1499000</v>
      </c>
      <c r="G4" s="165">
        <v>2</v>
      </c>
      <c r="H4" s="167">
        <v>2</v>
      </c>
      <c r="K4" s="167">
        <v>6692</v>
      </c>
      <c r="N4" s="69">
        <v>1728</v>
      </c>
    </row>
    <row r="5" spans="1:21" ht="17.25" customHeight="1" x14ac:dyDescent="0.25">
      <c r="A5" s="30" t="s">
        <v>157</v>
      </c>
      <c r="B5" s="177" t="s">
        <v>156</v>
      </c>
      <c r="C5" s="2" t="s">
        <v>148</v>
      </c>
      <c r="D5" s="165">
        <v>2002</v>
      </c>
      <c r="E5" s="2" t="s">
        <v>165</v>
      </c>
      <c r="F5" s="166">
        <v>1424000</v>
      </c>
      <c r="G5" s="165">
        <v>2</v>
      </c>
      <c r="H5" s="167">
        <v>2</v>
      </c>
      <c r="K5" s="167">
        <v>6164</v>
      </c>
      <c r="N5" s="69">
        <v>1674</v>
      </c>
    </row>
    <row r="6" spans="1:21" ht="17.25" customHeight="1" x14ac:dyDescent="0.25">
      <c r="A6" s="30" t="s">
        <v>159</v>
      </c>
      <c r="B6" s="177" t="s">
        <v>156</v>
      </c>
      <c r="C6" s="2" t="s">
        <v>148</v>
      </c>
      <c r="D6" s="165">
        <v>2002</v>
      </c>
      <c r="E6" s="2" t="s">
        <v>165</v>
      </c>
      <c r="F6" s="166">
        <v>1919000</v>
      </c>
      <c r="G6" s="165">
        <v>2</v>
      </c>
      <c r="H6" s="167">
        <v>3</v>
      </c>
      <c r="K6" s="167">
        <v>9218</v>
      </c>
      <c r="N6" s="69">
        <v>2746</v>
      </c>
    </row>
    <row r="7" spans="1:21" ht="17.25" customHeight="1" x14ac:dyDescent="0.25">
      <c r="A7" s="30" t="s">
        <v>157</v>
      </c>
      <c r="B7" s="177" t="s">
        <v>158</v>
      </c>
      <c r="C7" s="2" t="s">
        <v>148</v>
      </c>
      <c r="D7" s="165">
        <v>1995</v>
      </c>
      <c r="E7" s="2" t="s">
        <v>165</v>
      </c>
      <c r="F7" s="166">
        <v>1444000</v>
      </c>
      <c r="G7" s="165">
        <v>2</v>
      </c>
      <c r="H7" s="167">
        <v>2</v>
      </c>
      <c r="K7" s="167">
        <v>6302</v>
      </c>
      <c r="N7" s="69">
        <v>1674</v>
      </c>
    </row>
    <row r="8" spans="1:21" ht="17.25" customHeight="1" x14ac:dyDescent="0.25">
      <c r="A8" s="30" t="s">
        <v>159</v>
      </c>
      <c r="B8" s="177" t="s">
        <v>158</v>
      </c>
      <c r="C8" s="2" t="s">
        <v>148</v>
      </c>
      <c r="D8" s="165">
        <v>1995</v>
      </c>
      <c r="E8" s="2" t="s">
        <v>165</v>
      </c>
      <c r="F8" s="166">
        <v>1947000</v>
      </c>
      <c r="G8" s="165">
        <v>2</v>
      </c>
      <c r="H8" s="167">
        <v>3</v>
      </c>
      <c r="K8" s="167">
        <v>9453</v>
      </c>
      <c r="N8" s="69">
        <v>2970</v>
      </c>
    </row>
    <row r="9" spans="1:21" ht="17.25" customHeight="1" x14ac:dyDescent="0.25">
      <c r="A9" s="30" t="s">
        <v>162</v>
      </c>
      <c r="B9" s="178" t="s">
        <v>161</v>
      </c>
      <c r="C9" s="2" t="s">
        <v>148</v>
      </c>
      <c r="D9" s="165">
        <v>1993</v>
      </c>
      <c r="E9" s="2" t="s">
        <v>165</v>
      </c>
      <c r="F9" s="166">
        <v>1947000</v>
      </c>
      <c r="G9" s="165">
        <v>2</v>
      </c>
      <c r="H9" s="167">
        <v>3</v>
      </c>
      <c r="K9" s="167">
        <v>9453</v>
      </c>
      <c r="N9" s="69">
        <v>2970</v>
      </c>
    </row>
    <row r="10" spans="1:21" ht="17.25" customHeight="1" x14ac:dyDescent="0.25">
      <c r="A10" s="30" t="s">
        <v>160</v>
      </c>
      <c r="B10" s="178" t="s">
        <v>161</v>
      </c>
      <c r="C10" s="2" t="s">
        <v>148</v>
      </c>
      <c r="D10" s="165">
        <v>1994</v>
      </c>
      <c r="E10" s="2" t="s">
        <v>165</v>
      </c>
      <c r="F10" s="166">
        <v>1444000</v>
      </c>
      <c r="G10" s="165">
        <v>2</v>
      </c>
      <c r="H10" s="167">
        <v>2</v>
      </c>
      <c r="K10" s="167">
        <v>6302</v>
      </c>
      <c r="N10" s="69">
        <v>1674</v>
      </c>
    </row>
    <row r="11" spans="1:21" ht="17.25" customHeight="1" x14ac:dyDescent="0.25">
      <c r="A11" s="30" t="s">
        <v>162</v>
      </c>
      <c r="B11" s="178" t="s">
        <v>163</v>
      </c>
      <c r="C11" s="2" t="s">
        <v>148</v>
      </c>
      <c r="D11" s="165">
        <v>1994</v>
      </c>
      <c r="E11" s="2" t="s">
        <v>165</v>
      </c>
      <c r="F11" s="166">
        <v>2104000</v>
      </c>
      <c r="G11" s="165">
        <v>2</v>
      </c>
      <c r="H11" s="167">
        <v>3</v>
      </c>
      <c r="K11" s="167">
        <v>10495</v>
      </c>
      <c r="N11" s="69">
        <v>2449</v>
      </c>
    </row>
    <row r="12" spans="1:21" ht="17.25" customHeight="1" x14ac:dyDescent="0.25">
      <c r="A12" s="30" t="s">
        <v>160</v>
      </c>
      <c r="B12" s="178" t="s">
        <v>163</v>
      </c>
      <c r="C12" s="2" t="s">
        <v>148</v>
      </c>
      <c r="D12" s="165">
        <v>1993</v>
      </c>
      <c r="E12" s="2" t="s">
        <v>165</v>
      </c>
      <c r="F12" s="166">
        <v>1543000</v>
      </c>
      <c r="G12" s="165">
        <v>2</v>
      </c>
      <c r="H12" s="167">
        <v>2</v>
      </c>
      <c r="K12" s="167">
        <v>6997</v>
      </c>
      <c r="N12" s="69">
        <v>1633</v>
      </c>
    </row>
    <row r="13" spans="1:21" ht="17.25" customHeight="1" x14ac:dyDescent="0.25">
      <c r="A13" s="30" t="s">
        <v>157</v>
      </c>
      <c r="B13" s="178" t="s">
        <v>164</v>
      </c>
      <c r="C13" s="2" t="s">
        <v>148</v>
      </c>
      <c r="D13" s="165">
        <v>1997</v>
      </c>
      <c r="E13" s="2" t="s">
        <v>165</v>
      </c>
      <c r="F13" s="166">
        <v>1424000</v>
      </c>
      <c r="G13" s="165">
        <v>2</v>
      </c>
      <c r="H13" s="167">
        <v>2</v>
      </c>
      <c r="K13" s="167">
        <v>6164</v>
      </c>
      <c r="N13" s="69">
        <v>1674</v>
      </c>
    </row>
    <row r="14" spans="1:21" ht="17.25" customHeight="1" x14ac:dyDescent="0.25">
      <c r="A14" s="30" t="s">
        <v>160</v>
      </c>
      <c r="B14" s="178" t="s">
        <v>164</v>
      </c>
      <c r="C14" s="2" t="s">
        <v>148</v>
      </c>
      <c r="D14" s="165">
        <v>1997</v>
      </c>
      <c r="E14" s="2" t="s">
        <v>165</v>
      </c>
      <c r="F14" s="166">
        <v>1424000</v>
      </c>
      <c r="G14" s="165">
        <v>2</v>
      </c>
      <c r="H14" s="167">
        <v>2</v>
      </c>
      <c r="K14" s="167">
        <v>6164</v>
      </c>
      <c r="N14" s="69">
        <v>1674</v>
      </c>
    </row>
    <row r="15" spans="1:21" ht="17.25" customHeight="1" x14ac:dyDescent="0.2">
      <c r="A15" s="177"/>
      <c r="B15" s="178"/>
      <c r="D15" s="165"/>
      <c r="F15" s="166"/>
      <c r="G15" s="165"/>
      <c r="H15" s="167"/>
      <c r="K15" s="167"/>
    </row>
    <row r="16" spans="1:21" ht="17.25" customHeight="1" x14ac:dyDescent="0.25">
      <c r="A16" s="177"/>
      <c r="B16" s="178"/>
      <c r="C16" s="168" t="s">
        <v>170</v>
      </c>
      <c r="D16" s="165"/>
      <c r="F16" s="169">
        <v>25000</v>
      </c>
      <c r="G16" s="165"/>
      <c r="H16" s="167"/>
      <c r="K16" s="186">
        <f>SUM(K3:K15)</f>
        <v>92681</v>
      </c>
      <c r="N16" s="187">
        <f>SUM(N3:N15)</f>
        <v>25836</v>
      </c>
    </row>
    <row r="17" spans="1:9" ht="17.25" customHeight="1" x14ac:dyDescent="0.25">
      <c r="A17" s="177"/>
      <c r="B17" s="178"/>
      <c r="C17" s="168" t="s">
        <v>171</v>
      </c>
      <c r="F17" s="169">
        <v>15000</v>
      </c>
    </row>
    <row r="18" spans="1:9" ht="17.25" customHeight="1" x14ac:dyDescent="0.25">
      <c r="A18" s="177"/>
      <c r="B18" s="178"/>
      <c r="C18" s="168" t="s">
        <v>172</v>
      </c>
      <c r="F18" s="169">
        <v>20000</v>
      </c>
    </row>
    <row r="19" spans="1:9" ht="17.25" customHeight="1" x14ac:dyDescent="0.25">
      <c r="A19" s="177"/>
      <c r="B19" s="178"/>
      <c r="C19" s="168" t="s">
        <v>173</v>
      </c>
      <c r="F19" s="169">
        <v>50000</v>
      </c>
      <c r="I19" s="168"/>
    </row>
    <row r="20" spans="1:9" ht="17.25" customHeight="1" x14ac:dyDescent="0.25">
      <c r="A20" s="177"/>
      <c r="B20" s="178"/>
      <c r="C20" s="168" t="s">
        <v>174</v>
      </c>
      <c r="F20" s="169">
        <v>50000</v>
      </c>
      <c r="I20" s="168"/>
    </row>
    <row r="21" spans="1:9" ht="17.25" customHeight="1" x14ac:dyDescent="0.25">
      <c r="A21" s="177"/>
      <c r="B21" s="178"/>
      <c r="C21" s="168" t="s">
        <v>175</v>
      </c>
      <c r="F21" s="169">
        <v>10000</v>
      </c>
      <c r="I21" s="168"/>
    </row>
    <row r="22" spans="1:9" ht="17.25" customHeight="1" x14ac:dyDescent="0.25">
      <c r="C22" s="168" t="s">
        <v>176</v>
      </c>
      <c r="F22" s="169">
        <v>50000</v>
      </c>
    </row>
    <row r="23" spans="1:9" ht="17.25" customHeight="1" x14ac:dyDescent="0.25">
      <c r="C23" s="168" t="s">
        <v>177</v>
      </c>
      <c r="F23" s="169">
        <v>25000</v>
      </c>
    </row>
    <row r="24" spans="1:9" ht="17.25" customHeight="1" x14ac:dyDescent="0.25">
      <c r="C24" s="168" t="s">
        <v>178</v>
      </c>
      <c r="F24" s="169">
        <v>25000</v>
      </c>
    </row>
    <row r="25" spans="1:9" ht="17.25" customHeight="1" x14ac:dyDescent="0.2">
      <c r="C25" s="2" t="s">
        <v>179</v>
      </c>
      <c r="F25" s="3">
        <v>150000</v>
      </c>
    </row>
    <row r="26" spans="1:9" ht="17.25" customHeight="1" x14ac:dyDescent="0.2"/>
    <row r="27" spans="1:9" ht="17.25" customHeight="1" x14ac:dyDescent="0.2"/>
    <row r="28" spans="1:9" ht="17.25" customHeight="1" x14ac:dyDescent="0.2"/>
    <row r="29" spans="1:9" ht="17.25" customHeight="1" x14ac:dyDescent="0.2"/>
    <row r="30" spans="1:9" ht="17.25" customHeight="1" x14ac:dyDescent="0.2"/>
    <row r="31" spans="1:9" ht="17.25" customHeight="1" x14ac:dyDescent="0.2"/>
    <row r="32" spans="1:9" ht="17.25" customHeight="1" x14ac:dyDescent="0.2"/>
    <row r="33" ht="17.25" customHeight="1" x14ac:dyDescent="0.2"/>
    <row r="34" ht="17.25" customHeight="1" x14ac:dyDescent="0.2"/>
    <row r="35" ht="17.25" customHeight="1" x14ac:dyDescent="0.2"/>
    <row r="36" ht="17.25" customHeight="1" x14ac:dyDescent="0.2"/>
    <row r="37" ht="17.25" customHeight="1" x14ac:dyDescent="0.2"/>
    <row r="38" ht="17.25" customHeight="1" x14ac:dyDescent="0.2"/>
    <row r="39" ht="17.25" customHeight="1" x14ac:dyDescent="0.2"/>
    <row r="40" ht="17.25" customHeight="1" x14ac:dyDescent="0.2"/>
    <row r="41" ht="17.25" customHeight="1" x14ac:dyDescent="0.2"/>
    <row r="42" ht="17.25" customHeight="1" x14ac:dyDescent="0.2"/>
    <row r="43" ht="17.25" customHeight="1" x14ac:dyDescent="0.2"/>
    <row r="44" ht="17.25" customHeight="1" x14ac:dyDescent="0.2"/>
    <row r="45" ht="17.25" customHeight="1" x14ac:dyDescent="0.2"/>
    <row r="46" ht="17.25" customHeight="1" x14ac:dyDescent="0.2"/>
    <row r="47" ht="17.25" customHeight="1" x14ac:dyDescent="0.2"/>
    <row r="48" ht="17.25" customHeight="1" x14ac:dyDescent="0.2"/>
    <row r="49" ht="17.25" customHeight="1" x14ac:dyDescent="0.2"/>
    <row r="50" ht="17.25" customHeight="1" x14ac:dyDescent="0.2"/>
    <row r="51" ht="17.25" customHeight="1" x14ac:dyDescent="0.2"/>
    <row r="52" ht="17.25" customHeight="1" x14ac:dyDescent="0.2"/>
    <row r="53" ht="17.25" customHeight="1" x14ac:dyDescent="0.2"/>
    <row r="54" ht="17.25" customHeight="1" x14ac:dyDescent="0.2"/>
    <row r="55" ht="17.25" customHeight="1" x14ac:dyDescent="0.2"/>
    <row r="56" ht="17.25" customHeight="1" x14ac:dyDescent="0.2"/>
    <row r="57" ht="17.25" customHeight="1" x14ac:dyDescent="0.2"/>
    <row r="58" ht="17.25" customHeight="1" x14ac:dyDescent="0.2"/>
    <row r="59" ht="17.25" customHeight="1" x14ac:dyDescent="0.2"/>
    <row r="60" ht="17.25" customHeight="1" x14ac:dyDescent="0.2"/>
    <row r="61" ht="17.25" customHeight="1" x14ac:dyDescent="0.2"/>
    <row r="62" ht="17.25" customHeight="1" x14ac:dyDescent="0.2"/>
    <row r="63" ht="17.25" customHeight="1" x14ac:dyDescent="0.2"/>
    <row r="64" ht="17.25" customHeight="1" x14ac:dyDescent="0.2"/>
    <row r="65" ht="17.25" customHeight="1" x14ac:dyDescent="0.2"/>
    <row r="66" ht="17.25" customHeight="1" x14ac:dyDescent="0.2"/>
    <row r="67" ht="17.25" customHeight="1" x14ac:dyDescent="0.2"/>
    <row r="68" ht="17.25" customHeight="1" x14ac:dyDescent="0.2"/>
    <row r="69" ht="17.25" customHeight="1" x14ac:dyDescent="0.2"/>
    <row r="70" ht="17.25" customHeight="1" x14ac:dyDescent="0.2"/>
    <row r="71" ht="17.25" customHeight="1" x14ac:dyDescent="0.2"/>
    <row r="72" ht="17.25" customHeight="1" x14ac:dyDescent="0.2"/>
    <row r="73" ht="17.25" customHeight="1" x14ac:dyDescent="0.2"/>
    <row r="74" ht="17.25" customHeight="1" x14ac:dyDescent="0.2"/>
    <row r="75" ht="17.25" customHeight="1" x14ac:dyDescent="0.2"/>
    <row r="76" ht="17.25" customHeight="1" x14ac:dyDescent="0.2"/>
    <row r="77" ht="17.25" customHeight="1" x14ac:dyDescent="0.2"/>
    <row r="78" ht="17.25" customHeight="1" x14ac:dyDescent="0.2"/>
    <row r="79" ht="17.25" customHeight="1" x14ac:dyDescent="0.2"/>
    <row r="80" ht="17.25" customHeight="1" x14ac:dyDescent="0.2"/>
    <row r="81" ht="17.25" customHeight="1" x14ac:dyDescent="0.2"/>
    <row r="82" ht="17.25" customHeight="1" x14ac:dyDescent="0.2"/>
    <row r="83" ht="17.25" customHeight="1" x14ac:dyDescent="0.2"/>
    <row r="84" ht="17.25" customHeight="1" x14ac:dyDescent="0.2"/>
    <row r="85" ht="17.25" customHeight="1" x14ac:dyDescent="0.2"/>
    <row r="86" ht="17.25" customHeight="1" x14ac:dyDescent="0.2"/>
    <row r="87" ht="17.25" customHeight="1" x14ac:dyDescent="0.2"/>
    <row r="88" ht="17.25" customHeight="1" x14ac:dyDescent="0.2"/>
    <row r="89" ht="17.25" customHeight="1" x14ac:dyDescent="0.2"/>
    <row r="90" ht="17.25" customHeight="1" x14ac:dyDescent="0.2"/>
    <row r="91" ht="17.25" customHeight="1" x14ac:dyDescent="0.2"/>
    <row r="92" ht="17.25" customHeight="1" x14ac:dyDescent="0.2"/>
    <row r="93" ht="17.25" customHeight="1" x14ac:dyDescent="0.2"/>
    <row r="94" ht="17.25" customHeight="1" x14ac:dyDescent="0.2"/>
    <row r="95" ht="17.25" customHeight="1" x14ac:dyDescent="0.2"/>
    <row r="96" ht="17.25" customHeight="1" x14ac:dyDescent="0.2"/>
    <row r="97" ht="17.25" customHeight="1" x14ac:dyDescent="0.2"/>
    <row r="98" ht="17.25" customHeight="1" x14ac:dyDescent="0.2"/>
    <row r="99" ht="17.25" customHeight="1" x14ac:dyDescent="0.2"/>
    <row r="100" ht="17.25" customHeight="1" x14ac:dyDescent="0.2"/>
    <row r="101" ht="17.25" customHeight="1" x14ac:dyDescent="0.2"/>
    <row r="102" ht="17.25" customHeight="1" x14ac:dyDescent="0.2"/>
    <row r="103" ht="17.25" customHeight="1" x14ac:dyDescent="0.2"/>
    <row r="104" ht="17.25" customHeight="1" x14ac:dyDescent="0.2"/>
    <row r="105" ht="17.25" customHeight="1" x14ac:dyDescent="0.2"/>
    <row r="106" ht="17.25" customHeight="1" x14ac:dyDescent="0.2"/>
    <row r="107" ht="17.25" customHeight="1" x14ac:dyDescent="0.2"/>
    <row r="108" ht="17.25" customHeight="1" x14ac:dyDescent="0.2"/>
    <row r="109" ht="17.25" customHeight="1" x14ac:dyDescent="0.2"/>
    <row r="110" ht="17.25" customHeight="1" x14ac:dyDescent="0.2"/>
    <row r="111" ht="17.25" customHeight="1" x14ac:dyDescent="0.2"/>
    <row r="112" ht="17.25" customHeight="1" x14ac:dyDescent="0.2"/>
    <row r="113" ht="17.25" customHeight="1" x14ac:dyDescent="0.2"/>
    <row r="114" ht="17.25" customHeight="1" x14ac:dyDescent="0.2"/>
    <row r="115" ht="17.25" customHeight="1" x14ac:dyDescent="0.2"/>
    <row r="116" ht="17.25" customHeight="1" x14ac:dyDescent="0.2"/>
    <row r="117" ht="17.25" customHeight="1" x14ac:dyDescent="0.2"/>
    <row r="118" ht="17.25" customHeight="1" x14ac:dyDescent="0.2"/>
    <row r="119" ht="17.25" customHeight="1" x14ac:dyDescent="0.2"/>
    <row r="120" ht="17.25" customHeight="1" x14ac:dyDescent="0.2"/>
    <row r="121" ht="17.25" customHeight="1" x14ac:dyDescent="0.2"/>
    <row r="122" ht="17.25" customHeight="1" x14ac:dyDescent="0.2"/>
    <row r="123" ht="17.25" customHeight="1" x14ac:dyDescent="0.2"/>
    <row r="124" ht="17.25" customHeight="1" x14ac:dyDescent="0.2"/>
    <row r="125" ht="17.25" customHeight="1" x14ac:dyDescent="0.2"/>
    <row r="126" ht="17.25" customHeight="1" x14ac:dyDescent="0.2"/>
    <row r="127" ht="17.25" customHeight="1" x14ac:dyDescent="0.2"/>
    <row r="128" ht="17.25" customHeight="1" x14ac:dyDescent="0.2"/>
    <row r="129" ht="17.25" customHeight="1" x14ac:dyDescent="0.2"/>
    <row r="130" ht="17.25" customHeight="1" x14ac:dyDescent="0.2"/>
    <row r="131" ht="17.25" customHeight="1" x14ac:dyDescent="0.2"/>
    <row r="132" ht="17.25" customHeight="1" x14ac:dyDescent="0.2"/>
    <row r="133" ht="17.25" customHeight="1" x14ac:dyDescent="0.2"/>
    <row r="134" ht="17.25" customHeight="1" x14ac:dyDescent="0.2"/>
    <row r="135" ht="17.25" customHeight="1" x14ac:dyDescent="0.2"/>
    <row r="136" ht="17.25" customHeight="1" x14ac:dyDescent="0.2"/>
    <row r="137" ht="17.25" customHeight="1" x14ac:dyDescent="0.2"/>
    <row r="138" ht="17.25" customHeight="1" x14ac:dyDescent="0.2"/>
    <row r="139" ht="17.25" customHeight="1" x14ac:dyDescent="0.2"/>
    <row r="140" ht="17.25" customHeight="1" x14ac:dyDescent="0.2"/>
    <row r="141" ht="17.25" customHeight="1" x14ac:dyDescent="0.2"/>
    <row r="142" ht="17.25" customHeight="1" x14ac:dyDescent="0.2"/>
    <row r="143" ht="17.25" customHeight="1" x14ac:dyDescent="0.2"/>
    <row r="144" ht="17.25" customHeight="1" x14ac:dyDescent="0.2"/>
    <row r="145" ht="17.25" customHeight="1" x14ac:dyDescent="0.2"/>
    <row r="146" ht="17.25" customHeight="1" x14ac:dyDescent="0.2"/>
    <row r="147" ht="17.25" customHeight="1" x14ac:dyDescent="0.2"/>
    <row r="148" ht="17.25" customHeight="1" x14ac:dyDescent="0.2"/>
    <row r="149" ht="17.25" customHeight="1" x14ac:dyDescent="0.2"/>
    <row r="150" ht="17.25" customHeight="1" x14ac:dyDescent="0.2"/>
    <row r="151" ht="17.25" customHeight="1" x14ac:dyDescent="0.2"/>
    <row r="152" ht="17.25" customHeight="1" x14ac:dyDescent="0.2"/>
    <row r="153" ht="17.25" customHeight="1" x14ac:dyDescent="0.2"/>
    <row r="154" ht="17.25" customHeight="1" x14ac:dyDescent="0.2"/>
    <row r="155" ht="17.25" customHeight="1" x14ac:dyDescent="0.2"/>
    <row r="156" ht="17.25" customHeight="1" x14ac:dyDescent="0.2"/>
    <row r="157" ht="17.25" customHeight="1" x14ac:dyDescent="0.2"/>
    <row r="158" ht="17.25" customHeight="1" x14ac:dyDescent="0.2"/>
    <row r="159" ht="17.25" customHeight="1" x14ac:dyDescent="0.2"/>
    <row r="160" ht="17.25" customHeight="1" x14ac:dyDescent="0.2"/>
    <row r="161" ht="17.25" customHeight="1" x14ac:dyDescent="0.2"/>
    <row r="162" ht="17.25" customHeight="1" x14ac:dyDescent="0.2"/>
    <row r="163" ht="17.25" customHeight="1" x14ac:dyDescent="0.2"/>
    <row r="164" ht="17.25" customHeight="1" x14ac:dyDescent="0.2"/>
    <row r="165" ht="17.25" customHeight="1" x14ac:dyDescent="0.2"/>
    <row r="166" ht="17.25" customHeight="1" x14ac:dyDescent="0.2"/>
    <row r="167" ht="17.25" customHeight="1" x14ac:dyDescent="0.2"/>
    <row r="168" ht="17.25" customHeight="1" x14ac:dyDescent="0.2"/>
    <row r="169" ht="17.25" customHeight="1" x14ac:dyDescent="0.2"/>
    <row r="170" ht="17.25" customHeight="1" x14ac:dyDescent="0.2"/>
    <row r="171" ht="17.25" customHeight="1" x14ac:dyDescent="0.2"/>
    <row r="172" ht="17.25" customHeight="1" x14ac:dyDescent="0.2"/>
    <row r="173" ht="17.25" customHeight="1" x14ac:dyDescent="0.2"/>
    <row r="174" ht="17.25" customHeight="1" x14ac:dyDescent="0.2"/>
    <row r="175" ht="17.25" customHeight="1" x14ac:dyDescent="0.2"/>
    <row r="176" ht="17.25" customHeight="1" x14ac:dyDescent="0.2"/>
    <row r="177" ht="17.25" customHeight="1" x14ac:dyDescent="0.2"/>
    <row r="178" ht="17.25" customHeight="1" x14ac:dyDescent="0.2"/>
    <row r="179" ht="17.25" customHeight="1" x14ac:dyDescent="0.2"/>
    <row r="180" ht="17.25" customHeight="1" x14ac:dyDescent="0.2"/>
    <row r="181" ht="17.25" customHeight="1" x14ac:dyDescent="0.2"/>
    <row r="182" ht="17.25" customHeight="1" x14ac:dyDescent="0.2"/>
    <row r="183" ht="17.25" customHeight="1" x14ac:dyDescent="0.2"/>
    <row r="184" ht="17.25" customHeight="1" x14ac:dyDescent="0.2"/>
    <row r="185" ht="17.25" customHeight="1" x14ac:dyDescent="0.2"/>
    <row r="186" ht="17.25" customHeight="1" x14ac:dyDescent="0.2"/>
    <row r="187" ht="17.25" customHeight="1" x14ac:dyDescent="0.2"/>
    <row r="188" ht="17.25" customHeight="1" x14ac:dyDescent="0.2"/>
    <row r="189" ht="17.25" customHeight="1" x14ac:dyDescent="0.2"/>
    <row r="190" ht="17.25" customHeight="1" x14ac:dyDescent="0.2"/>
    <row r="191" ht="17.25" customHeight="1" x14ac:dyDescent="0.2"/>
    <row r="192" ht="17.25" customHeight="1" x14ac:dyDescent="0.2"/>
    <row r="193" ht="17.25" customHeight="1" x14ac:dyDescent="0.2"/>
    <row r="194" ht="17.25" customHeight="1" x14ac:dyDescent="0.2"/>
    <row r="195" ht="17.25" customHeight="1" x14ac:dyDescent="0.2"/>
    <row r="196" ht="17.25" customHeight="1" x14ac:dyDescent="0.2"/>
    <row r="197" ht="17.25" customHeight="1" x14ac:dyDescent="0.2"/>
    <row r="198" ht="17.25" customHeight="1" x14ac:dyDescent="0.2"/>
    <row r="199" ht="17.25" customHeight="1" x14ac:dyDescent="0.2"/>
    <row r="200" ht="17.25" customHeight="1" x14ac:dyDescent="0.2"/>
    <row r="201" ht="17.25" customHeight="1" x14ac:dyDescent="0.2"/>
    <row r="202" ht="17.25" customHeight="1" x14ac:dyDescent="0.2"/>
    <row r="203" ht="17.25" customHeight="1" x14ac:dyDescent="0.2"/>
    <row r="204" ht="17.25" customHeight="1" x14ac:dyDescent="0.2"/>
    <row r="205" ht="17.25" customHeight="1" x14ac:dyDescent="0.2"/>
    <row r="206" ht="17.25" customHeight="1" x14ac:dyDescent="0.2"/>
    <row r="207" ht="17.25" customHeight="1" x14ac:dyDescent="0.2"/>
    <row r="208" ht="17.25" customHeight="1" x14ac:dyDescent="0.2"/>
    <row r="209" ht="17.25" customHeight="1" x14ac:dyDescent="0.2"/>
    <row r="210" ht="17.25" customHeight="1" x14ac:dyDescent="0.2"/>
    <row r="211" ht="17.25" customHeight="1" x14ac:dyDescent="0.2"/>
    <row r="212" ht="17.25" customHeight="1" x14ac:dyDescent="0.2"/>
    <row r="213" ht="17.25" customHeight="1" x14ac:dyDescent="0.2"/>
    <row r="214" ht="17.25" customHeight="1" x14ac:dyDescent="0.2"/>
    <row r="215" ht="17.25" customHeight="1" x14ac:dyDescent="0.2"/>
    <row r="216" ht="17.25" customHeight="1" x14ac:dyDescent="0.2"/>
    <row r="217" ht="17.25" customHeight="1" x14ac:dyDescent="0.2"/>
    <row r="218" ht="17.25" customHeight="1" x14ac:dyDescent="0.2"/>
    <row r="219" ht="17.25" customHeight="1" x14ac:dyDescent="0.2"/>
    <row r="220" ht="17.25" customHeight="1" x14ac:dyDescent="0.2"/>
    <row r="221" ht="17.25" customHeight="1" x14ac:dyDescent="0.2"/>
    <row r="222" ht="17.25" customHeight="1" x14ac:dyDescent="0.2"/>
    <row r="223" ht="17.25" customHeight="1" x14ac:dyDescent="0.2"/>
    <row r="224" ht="17.25" customHeight="1" x14ac:dyDescent="0.2"/>
    <row r="225" ht="17.25" customHeight="1" x14ac:dyDescent="0.2"/>
    <row r="226" ht="17.25" customHeight="1" x14ac:dyDescent="0.2"/>
    <row r="227" ht="17.25" customHeight="1" x14ac:dyDescent="0.2"/>
    <row r="228" ht="17.25" customHeight="1" x14ac:dyDescent="0.2"/>
    <row r="229" ht="17.25" customHeight="1" x14ac:dyDescent="0.2"/>
    <row r="230" ht="17.25" customHeight="1" x14ac:dyDescent="0.2"/>
    <row r="231" ht="17.25" customHeight="1" x14ac:dyDescent="0.2"/>
    <row r="232" ht="17.25" customHeight="1" x14ac:dyDescent="0.2"/>
    <row r="233" ht="17.25" customHeight="1" x14ac:dyDescent="0.2"/>
    <row r="234" ht="17.25" customHeight="1" x14ac:dyDescent="0.2"/>
    <row r="235" ht="17.25" customHeight="1" x14ac:dyDescent="0.2"/>
    <row r="236" ht="17.25" customHeight="1" x14ac:dyDescent="0.2"/>
    <row r="237" ht="17.25" customHeight="1" x14ac:dyDescent="0.2"/>
    <row r="238" ht="17.25" customHeight="1" x14ac:dyDescent="0.2"/>
    <row r="239" ht="17.25" customHeight="1" x14ac:dyDescent="0.2"/>
    <row r="240" ht="17.25" customHeight="1" x14ac:dyDescent="0.2"/>
    <row r="241" ht="17.25" customHeight="1" x14ac:dyDescent="0.2"/>
    <row r="242" ht="17.25" customHeight="1" x14ac:dyDescent="0.2"/>
    <row r="243" ht="17.25" customHeight="1" x14ac:dyDescent="0.2"/>
    <row r="244" ht="17.25" customHeight="1" x14ac:dyDescent="0.2"/>
    <row r="245" ht="17.25" customHeight="1" x14ac:dyDescent="0.2"/>
    <row r="246" ht="17.25" customHeight="1" x14ac:dyDescent="0.2"/>
    <row r="247" ht="17.25" customHeight="1" x14ac:dyDescent="0.2"/>
    <row r="248" ht="17.25" customHeight="1" x14ac:dyDescent="0.2"/>
    <row r="249" ht="17.25" customHeight="1" x14ac:dyDescent="0.2"/>
    <row r="250" ht="17.25" customHeight="1" x14ac:dyDescent="0.2"/>
    <row r="251" ht="17.25" customHeight="1" x14ac:dyDescent="0.2"/>
    <row r="252" ht="17.25" customHeight="1" x14ac:dyDescent="0.2"/>
    <row r="253" ht="17.25" customHeight="1" x14ac:dyDescent="0.2"/>
    <row r="254" ht="17.25" customHeight="1" x14ac:dyDescent="0.2"/>
    <row r="255" ht="17.25" customHeight="1" x14ac:dyDescent="0.2"/>
    <row r="256" ht="17.25" customHeight="1" x14ac:dyDescent="0.2"/>
    <row r="257" ht="17.25" customHeight="1" x14ac:dyDescent="0.2"/>
    <row r="258" ht="17.25" customHeight="1" x14ac:dyDescent="0.2"/>
    <row r="259" ht="17.25" customHeight="1" x14ac:dyDescent="0.2"/>
    <row r="260" ht="17.25" customHeight="1" x14ac:dyDescent="0.2"/>
    <row r="261" ht="17.25" customHeight="1" x14ac:dyDescent="0.2"/>
    <row r="262" ht="17.25" customHeight="1" x14ac:dyDescent="0.2"/>
    <row r="263" ht="17.25" customHeight="1" x14ac:dyDescent="0.2"/>
    <row r="264" ht="17.25" customHeight="1" x14ac:dyDescent="0.2"/>
    <row r="265" ht="17.25" customHeight="1" x14ac:dyDescent="0.2"/>
    <row r="266" ht="17.25" customHeight="1" x14ac:dyDescent="0.2"/>
    <row r="267" ht="17.25" customHeight="1" x14ac:dyDescent="0.2"/>
    <row r="268" ht="17.25" customHeight="1" x14ac:dyDescent="0.2"/>
    <row r="269" ht="17.25" customHeight="1" x14ac:dyDescent="0.2"/>
    <row r="270" ht="17.25" customHeight="1" x14ac:dyDescent="0.2"/>
    <row r="271" ht="17.25" customHeight="1" x14ac:dyDescent="0.2"/>
    <row r="272" ht="17.25" customHeight="1" x14ac:dyDescent="0.2"/>
    <row r="273" ht="17.25" customHeight="1" x14ac:dyDescent="0.2"/>
    <row r="274" ht="17.25" customHeight="1" x14ac:dyDescent="0.2"/>
    <row r="275" ht="17.25" customHeight="1" x14ac:dyDescent="0.2"/>
    <row r="276" ht="17.25" customHeight="1" x14ac:dyDescent="0.2"/>
    <row r="277" ht="17.25" customHeight="1" x14ac:dyDescent="0.2"/>
    <row r="278" ht="17.25" customHeight="1" x14ac:dyDescent="0.2"/>
    <row r="279" ht="17.25" customHeight="1" x14ac:dyDescent="0.2"/>
    <row r="280" ht="17.25" customHeight="1" x14ac:dyDescent="0.2"/>
    <row r="281" ht="17.25" customHeight="1" x14ac:dyDescent="0.2"/>
    <row r="282" ht="17.25" customHeight="1" x14ac:dyDescent="0.2"/>
    <row r="283" ht="17.25" customHeight="1" x14ac:dyDescent="0.2"/>
    <row r="284" ht="17.25" customHeight="1" x14ac:dyDescent="0.2"/>
    <row r="285" ht="17.25" customHeight="1" x14ac:dyDescent="0.2"/>
    <row r="286" ht="17.25" customHeight="1" x14ac:dyDescent="0.2"/>
    <row r="287" ht="17.25" customHeight="1" x14ac:dyDescent="0.2"/>
    <row r="288" ht="17.25" customHeight="1" x14ac:dyDescent="0.2"/>
    <row r="289" ht="17.25" customHeight="1" x14ac:dyDescent="0.2"/>
    <row r="290" ht="17.25" customHeight="1" x14ac:dyDescent="0.2"/>
    <row r="291" ht="17.25" customHeight="1" x14ac:dyDescent="0.2"/>
    <row r="292" ht="17.25" customHeight="1" x14ac:dyDescent="0.2"/>
    <row r="293" ht="17.25" customHeight="1" x14ac:dyDescent="0.2"/>
    <row r="294" ht="17.25" customHeight="1" x14ac:dyDescent="0.2"/>
    <row r="295" ht="17.25" customHeight="1" x14ac:dyDescent="0.2"/>
    <row r="296" ht="17.25" customHeight="1" x14ac:dyDescent="0.2"/>
    <row r="297" ht="17.25" customHeight="1" x14ac:dyDescent="0.2"/>
    <row r="298" ht="17.25" customHeight="1" x14ac:dyDescent="0.2"/>
    <row r="299" ht="17.25" customHeight="1" x14ac:dyDescent="0.2"/>
    <row r="300" ht="17.25" customHeight="1" x14ac:dyDescent="0.2"/>
    <row r="301" ht="17.25" customHeight="1" x14ac:dyDescent="0.2"/>
    <row r="302" ht="17.25" customHeight="1" x14ac:dyDescent="0.2"/>
    <row r="303" ht="17.25" customHeight="1" x14ac:dyDescent="0.2"/>
    <row r="304" ht="17.25" customHeight="1" x14ac:dyDescent="0.2"/>
    <row r="305" ht="17.25" customHeight="1" x14ac:dyDescent="0.2"/>
    <row r="306" ht="17.25" customHeight="1" x14ac:dyDescent="0.2"/>
    <row r="307" ht="17.25" customHeight="1" x14ac:dyDescent="0.2"/>
    <row r="308" ht="17.25" customHeight="1" x14ac:dyDescent="0.2"/>
    <row r="309" ht="17.25" customHeight="1" x14ac:dyDescent="0.2"/>
    <row r="310" ht="17.25" customHeight="1" x14ac:dyDescent="0.2"/>
    <row r="311" ht="17.25" customHeight="1" x14ac:dyDescent="0.2"/>
    <row r="312" ht="17.25" customHeight="1" x14ac:dyDescent="0.2"/>
    <row r="313" ht="17.25" customHeight="1" x14ac:dyDescent="0.2"/>
    <row r="314" ht="17.25" customHeight="1" x14ac:dyDescent="0.2"/>
    <row r="315" ht="17.25" customHeight="1" x14ac:dyDescent="0.2"/>
    <row r="316" ht="17.25" customHeight="1" x14ac:dyDescent="0.2"/>
    <row r="317" ht="17.25" customHeight="1" x14ac:dyDescent="0.2"/>
    <row r="318" ht="17.25" customHeight="1" x14ac:dyDescent="0.2"/>
    <row r="319" ht="17.25" customHeight="1" x14ac:dyDescent="0.2"/>
    <row r="320" ht="17.25" customHeight="1" x14ac:dyDescent="0.2"/>
    <row r="321" ht="17.25" customHeight="1" x14ac:dyDescent="0.2"/>
    <row r="322" ht="17.25" customHeight="1" x14ac:dyDescent="0.2"/>
    <row r="323" ht="17.25" customHeight="1" x14ac:dyDescent="0.2"/>
    <row r="324" ht="17.25" customHeight="1" x14ac:dyDescent="0.2"/>
    <row r="325" ht="17.25" customHeight="1" x14ac:dyDescent="0.2"/>
    <row r="326" ht="17.25" customHeight="1" x14ac:dyDescent="0.2"/>
    <row r="327" ht="17.25" customHeight="1" x14ac:dyDescent="0.2"/>
    <row r="328" ht="17.25" customHeight="1" x14ac:dyDescent="0.2"/>
    <row r="329" ht="17.25" customHeight="1" x14ac:dyDescent="0.2"/>
    <row r="330" ht="17.25" customHeight="1" x14ac:dyDescent="0.2"/>
    <row r="331" ht="17.25" customHeight="1" x14ac:dyDescent="0.2"/>
    <row r="332" ht="17.25" customHeight="1" x14ac:dyDescent="0.2"/>
    <row r="333" ht="17.25" customHeight="1" x14ac:dyDescent="0.2"/>
    <row r="334" ht="17.25" customHeight="1" x14ac:dyDescent="0.2"/>
    <row r="335" ht="17.25" customHeight="1" x14ac:dyDescent="0.2"/>
    <row r="336" ht="17.25" customHeight="1" x14ac:dyDescent="0.2"/>
    <row r="337" ht="17.25" customHeight="1" x14ac:dyDescent="0.2"/>
    <row r="338" ht="17.25" customHeight="1" x14ac:dyDescent="0.2"/>
    <row r="339" ht="17.25" customHeight="1" x14ac:dyDescent="0.2"/>
    <row r="340" ht="17.25" customHeight="1" x14ac:dyDescent="0.2"/>
    <row r="341" ht="17.25" customHeight="1" x14ac:dyDescent="0.2"/>
    <row r="342" ht="17.25" customHeight="1" x14ac:dyDescent="0.2"/>
    <row r="343" ht="17.25" customHeight="1" x14ac:dyDescent="0.2"/>
    <row r="344" ht="17.25" customHeight="1" x14ac:dyDescent="0.2"/>
    <row r="345" ht="17.25" customHeight="1" x14ac:dyDescent="0.2"/>
    <row r="346" ht="17.25" customHeight="1" x14ac:dyDescent="0.2"/>
    <row r="347" ht="17.25" customHeight="1" x14ac:dyDescent="0.2"/>
    <row r="348" ht="17.25" customHeight="1" x14ac:dyDescent="0.2"/>
    <row r="349" ht="17.25" customHeight="1" x14ac:dyDescent="0.2"/>
    <row r="350" ht="17.25" customHeight="1" x14ac:dyDescent="0.2"/>
    <row r="351" ht="17.25" customHeight="1" x14ac:dyDescent="0.2"/>
    <row r="352" ht="17.25" customHeight="1" x14ac:dyDescent="0.2"/>
    <row r="353" ht="17.25" customHeight="1" x14ac:dyDescent="0.2"/>
    <row r="354" ht="17.25" customHeight="1" x14ac:dyDescent="0.2"/>
    <row r="355" ht="17.25" customHeight="1" x14ac:dyDescent="0.2"/>
    <row r="356" ht="17.25" customHeight="1" x14ac:dyDescent="0.2"/>
    <row r="357" ht="17.25" customHeight="1" x14ac:dyDescent="0.2"/>
    <row r="358" ht="17.25" customHeight="1" x14ac:dyDescent="0.2"/>
    <row r="359" ht="17.25" customHeight="1" x14ac:dyDescent="0.2"/>
    <row r="360" ht="17.25" customHeight="1" x14ac:dyDescent="0.2"/>
    <row r="361" ht="17.25" customHeight="1" x14ac:dyDescent="0.2"/>
    <row r="362" ht="17.25" customHeight="1" x14ac:dyDescent="0.2"/>
    <row r="363" ht="17.25" customHeight="1" x14ac:dyDescent="0.2"/>
    <row r="364" ht="17.25" customHeight="1" x14ac:dyDescent="0.2"/>
    <row r="365" ht="17.25" customHeight="1" x14ac:dyDescent="0.2"/>
    <row r="366" ht="17.25" customHeight="1" x14ac:dyDescent="0.2"/>
    <row r="367" ht="17.25" customHeight="1" x14ac:dyDescent="0.2"/>
    <row r="368" ht="17.25" customHeight="1" x14ac:dyDescent="0.2"/>
    <row r="369" ht="17.25" customHeight="1" x14ac:dyDescent="0.2"/>
    <row r="370" ht="17.25" customHeight="1" x14ac:dyDescent="0.2"/>
    <row r="371" ht="17.25" customHeight="1" x14ac:dyDescent="0.2"/>
    <row r="372" ht="17.25" customHeight="1" x14ac:dyDescent="0.2"/>
    <row r="373" ht="17.25" customHeight="1" x14ac:dyDescent="0.2"/>
    <row r="374" ht="17.25" customHeight="1" x14ac:dyDescent="0.2"/>
    <row r="375" ht="17.25" customHeight="1" x14ac:dyDescent="0.2"/>
    <row r="376" ht="17.25" customHeight="1" x14ac:dyDescent="0.2"/>
    <row r="377" ht="17.25" customHeight="1" x14ac:dyDescent="0.2"/>
    <row r="378" ht="17.25" customHeight="1" x14ac:dyDescent="0.2"/>
    <row r="379" ht="17.25" customHeight="1" x14ac:dyDescent="0.2"/>
    <row r="380" ht="17.25" customHeight="1" x14ac:dyDescent="0.2"/>
    <row r="381" ht="17.25" customHeight="1" x14ac:dyDescent="0.2"/>
    <row r="382" ht="17.25" customHeight="1" x14ac:dyDescent="0.2"/>
    <row r="383" ht="17.25" customHeight="1" x14ac:dyDescent="0.2"/>
    <row r="384" ht="17.25" customHeight="1" x14ac:dyDescent="0.2"/>
    <row r="385" ht="17.25" customHeight="1" x14ac:dyDescent="0.2"/>
    <row r="386" ht="17.25" customHeight="1" x14ac:dyDescent="0.2"/>
    <row r="387" ht="17.25" customHeight="1" x14ac:dyDescent="0.2"/>
    <row r="388" ht="17.25" customHeight="1" x14ac:dyDescent="0.2"/>
    <row r="389" ht="17.25" customHeight="1" x14ac:dyDescent="0.2"/>
    <row r="390" ht="17.25" customHeight="1" x14ac:dyDescent="0.2"/>
    <row r="391" ht="17.25" customHeight="1" x14ac:dyDescent="0.2"/>
    <row r="392" ht="17.25" customHeight="1" x14ac:dyDescent="0.2"/>
    <row r="393" ht="17.25" customHeight="1" x14ac:dyDescent="0.2"/>
    <row r="394" ht="17.25" customHeight="1" x14ac:dyDescent="0.2"/>
    <row r="395" ht="17.25" customHeight="1" x14ac:dyDescent="0.2"/>
    <row r="396" ht="17.25" customHeight="1" x14ac:dyDescent="0.2"/>
    <row r="397" ht="17.25" customHeight="1" x14ac:dyDescent="0.2"/>
    <row r="398" ht="17.25" customHeight="1" x14ac:dyDescent="0.2"/>
    <row r="399" ht="17.25" customHeight="1" x14ac:dyDescent="0.2"/>
    <row r="400" ht="17.25" customHeight="1" x14ac:dyDescent="0.2"/>
    <row r="401" ht="17.25" customHeight="1" x14ac:dyDescent="0.2"/>
    <row r="402" ht="17.25" customHeight="1" x14ac:dyDescent="0.2"/>
    <row r="403" ht="17.25" customHeight="1" x14ac:dyDescent="0.2"/>
    <row r="404" ht="17.25" customHeight="1" x14ac:dyDescent="0.2"/>
    <row r="405" ht="17.25" customHeight="1" x14ac:dyDescent="0.2"/>
    <row r="406" ht="17.25" customHeight="1" x14ac:dyDescent="0.2"/>
    <row r="407" ht="17.25" customHeight="1" x14ac:dyDescent="0.2"/>
    <row r="408" ht="17.25" customHeight="1" x14ac:dyDescent="0.2"/>
    <row r="409" ht="17.25" customHeight="1" x14ac:dyDescent="0.2"/>
    <row r="410" ht="17.25" customHeight="1" x14ac:dyDescent="0.2"/>
    <row r="411" ht="17.25" customHeight="1" x14ac:dyDescent="0.2"/>
    <row r="412" ht="17.25" customHeight="1" x14ac:dyDescent="0.2"/>
    <row r="413" ht="17.25" customHeight="1" x14ac:dyDescent="0.2"/>
    <row r="414" ht="17.25" customHeight="1" x14ac:dyDescent="0.2"/>
    <row r="415" ht="17.25" customHeight="1" x14ac:dyDescent="0.2"/>
    <row r="416" ht="17.25" customHeight="1" x14ac:dyDescent="0.2"/>
    <row r="417" ht="17.25" customHeight="1" x14ac:dyDescent="0.2"/>
    <row r="418" ht="17.25" customHeight="1" x14ac:dyDescent="0.2"/>
    <row r="419" ht="17.25" customHeight="1" x14ac:dyDescent="0.2"/>
    <row r="420" ht="17.25" customHeight="1" x14ac:dyDescent="0.2"/>
    <row r="421" ht="17.25" customHeight="1" x14ac:dyDescent="0.2"/>
    <row r="422" ht="17.25" customHeight="1" x14ac:dyDescent="0.2"/>
    <row r="423" ht="17.25" customHeight="1" x14ac:dyDescent="0.2"/>
    <row r="424" ht="17.25" customHeight="1" x14ac:dyDescent="0.2"/>
    <row r="425" ht="17.25" customHeight="1" x14ac:dyDescent="0.2"/>
    <row r="426" ht="17.25" customHeight="1" x14ac:dyDescent="0.2"/>
    <row r="427" ht="17.25" customHeight="1" x14ac:dyDescent="0.2"/>
    <row r="428" ht="17.25" customHeight="1" x14ac:dyDescent="0.2"/>
    <row r="429" ht="17.25" customHeight="1" x14ac:dyDescent="0.2"/>
    <row r="430" ht="17.25" customHeight="1" x14ac:dyDescent="0.2"/>
    <row r="431" ht="17.25" customHeight="1" x14ac:dyDescent="0.2"/>
    <row r="432" ht="17.25" customHeight="1" x14ac:dyDescent="0.2"/>
    <row r="433" ht="17.25" customHeight="1" x14ac:dyDescent="0.2"/>
    <row r="434" ht="17.25" customHeight="1" x14ac:dyDescent="0.2"/>
    <row r="435" ht="17.25" customHeight="1" x14ac:dyDescent="0.2"/>
    <row r="436" ht="17.25" customHeight="1" x14ac:dyDescent="0.2"/>
    <row r="437" ht="17.25" customHeight="1" x14ac:dyDescent="0.2"/>
    <row r="438" ht="17.25" customHeight="1" x14ac:dyDescent="0.2"/>
    <row r="439" ht="17.25" customHeight="1" x14ac:dyDescent="0.2"/>
    <row r="440" ht="17.25" customHeight="1" x14ac:dyDescent="0.2"/>
    <row r="441" ht="17.25" customHeight="1" x14ac:dyDescent="0.2"/>
    <row r="442" ht="17.25" customHeight="1" x14ac:dyDescent="0.2"/>
    <row r="443" ht="17.25" customHeight="1" x14ac:dyDescent="0.2"/>
    <row r="444" ht="17.25" customHeight="1" x14ac:dyDescent="0.2"/>
    <row r="445" ht="17.25" customHeight="1" x14ac:dyDescent="0.2"/>
    <row r="446" ht="17.25" customHeight="1" x14ac:dyDescent="0.2"/>
    <row r="447" ht="17.25" customHeight="1" x14ac:dyDescent="0.2"/>
    <row r="448" ht="17.25" customHeight="1" x14ac:dyDescent="0.2"/>
    <row r="449" ht="17.25" customHeight="1" x14ac:dyDescent="0.2"/>
    <row r="450" ht="17.25" customHeight="1" x14ac:dyDescent="0.2"/>
    <row r="451" ht="17.25" customHeight="1" x14ac:dyDescent="0.2"/>
    <row r="452" ht="17.25" customHeight="1" x14ac:dyDescent="0.2"/>
    <row r="453" ht="17.25" customHeight="1" x14ac:dyDescent="0.2"/>
    <row r="454" ht="17.25" customHeight="1" x14ac:dyDescent="0.2"/>
    <row r="455" ht="17.25" customHeight="1" x14ac:dyDescent="0.2"/>
    <row r="456" ht="17.25" customHeight="1" x14ac:dyDescent="0.2"/>
    <row r="457" ht="17.25" customHeight="1" x14ac:dyDescent="0.2"/>
    <row r="458" ht="17.25" customHeight="1" x14ac:dyDescent="0.2"/>
    <row r="459" ht="17.25" customHeight="1" x14ac:dyDescent="0.2"/>
    <row r="460" ht="17.25" customHeight="1" x14ac:dyDescent="0.2"/>
    <row r="461" ht="17.25" customHeight="1" x14ac:dyDescent="0.2"/>
    <row r="462" ht="17.25" customHeight="1" x14ac:dyDescent="0.2"/>
    <row r="463" ht="17.25" customHeight="1" x14ac:dyDescent="0.2"/>
    <row r="464" ht="17.25" customHeight="1" x14ac:dyDescent="0.2"/>
    <row r="465" ht="17.25" customHeight="1" x14ac:dyDescent="0.2"/>
    <row r="466" ht="17.25" customHeight="1" x14ac:dyDescent="0.2"/>
    <row r="467" ht="17.25" customHeight="1" x14ac:dyDescent="0.2"/>
    <row r="468" ht="17.25" customHeight="1" x14ac:dyDescent="0.2"/>
    <row r="469" ht="17.25" customHeight="1" x14ac:dyDescent="0.2"/>
    <row r="470" ht="17.25" customHeight="1" x14ac:dyDescent="0.2"/>
    <row r="471" ht="17.25" customHeight="1" x14ac:dyDescent="0.2"/>
    <row r="472" ht="17.25" customHeight="1" x14ac:dyDescent="0.2"/>
    <row r="473" ht="17.25" customHeight="1" x14ac:dyDescent="0.2"/>
    <row r="474" ht="17.25" customHeight="1" x14ac:dyDescent="0.2"/>
    <row r="475" ht="17.25" customHeight="1" x14ac:dyDescent="0.2"/>
    <row r="476" ht="17.25" customHeight="1" x14ac:dyDescent="0.2"/>
    <row r="477" ht="17.25" customHeight="1" x14ac:dyDescent="0.2"/>
    <row r="478" ht="17.25" customHeight="1" x14ac:dyDescent="0.2"/>
    <row r="479" ht="17.25" customHeight="1" x14ac:dyDescent="0.2"/>
    <row r="480" ht="17.25" customHeight="1" x14ac:dyDescent="0.2"/>
    <row r="481" ht="17.25" customHeight="1" x14ac:dyDescent="0.2"/>
    <row r="482" ht="17.25" customHeight="1" x14ac:dyDescent="0.2"/>
    <row r="483" ht="17.25" customHeight="1" x14ac:dyDescent="0.2"/>
    <row r="484" ht="17.25" customHeight="1" x14ac:dyDescent="0.2"/>
    <row r="485" ht="17.25" customHeight="1" x14ac:dyDescent="0.2"/>
    <row r="486" ht="17.25" customHeight="1" x14ac:dyDescent="0.2"/>
    <row r="487" ht="17.25" customHeight="1" x14ac:dyDescent="0.2"/>
    <row r="488" ht="17.25" customHeight="1" x14ac:dyDescent="0.2"/>
    <row r="489" ht="17.25" customHeight="1" x14ac:dyDescent="0.2"/>
    <row r="490" ht="17.25" customHeight="1" x14ac:dyDescent="0.2"/>
    <row r="491" ht="17.25" customHeight="1" x14ac:dyDescent="0.2"/>
    <row r="492" ht="17.25" customHeight="1" x14ac:dyDescent="0.2"/>
    <row r="493" ht="17.25" customHeight="1" x14ac:dyDescent="0.2"/>
    <row r="494" ht="17.25" customHeight="1" x14ac:dyDescent="0.2"/>
    <row r="495" ht="17.25" customHeight="1" x14ac:dyDescent="0.2"/>
    <row r="496" ht="17.25" customHeight="1" x14ac:dyDescent="0.2"/>
    <row r="497" ht="17.25" customHeight="1" x14ac:dyDescent="0.2"/>
    <row r="498" ht="17.25" customHeight="1" x14ac:dyDescent="0.2"/>
    <row r="499" ht="17.25" customHeight="1" x14ac:dyDescent="0.2"/>
    <row r="500" ht="17.25" customHeight="1" x14ac:dyDescent="0.2"/>
    <row r="501" ht="17.25" customHeight="1" x14ac:dyDescent="0.2"/>
    <row r="502" ht="17.25" customHeight="1" x14ac:dyDescent="0.2"/>
    <row r="503" ht="17.25" customHeight="1" x14ac:dyDescent="0.2"/>
    <row r="504" ht="17.25" customHeight="1" x14ac:dyDescent="0.2"/>
    <row r="505" ht="17.25" customHeight="1" x14ac:dyDescent="0.2"/>
    <row r="506" ht="17.25" customHeight="1" x14ac:dyDescent="0.2"/>
    <row r="507" ht="17.25" customHeight="1" x14ac:dyDescent="0.2"/>
    <row r="508" ht="17.25" customHeight="1" x14ac:dyDescent="0.2"/>
    <row r="509" ht="17.25" customHeight="1" x14ac:dyDescent="0.2"/>
    <row r="510" ht="17.25" customHeight="1" x14ac:dyDescent="0.2"/>
    <row r="511" ht="17.25" customHeight="1" x14ac:dyDescent="0.2"/>
    <row r="512" ht="17.25" customHeight="1" x14ac:dyDescent="0.2"/>
    <row r="513" ht="17.25" customHeight="1" x14ac:dyDescent="0.2"/>
    <row r="514" ht="17.25" customHeight="1" x14ac:dyDescent="0.2"/>
    <row r="515" ht="17.25" customHeight="1" x14ac:dyDescent="0.2"/>
    <row r="516" ht="17.25" customHeight="1" x14ac:dyDescent="0.2"/>
    <row r="517" ht="17.25" customHeight="1" x14ac:dyDescent="0.2"/>
    <row r="518" ht="17.25" customHeight="1" x14ac:dyDescent="0.2"/>
    <row r="519" ht="17.25" customHeight="1" x14ac:dyDescent="0.2"/>
    <row r="520" ht="17.25" customHeight="1" x14ac:dyDescent="0.2"/>
    <row r="521" ht="17.25" customHeight="1" x14ac:dyDescent="0.2"/>
    <row r="522" ht="17.25" customHeight="1" x14ac:dyDescent="0.2"/>
    <row r="523" ht="17.25" customHeight="1" x14ac:dyDescent="0.2"/>
    <row r="524" ht="17.25" customHeight="1" x14ac:dyDescent="0.2"/>
    <row r="525" ht="17.25" customHeight="1" x14ac:dyDescent="0.2"/>
    <row r="526" ht="17.25" customHeight="1" x14ac:dyDescent="0.2"/>
    <row r="527" ht="17.25" customHeight="1" x14ac:dyDescent="0.2"/>
    <row r="528" ht="17.25" customHeight="1" x14ac:dyDescent="0.2"/>
    <row r="529" ht="17.25" customHeight="1" x14ac:dyDescent="0.2"/>
    <row r="530" ht="17.25" customHeight="1" x14ac:dyDescent="0.2"/>
    <row r="531" ht="17.25" customHeight="1" x14ac:dyDescent="0.2"/>
    <row r="532" ht="17.25" customHeight="1" x14ac:dyDescent="0.2"/>
    <row r="533" ht="17.25" customHeight="1" x14ac:dyDescent="0.2"/>
    <row r="534" ht="17.25" customHeight="1" x14ac:dyDescent="0.2"/>
    <row r="535" ht="17.25" customHeight="1" x14ac:dyDescent="0.2"/>
    <row r="536" ht="17.25" customHeight="1" x14ac:dyDescent="0.2"/>
    <row r="537" ht="17.25" customHeight="1" x14ac:dyDescent="0.2"/>
    <row r="538" ht="17.25" customHeight="1" x14ac:dyDescent="0.2"/>
    <row r="539" ht="17.25" customHeight="1" x14ac:dyDescent="0.2"/>
    <row r="540" ht="17.25" customHeight="1" x14ac:dyDescent="0.2"/>
    <row r="541" ht="17.25" customHeight="1" x14ac:dyDescent="0.2"/>
    <row r="542" ht="17.25" customHeight="1" x14ac:dyDescent="0.2"/>
    <row r="543" ht="17.25" customHeight="1" x14ac:dyDescent="0.2"/>
    <row r="544" ht="17.25" customHeight="1" x14ac:dyDescent="0.2"/>
    <row r="545" ht="17.25" customHeight="1" x14ac:dyDescent="0.2"/>
    <row r="546" ht="17.25" customHeight="1" x14ac:dyDescent="0.2"/>
    <row r="547" ht="17.25" customHeight="1" x14ac:dyDescent="0.2"/>
    <row r="548" ht="17.25" customHeight="1" x14ac:dyDescent="0.2"/>
    <row r="549" ht="17.25" customHeight="1" x14ac:dyDescent="0.2"/>
    <row r="550" ht="17.25" customHeight="1" x14ac:dyDescent="0.2"/>
    <row r="551" ht="17.25" customHeight="1" x14ac:dyDescent="0.2"/>
    <row r="552" ht="17.25" customHeight="1" x14ac:dyDescent="0.2"/>
    <row r="553" ht="17.25" customHeight="1" x14ac:dyDescent="0.2"/>
    <row r="554" ht="17.25" customHeight="1" x14ac:dyDescent="0.2"/>
    <row r="555" ht="17.25" customHeight="1" x14ac:dyDescent="0.2"/>
    <row r="556" ht="17.25" customHeight="1" x14ac:dyDescent="0.2"/>
    <row r="557" ht="17.25" customHeight="1" x14ac:dyDescent="0.2"/>
    <row r="558" ht="17.25" customHeight="1" x14ac:dyDescent="0.2"/>
    <row r="559" ht="17.25" customHeight="1" x14ac:dyDescent="0.2"/>
    <row r="560" ht="17.25" customHeight="1" x14ac:dyDescent="0.2"/>
    <row r="561" ht="17.25" customHeight="1" x14ac:dyDescent="0.2"/>
    <row r="562" ht="17.25" customHeight="1" x14ac:dyDescent="0.2"/>
    <row r="563" ht="17.25" customHeight="1" x14ac:dyDescent="0.2"/>
    <row r="564" ht="17.25" customHeight="1" x14ac:dyDescent="0.2"/>
    <row r="565" ht="17.25" customHeight="1" x14ac:dyDescent="0.2"/>
    <row r="566" ht="17.25" customHeight="1" x14ac:dyDescent="0.2"/>
    <row r="567" ht="17.25" customHeight="1" x14ac:dyDescent="0.2"/>
    <row r="568" ht="17.25" customHeight="1" x14ac:dyDescent="0.2"/>
    <row r="569" ht="17.25" customHeight="1" x14ac:dyDescent="0.2"/>
    <row r="570" ht="17.25" customHeight="1" x14ac:dyDescent="0.2"/>
    <row r="571" ht="17.25" customHeight="1" x14ac:dyDescent="0.2"/>
    <row r="572" ht="17.25" customHeight="1" x14ac:dyDescent="0.2"/>
    <row r="573" ht="17.25" customHeight="1" x14ac:dyDescent="0.2"/>
    <row r="574" ht="17.25" customHeight="1" x14ac:dyDescent="0.2"/>
    <row r="575" ht="17.25" customHeight="1" x14ac:dyDescent="0.2"/>
    <row r="576" ht="17.25" customHeight="1" x14ac:dyDescent="0.2"/>
    <row r="577" ht="17.25" customHeight="1" x14ac:dyDescent="0.2"/>
    <row r="578" ht="17.25" customHeight="1" x14ac:dyDescent="0.2"/>
    <row r="579" ht="17.25" customHeight="1" x14ac:dyDescent="0.2"/>
    <row r="580" ht="17.25" customHeight="1" x14ac:dyDescent="0.2"/>
    <row r="581" ht="17.25" customHeight="1" x14ac:dyDescent="0.2"/>
    <row r="582" ht="17.25" customHeight="1" x14ac:dyDescent="0.2"/>
    <row r="583" ht="17.25" customHeight="1" x14ac:dyDescent="0.2"/>
    <row r="584" ht="17.25" customHeight="1" x14ac:dyDescent="0.2"/>
    <row r="585" ht="17.25" customHeight="1" x14ac:dyDescent="0.2"/>
    <row r="586" ht="17.25" customHeight="1" x14ac:dyDescent="0.2"/>
    <row r="587" ht="17.25" customHeight="1" x14ac:dyDescent="0.2"/>
    <row r="588" ht="17.25" customHeight="1" x14ac:dyDescent="0.2"/>
    <row r="589" ht="17.25" customHeight="1" x14ac:dyDescent="0.2"/>
    <row r="590" ht="17.25" customHeight="1" x14ac:dyDescent="0.2"/>
    <row r="591" ht="17.25" customHeight="1" x14ac:dyDescent="0.2"/>
    <row r="592" ht="17.25" customHeight="1" x14ac:dyDescent="0.2"/>
    <row r="593" ht="17.25" customHeight="1" x14ac:dyDescent="0.2"/>
    <row r="594" ht="17.25" customHeight="1" x14ac:dyDescent="0.2"/>
    <row r="595" ht="17.25" customHeight="1" x14ac:dyDescent="0.2"/>
    <row r="596" ht="17.25" customHeight="1" x14ac:dyDescent="0.2"/>
    <row r="597" ht="17.25" customHeight="1" x14ac:dyDescent="0.2"/>
    <row r="598" ht="17.25" customHeight="1" x14ac:dyDescent="0.2"/>
    <row r="599" ht="17.25" customHeight="1" x14ac:dyDescent="0.2"/>
    <row r="600" ht="17.25" customHeight="1" x14ac:dyDescent="0.2"/>
    <row r="601" ht="17.25" customHeight="1" x14ac:dyDescent="0.2"/>
    <row r="602" ht="17.25" customHeight="1" x14ac:dyDescent="0.2"/>
    <row r="603" ht="17.25" customHeight="1" x14ac:dyDescent="0.2"/>
    <row r="604" ht="17.25" customHeight="1" x14ac:dyDescent="0.2"/>
    <row r="605" ht="17.25" customHeight="1" x14ac:dyDescent="0.2"/>
    <row r="606" ht="17.25" customHeight="1" x14ac:dyDescent="0.2"/>
    <row r="607" ht="17.25" customHeight="1" x14ac:dyDescent="0.2"/>
    <row r="608" ht="17.25" customHeight="1" x14ac:dyDescent="0.2"/>
    <row r="609" ht="17.25" customHeight="1" x14ac:dyDescent="0.2"/>
    <row r="610" ht="17.25" customHeight="1" x14ac:dyDescent="0.2"/>
    <row r="611" ht="17.25" customHeight="1" x14ac:dyDescent="0.2"/>
    <row r="612" ht="17.25" customHeight="1" x14ac:dyDescent="0.2"/>
    <row r="613" ht="17.25" customHeight="1" x14ac:dyDescent="0.2"/>
    <row r="614" ht="17.25" customHeight="1" x14ac:dyDescent="0.2"/>
    <row r="615" ht="17.25" customHeight="1" x14ac:dyDescent="0.2"/>
    <row r="616" ht="17.25" customHeight="1" x14ac:dyDescent="0.2"/>
    <row r="617" ht="17.25" customHeight="1" x14ac:dyDescent="0.2"/>
    <row r="618" ht="17.25" customHeight="1" x14ac:dyDescent="0.2"/>
    <row r="619" ht="17.25" customHeight="1" x14ac:dyDescent="0.2"/>
    <row r="620" ht="17.25" customHeight="1" x14ac:dyDescent="0.2"/>
    <row r="621" ht="17.25" customHeight="1" x14ac:dyDescent="0.2"/>
    <row r="622" ht="17.25" customHeight="1" x14ac:dyDescent="0.2"/>
    <row r="623" ht="17.25" customHeight="1" x14ac:dyDescent="0.2"/>
    <row r="624" ht="17.25" customHeight="1" x14ac:dyDescent="0.2"/>
    <row r="625" ht="17.25" customHeight="1" x14ac:dyDescent="0.2"/>
    <row r="626" ht="17.25" customHeight="1" x14ac:dyDescent="0.2"/>
    <row r="627" ht="17.25" customHeight="1" x14ac:dyDescent="0.2"/>
    <row r="628" ht="17.25" customHeight="1" x14ac:dyDescent="0.2"/>
    <row r="629" ht="17.25" customHeight="1" x14ac:dyDescent="0.2"/>
    <row r="630" ht="17.25" customHeight="1" x14ac:dyDescent="0.2"/>
    <row r="631" ht="17.25" customHeight="1" x14ac:dyDescent="0.2"/>
    <row r="632" ht="17.25" customHeight="1" x14ac:dyDescent="0.2"/>
    <row r="633" ht="17.25" customHeight="1" x14ac:dyDescent="0.2"/>
    <row r="634" ht="17.25" customHeight="1" x14ac:dyDescent="0.2"/>
    <row r="635" ht="17.25" customHeight="1" x14ac:dyDescent="0.2"/>
    <row r="636" ht="17.25" customHeight="1" x14ac:dyDescent="0.2"/>
    <row r="637" ht="17.25" customHeight="1" x14ac:dyDescent="0.2"/>
    <row r="638" ht="17.25" customHeight="1" x14ac:dyDescent="0.2"/>
    <row r="639" ht="17.25" customHeight="1" x14ac:dyDescent="0.2"/>
    <row r="640" ht="17.25" customHeight="1" x14ac:dyDescent="0.2"/>
    <row r="641" ht="17.25" customHeight="1" x14ac:dyDescent="0.2"/>
    <row r="642" ht="17.25" customHeight="1" x14ac:dyDescent="0.2"/>
    <row r="643" ht="17.25" customHeight="1" x14ac:dyDescent="0.2"/>
    <row r="644" ht="17.25" customHeight="1" x14ac:dyDescent="0.2"/>
    <row r="645" ht="17.25" customHeight="1" x14ac:dyDescent="0.2"/>
    <row r="646" ht="17.25" customHeight="1" x14ac:dyDescent="0.2"/>
    <row r="647" ht="17.25" customHeight="1" x14ac:dyDescent="0.2"/>
    <row r="648" ht="17.25" customHeight="1" x14ac:dyDescent="0.2"/>
    <row r="649" ht="17.25" customHeight="1" x14ac:dyDescent="0.2"/>
    <row r="650" ht="17.25" customHeight="1" x14ac:dyDescent="0.2"/>
    <row r="651" ht="17.25" customHeight="1" x14ac:dyDescent="0.2"/>
    <row r="652" ht="17.25" customHeight="1" x14ac:dyDescent="0.2"/>
    <row r="653" ht="17.25" customHeight="1" x14ac:dyDescent="0.2"/>
    <row r="654" ht="17.25" customHeight="1" x14ac:dyDescent="0.2"/>
    <row r="655" ht="17.25" customHeight="1" x14ac:dyDescent="0.2"/>
    <row r="656" ht="17.25" customHeight="1" x14ac:dyDescent="0.2"/>
    <row r="657" ht="17.25" customHeight="1" x14ac:dyDescent="0.2"/>
    <row r="658" ht="17.25" customHeight="1" x14ac:dyDescent="0.2"/>
    <row r="659" ht="17.25" customHeight="1" x14ac:dyDescent="0.2"/>
    <row r="660" ht="17.25" customHeight="1" x14ac:dyDescent="0.2"/>
    <row r="661" ht="17.25" customHeight="1" x14ac:dyDescent="0.2"/>
    <row r="662" ht="17.25" customHeight="1" x14ac:dyDescent="0.2"/>
    <row r="663" ht="17.25" customHeight="1" x14ac:dyDescent="0.2"/>
    <row r="664" ht="17.25" customHeight="1" x14ac:dyDescent="0.2"/>
    <row r="665" ht="17.25" customHeight="1" x14ac:dyDescent="0.2"/>
    <row r="666" ht="17.25" customHeight="1" x14ac:dyDescent="0.2"/>
    <row r="667" ht="17.25" customHeight="1" x14ac:dyDescent="0.2"/>
    <row r="668" ht="17.25" customHeight="1" x14ac:dyDescent="0.2"/>
    <row r="669" ht="17.25" customHeight="1" x14ac:dyDescent="0.2"/>
    <row r="670" ht="17.25" customHeight="1" x14ac:dyDescent="0.2"/>
    <row r="671" ht="17.25" customHeight="1" x14ac:dyDescent="0.2"/>
    <row r="672" ht="17.25" customHeight="1" x14ac:dyDescent="0.2"/>
    <row r="673" ht="17.25" customHeight="1" x14ac:dyDescent="0.2"/>
    <row r="674" ht="17.25" customHeight="1" x14ac:dyDescent="0.2"/>
    <row r="675" ht="17.25" customHeight="1" x14ac:dyDescent="0.2"/>
    <row r="676" ht="17.25" customHeight="1" x14ac:dyDescent="0.2"/>
    <row r="677" ht="17.25" customHeight="1" x14ac:dyDescent="0.2"/>
    <row r="678" ht="17.25" customHeight="1" x14ac:dyDescent="0.2"/>
    <row r="679" ht="17.25" customHeight="1" x14ac:dyDescent="0.2"/>
    <row r="680" ht="17.25" customHeight="1" x14ac:dyDescent="0.2"/>
    <row r="681" ht="17.25" customHeight="1" x14ac:dyDescent="0.2"/>
    <row r="682" ht="17.25" customHeight="1" x14ac:dyDescent="0.2"/>
    <row r="683" ht="17.25" customHeight="1" x14ac:dyDescent="0.2"/>
    <row r="684" ht="17.25" customHeight="1" x14ac:dyDescent="0.2"/>
    <row r="685" ht="17.25" customHeight="1" x14ac:dyDescent="0.2"/>
    <row r="686" ht="17.25" customHeight="1" x14ac:dyDescent="0.2"/>
    <row r="687" ht="17.25" customHeight="1" x14ac:dyDescent="0.2"/>
    <row r="688" ht="17.25" customHeight="1" x14ac:dyDescent="0.2"/>
    <row r="689" ht="17.25" customHeight="1" x14ac:dyDescent="0.2"/>
    <row r="690" ht="17.25" customHeight="1" x14ac:dyDescent="0.2"/>
    <row r="691" ht="17.25" customHeight="1" x14ac:dyDescent="0.2"/>
    <row r="692" ht="17.25" customHeight="1" x14ac:dyDescent="0.2"/>
    <row r="693" ht="17.25" customHeight="1" x14ac:dyDescent="0.2"/>
    <row r="694" ht="17.25" customHeight="1" x14ac:dyDescent="0.2"/>
    <row r="695" ht="17.25" customHeight="1" x14ac:dyDescent="0.2"/>
    <row r="696" ht="17.25" customHeight="1" x14ac:dyDescent="0.2"/>
    <row r="697" ht="17.25" customHeight="1" x14ac:dyDescent="0.2"/>
    <row r="698" ht="17.25" customHeight="1" x14ac:dyDescent="0.2"/>
    <row r="699" ht="17.25" customHeight="1" x14ac:dyDescent="0.2"/>
    <row r="700" ht="17.25" customHeight="1" x14ac:dyDescent="0.2"/>
    <row r="701" ht="17.25" customHeight="1" x14ac:dyDescent="0.2"/>
    <row r="702" ht="17.25" customHeight="1" x14ac:dyDescent="0.2"/>
    <row r="703" ht="17.25" customHeight="1" x14ac:dyDescent="0.2"/>
    <row r="704" ht="17.25" customHeight="1" x14ac:dyDescent="0.2"/>
    <row r="705" ht="17.25" customHeight="1" x14ac:dyDescent="0.2"/>
    <row r="706" ht="17.25" customHeight="1" x14ac:dyDescent="0.2"/>
    <row r="707" ht="17.25" customHeight="1" x14ac:dyDescent="0.2"/>
    <row r="708" ht="17.25" customHeight="1" x14ac:dyDescent="0.2"/>
    <row r="709" ht="17.25" customHeight="1" x14ac:dyDescent="0.2"/>
    <row r="710" ht="17.25" customHeight="1" x14ac:dyDescent="0.2"/>
    <row r="711" ht="17.25" customHeight="1" x14ac:dyDescent="0.2"/>
    <row r="712" ht="17.25" customHeight="1" x14ac:dyDescent="0.2"/>
    <row r="713" ht="17.25" customHeight="1" x14ac:dyDescent="0.2"/>
    <row r="714" ht="17.25" customHeight="1" x14ac:dyDescent="0.2"/>
    <row r="715" ht="17.25" customHeight="1" x14ac:dyDescent="0.2"/>
    <row r="716" ht="17.25" customHeight="1" x14ac:dyDescent="0.2"/>
    <row r="717" ht="17.25" customHeight="1" x14ac:dyDescent="0.2"/>
    <row r="718" ht="17.25" customHeight="1" x14ac:dyDescent="0.2"/>
    <row r="719" ht="17.25" customHeight="1" x14ac:dyDescent="0.2"/>
    <row r="720" ht="17.25" customHeight="1" x14ac:dyDescent="0.2"/>
    <row r="721" ht="17.25" customHeight="1" x14ac:dyDescent="0.2"/>
    <row r="722" ht="17.25" customHeight="1" x14ac:dyDescent="0.2"/>
    <row r="723" ht="17.25" customHeight="1" x14ac:dyDescent="0.2"/>
    <row r="724" ht="17.25" customHeight="1" x14ac:dyDescent="0.2"/>
    <row r="725" ht="17.25" customHeight="1" x14ac:dyDescent="0.2"/>
    <row r="726" ht="17.25" customHeight="1" x14ac:dyDescent="0.2"/>
    <row r="727" ht="17.25" customHeight="1" x14ac:dyDescent="0.2"/>
    <row r="728" ht="17.25" customHeight="1" x14ac:dyDescent="0.2"/>
    <row r="729" ht="17.25" customHeight="1" x14ac:dyDescent="0.2"/>
    <row r="730" ht="17.25" customHeight="1" x14ac:dyDescent="0.2"/>
    <row r="731" ht="17.25" customHeight="1" x14ac:dyDescent="0.2"/>
    <row r="732" ht="17.25" customHeight="1" x14ac:dyDescent="0.2"/>
    <row r="733" ht="17.25" customHeight="1" x14ac:dyDescent="0.2"/>
    <row r="734" ht="17.25" customHeight="1" x14ac:dyDescent="0.2"/>
    <row r="735" ht="17.25" customHeight="1" x14ac:dyDescent="0.2"/>
    <row r="736" ht="17.25" customHeight="1" x14ac:dyDescent="0.2"/>
    <row r="737" ht="17.25" customHeight="1" x14ac:dyDescent="0.2"/>
    <row r="738" ht="17.25" customHeight="1" x14ac:dyDescent="0.2"/>
    <row r="739" ht="17.25" customHeight="1" x14ac:dyDescent="0.2"/>
    <row r="740" ht="17.25" customHeight="1" x14ac:dyDescent="0.2"/>
    <row r="741" ht="17.25" customHeight="1" x14ac:dyDescent="0.2"/>
    <row r="742" ht="17.25" customHeight="1" x14ac:dyDescent="0.2"/>
    <row r="743" ht="17.25" customHeight="1" x14ac:dyDescent="0.2"/>
    <row r="744" ht="17.25" customHeight="1" x14ac:dyDescent="0.2"/>
    <row r="745" ht="17.25" customHeight="1" x14ac:dyDescent="0.2"/>
    <row r="746" ht="17.25" customHeight="1" x14ac:dyDescent="0.2"/>
    <row r="747" ht="17.25" customHeight="1" x14ac:dyDescent="0.2"/>
    <row r="748" ht="17.25" customHeight="1" x14ac:dyDescent="0.2"/>
    <row r="749" ht="17.25" customHeight="1" x14ac:dyDescent="0.2"/>
    <row r="750" ht="17.25" customHeight="1" x14ac:dyDescent="0.2"/>
    <row r="751" ht="17.25" customHeight="1" x14ac:dyDescent="0.2"/>
    <row r="752" ht="17.25" customHeight="1" x14ac:dyDescent="0.2"/>
    <row r="753" ht="17.25" customHeight="1" x14ac:dyDescent="0.2"/>
    <row r="754" ht="17.25" customHeight="1" x14ac:dyDescent="0.2"/>
    <row r="755" ht="17.25" customHeight="1" x14ac:dyDescent="0.2"/>
    <row r="756" ht="17.25" customHeight="1" x14ac:dyDescent="0.2"/>
    <row r="757" ht="17.25" customHeight="1" x14ac:dyDescent="0.2"/>
    <row r="758" ht="17.25" customHeight="1" x14ac:dyDescent="0.2"/>
    <row r="759" ht="17.25" customHeight="1" x14ac:dyDescent="0.2"/>
    <row r="760" ht="17.25" customHeight="1" x14ac:dyDescent="0.2"/>
    <row r="761" ht="17.25" customHeight="1" x14ac:dyDescent="0.2"/>
    <row r="762" ht="17.25" customHeight="1" x14ac:dyDescent="0.2"/>
    <row r="763" ht="17.25" customHeight="1" x14ac:dyDescent="0.2"/>
    <row r="764" ht="17.25" customHeight="1" x14ac:dyDescent="0.2"/>
    <row r="765" ht="17.25" customHeight="1" x14ac:dyDescent="0.2"/>
    <row r="766" ht="17.25" customHeight="1" x14ac:dyDescent="0.2"/>
    <row r="767" ht="17.25" customHeight="1" x14ac:dyDescent="0.2"/>
    <row r="768" ht="17.25" customHeight="1" x14ac:dyDescent="0.2"/>
    <row r="769" ht="17.25" customHeight="1" x14ac:dyDescent="0.2"/>
    <row r="770" ht="17.25" customHeight="1" x14ac:dyDescent="0.2"/>
    <row r="771" ht="17.25" customHeight="1" x14ac:dyDescent="0.2"/>
    <row r="772" ht="17.25" customHeight="1" x14ac:dyDescent="0.2"/>
    <row r="773" ht="17.25" customHeight="1" x14ac:dyDescent="0.2"/>
    <row r="774" ht="17.25" customHeight="1" x14ac:dyDescent="0.2"/>
    <row r="775" ht="17.25" customHeight="1" x14ac:dyDescent="0.2"/>
    <row r="776" ht="17.25" customHeight="1" x14ac:dyDescent="0.2"/>
    <row r="777" ht="17.25" customHeight="1" x14ac:dyDescent="0.2"/>
    <row r="778" ht="17.25" customHeight="1" x14ac:dyDescent="0.2"/>
    <row r="779" ht="17.25" customHeight="1" x14ac:dyDescent="0.2"/>
    <row r="780" ht="17.25" customHeight="1" x14ac:dyDescent="0.2"/>
    <row r="781" ht="17.25" customHeight="1" x14ac:dyDescent="0.2"/>
    <row r="782" ht="17.25" customHeight="1" x14ac:dyDescent="0.2"/>
    <row r="783" ht="17.25" customHeight="1" x14ac:dyDescent="0.2"/>
    <row r="784" ht="17.25" customHeight="1" x14ac:dyDescent="0.2"/>
    <row r="785" ht="17.25" customHeight="1" x14ac:dyDescent="0.2"/>
    <row r="786" ht="17.25" customHeight="1" x14ac:dyDescent="0.2"/>
    <row r="787" ht="17.25" customHeight="1" x14ac:dyDescent="0.2"/>
    <row r="788" ht="17.25" customHeight="1" x14ac:dyDescent="0.2"/>
    <row r="789" ht="17.25" customHeight="1" x14ac:dyDescent="0.2"/>
    <row r="790" ht="17.25" customHeight="1" x14ac:dyDescent="0.2"/>
    <row r="791" ht="17.25" customHeight="1" x14ac:dyDescent="0.2"/>
    <row r="792" ht="17.25" customHeight="1" x14ac:dyDescent="0.2"/>
    <row r="793" ht="17.25" customHeight="1" x14ac:dyDescent="0.2"/>
    <row r="794" ht="17.25" customHeight="1" x14ac:dyDescent="0.2"/>
    <row r="795" ht="17.25" customHeight="1" x14ac:dyDescent="0.2"/>
    <row r="796" ht="17.25" customHeight="1" x14ac:dyDescent="0.2"/>
    <row r="797" ht="17.25" customHeight="1" x14ac:dyDescent="0.2"/>
    <row r="798" ht="17.25" customHeight="1" x14ac:dyDescent="0.2"/>
    <row r="799" ht="17.25" customHeight="1" x14ac:dyDescent="0.2"/>
    <row r="800" ht="17.25" customHeight="1" x14ac:dyDescent="0.2"/>
    <row r="801" ht="17.25" customHeight="1" x14ac:dyDescent="0.2"/>
    <row r="802" ht="17.25" customHeight="1" x14ac:dyDescent="0.2"/>
    <row r="803" ht="17.25" customHeight="1" x14ac:dyDescent="0.2"/>
    <row r="804" ht="17.25" customHeight="1" x14ac:dyDescent="0.2"/>
    <row r="805" ht="17.25" customHeight="1" x14ac:dyDescent="0.2"/>
    <row r="806" ht="17.25" customHeight="1" x14ac:dyDescent="0.2"/>
    <row r="807" ht="17.25" customHeight="1" x14ac:dyDescent="0.2"/>
    <row r="808" ht="17.25" customHeight="1" x14ac:dyDescent="0.2"/>
    <row r="809" ht="17.25" customHeight="1" x14ac:dyDescent="0.2"/>
    <row r="810" ht="17.25" customHeight="1" x14ac:dyDescent="0.2"/>
    <row r="811" ht="17.25" customHeight="1" x14ac:dyDescent="0.2"/>
    <row r="812" ht="17.25" customHeight="1" x14ac:dyDescent="0.2"/>
    <row r="813" ht="17.25" customHeight="1" x14ac:dyDescent="0.2"/>
    <row r="814" ht="17.25" customHeight="1" x14ac:dyDescent="0.2"/>
    <row r="815" ht="17.25" customHeight="1" x14ac:dyDescent="0.2"/>
    <row r="816" ht="17.25" customHeight="1" x14ac:dyDescent="0.2"/>
    <row r="817" ht="17.25" customHeight="1" x14ac:dyDescent="0.2"/>
    <row r="818" ht="17.25" customHeight="1" x14ac:dyDescent="0.2"/>
    <row r="819" ht="17.25" customHeight="1" x14ac:dyDescent="0.2"/>
    <row r="820" ht="17.25" customHeight="1" x14ac:dyDescent="0.2"/>
    <row r="821" ht="17.25" customHeight="1" x14ac:dyDescent="0.2"/>
    <row r="822" ht="17.25" customHeight="1" x14ac:dyDescent="0.2"/>
    <row r="823" ht="17.25" customHeight="1" x14ac:dyDescent="0.2"/>
    <row r="824" ht="17.25" customHeight="1" x14ac:dyDescent="0.2"/>
    <row r="825" ht="17.25" customHeight="1" x14ac:dyDescent="0.2"/>
    <row r="826" ht="17.25" customHeight="1" x14ac:dyDescent="0.2"/>
    <row r="827" ht="17.25" customHeight="1" x14ac:dyDescent="0.2"/>
    <row r="828" ht="17.25" customHeight="1" x14ac:dyDescent="0.2"/>
    <row r="829" ht="17.25" customHeight="1" x14ac:dyDescent="0.2"/>
    <row r="830" ht="17.25" customHeight="1" x14ac:dyDescent="0.2"/>
    <row r="831" ht="17.25" customHeight="1" x14ac:dyDescent="0.2"/>
    <row r="832" ht="17.25" customHeight="1" x14ac:dyDescent="0.2"/>
    <row r="833" ht="17.25" customHeight="1" x14ac:dyDescent="0.2"/>
    <row r="834" ht="17.25" customHeight="1" x14ac:dyDescent="0.2"/>
    <row r="835" ht="17.25" customHeight="1" x14ac:dyDescent="0.2"/>
    <row r="836" ht="17.25" customHeight="1" x14ac:dyDescent="0.2"/>
    <row r="837" ht="17.25" customHeight="1" x14ac:dyDescent="0.2"/>
    <row r="838" ht="17.25" customHeight="1" x14ac:dyDescent="0.2"/>
    <row r="839" ht="17.25" customHeight="1" x14ac:dyDescent="0.2"/>
    <row r="840" ht="17.25" customHeight="1" x14ac:dyDescent="0.2"/>
    <row r="841" ht="17.25" customHeight="1" x14ac:dyDescent="0.2"/>
    <row r="842" ht="17.25" customHeight="1" x14ac:dyDescent="0.2"/>
    <row r="843" ht="17.25" customHeight="1" x14ac:dyDescent="0.2"/>
    <row r="844" ht="17.25" customHeight="1" x14ac:dyDescent="0.2"/>
    <row r="845" ht="17.25" customHeight="1" x14ac:dyDescent="0.2"/>
    <row r="846" ht="17.25" customHeight="1" x14ac:dyDescent="0.2"/>
    <row r="847" ht="17.25" customHeight="1" x14ac:dyDescent="0.2"/>
    <row r="848" ht="17.25" customHeight="1" x14ac:dyDescent="0.2"/>
    <row r="849" ht="17.25" customHeight="1" x14ac:dyDescent="0.2"/>
    <row r="850" ht="17.25" customHeight="1" x14ac:dyDescent="0.2"/>
    <row r="851" ht="17.25" customHeight="1" x14ac:dyDescent="0.2"/>
    <row r="852" ht="17.25" customHeight="1" x14ac:dyDescent="0.2"/>
    <row r="853" ht="17.25" customHeight="1" x14ac:dyDescent="0.2"/>
    <row r="854" ht="17.25" customHeight="1" x14ac:dyDescent="0.2"/>
    <row r="855" ht="17.25" customHeight="1" x14ac:dyDescent="0.2"/>
    <row r="856" ht="17.25" customHeight="1" x14ac:dyDescent="0.2"/>
    <row r="857" ht="17.25" customHeight="1" x14ac:dyDescent="0.2"/>
    <row r="858" ht="17.25" customHeight="1" x14ac:dyDescent="0.2"/>
    <row r="859" ht="17.25" customHeight="1" x14ac:dyDescent="0.2"/>
    <row r="860" ht="17.25" customHeight="1" x14ac:dyDescent="0.2"/>
    <row r="861" ht="17.25" customHeight="1" x14ac:dyDescent="0.2"/>
    <row r="862" ht="17.25" customHeight="1" x14ac:dyDescent="0.2"/>
    <row r="863" ht="17.25" customHeight="1" x14ac:dyDescent="0.2"/>
    <row r="864" ht="17.25" customHeight="1" x14ac:dyDescent="0.2"/>
    <row r="865" ht="17.25" customHeight="1" x14ac:dyDescent="0.2"/>
    <row r="866" ht="17.25" customHeight="1" x14ac:dyDescent="0.2"/>
    <row r="867" ht="17.25" customHeight="1" x14ac:dyDescent="0.2"/>
    <row r="868" ht="17.25" customHeight="1" x14ac:dyDescent="0.2"/>
    <row r="869" ht="17.25" customHeight="1" x14ac:dyDescent="0.2"/>
    <row r="870" ht="17.25" customHeight="1" x14ac:dyDescent="0.2"/>
    <row r="871" ht="17.25" customHeight="1" x14ac:dyDescent="0.2"/>
    <row r="872" ht="17.25" customHeight="1" x14ac:dyDescent="0.2"/>
    <row r="873" ht="17.25" customHeight="1" x14ac:dyDescent="0.2"/>
    <row r="874" ht="17.25" customHeight="1" x14ac:dyDescent="0.2"/>
    <row r="875" ht="17.25" customHeight="1" x14ac:dyDescent="0.2"/>
    <row r="876" ht="17.25" customHeight="1" x14ac:dyDescent="0.2"/>
    <row r="877" ht="17.25" customHeight="1" x14ac:dyDescent="0.2"/>
    <row r="878" ht="17.25" customHeight="1" x14ac:dyDescent="0.2"/>
    <row r="879" ht="17.25" customHeight="1" x14ac:dyDescent="0.2"/>
    <row r="880" ht="17.25" customHeight="1" x14ac:dyDescent="0.2"/>
    <row r="881" ht="17.25" customHeight="1" x14ac:dyDescent="0.2"/>
    <row r="882" ht="17.25" customHeight="1" x14ac:dyDescent="0.2"/>
    <row r="883" ht="17.25" customHeight="1" x14ac:dyDescent="0.2"/>
    <row r="884" ht="17.25" customHeight="1" x14ac:dyDescent="0.2"/>
    <row r="885" ht="17.25" customHeight="1" x14ac:dyDescent="0.2"/>
    <row r="886" ht="17.25" customHeight="1" x14ac:dyDescent="0.2"/>
    <row r="887" ht="17.25" customHeight="1" x14ac:dyDescent="0.2"/>
    <row r="888" ht="17.25" customHeight="1" x14ac:dyDescent="0.2"/>
    <row r="889" ht="17.25" customHeight="1" x14ac:dyDescent="0.2"/>
    <row r="890" ht="17.25" customHeight="1" x14ac:dyDescent="0.2"/>
    <row r="891" ht="17.25" customHeight="1" x14ac:dyDescent="0.2"/>
    <row r="892" ht="17.25" customHeight="1" x14ac:dyDescent="0.2"/>
    <row r="893" ht="17.25" customHeight="1" x14ac:dyDescent="0.2"/>
    <row r="894" ht="17.25" customHeight="1" x14ac:dyDescent="0.2"/>
    <row r="895" ht="17.25" customHeight="1" x14ac:dyDescent="0.2"/>
    <row r="896" ht="17.25" customHeight="1" x14ac:dyDescent="0.2"/>
    <row r="897" ht="17.25" customHeight="1" x14ac:dyDescent="0.2"/>
    <row r="898" ht="17.25" customHeight="1" x14ac:dyDescent="0.2"/>
    <row r="899" ht="17.25" customHeight="1" x14ac:dyDescent="0.2"/>
    <row r="900" ht="17.25" customHeight="1" x14ac:dyDescent="0.2"/>
    <row r="901" ht="17.25" customHeight="1" x14ac:dyDescent="0.2"/>
    <row r="902" ht="17.25" customHeight="1" x14ac:dyDescent="0.2"/>
    <row r="903" ht="17.25" customHeight="1" x14ac:dyDescent="0.2"/>
    <row r="904" ht="17.25" customHeight="1" x14ac:dyDescent="0.2"/>
    <row r="905" ht="17.25" customHeight="1" x14ac:dyDescent="0.2"/>
    <row r="906" ht="17.25" customHeight="1" x14ac:dyDescent="0.2"/>
    <row r="907" ht="17.25" customHeight="1" x14ac:dyDescent="0.2"/>
    <row r="908" ht="17.25" customHeight="1" x14ac:dyDescent="0.2"/>
    <row r="909" ht="17.25" customHeight="1" x14ac:dyDescent="0.2"/>
    <row r="910" ht="17.25" customHeight="1" x14ac:dyDescent="0.2"/>
    <row r="911" ht="17.25" customHeight="1" x14ac:dyDescent="0.2"/>
    <row r="912" ht="17.25" customHeight="1" x14ac:dyDescent="0.2"/>
    <row r="913" ht="17.25" customHeight="1" x14ac:dyDescent="0.2"/>
    <row r="914" ht="17.25" customHeight="1" x14ac:dyDescent="0.2"/>
    <row r="915" ht="17.25" customHeight="1" x14ac:dyDescent="0.2"/>
    <row r="916" ht="17.25" customHeight="1" x14ac:dyDescent="0.2"/>
    <row r="917" ht="17.25" customHeight="1" x14ac:dyDescent="0.2"/>
    <row r="918" ht="17.25" customHeight="1" x14ac:dyDescent="0.2"/>
    <row r="919" ht="17.25" customHeight="1" x14ac:dyDescent="0.2"/>
    <row r="920" ht="17.25" customHeight="1" x14ac:dyDescent="0.2"/>
    <row r="921" ht="17.25" customHeight="1" x14ac:dyDescent="0.2"/>
    <row r="922" ht="17.25" customHeight="1" x14ac:dyDescent="0.2"/>
    <row r="923" ht="17.25" customHeight="1" x14ac:dyDescent="0.2"/>
    <row r="924" ht="17.25" customHeight="1" x14ac:dyDescent="0.2"/>
    <row r="925" ht="17.25" customHeight="1" x14ac:dyDescent="0.2"/>
    <row r="926" ht="17.25" customHeight="1" x14ac:dyDescent="0.2"/>
    <row r="927" ht="17.25" customHeight="1" x14ac:dyDescent="0.2"/>
    <row r="928" ht="17.25" customHeight="1" x14ac:dyDescent="0.2"/>
    <row r="929" ht="17.25" customHeight="1" x14ac:dyDescent="0.2"/>
    <row r="930" ht="17.25" customHeight="1" x14ac:dyDescent="0.2"/>
    <row r="931" ht="17.25" customHeight="1" x14ac:dyDescent="0.2"/>
    <row r="932" ht="17.25" customHeight="1" x14ac:dyDescent="0.2"/>
    <row r="933" ht="17.25" customHeight="1" x14ac:dyDescent="0.2"/>
    <row r="934" ht="17.25" customHeight="1" x14ac:dyDescent="0.2"/>
    <row r="935" ht="17.25" customHeight="1" x14ac:dyDescent="0.2"/>
    <row r="936" ht="17.25" customHeight="1" x14ac:dyDescent="0.2"/>
    <row r="937" ht="17.25" customHeight="1" x14ac:dyDescent="0.2"/>
    <row r="938" ht="17.25" customHeight="1" x14ac:dyDescent="0.2"/>
    <row r="939" ht="17.25" customHeight="1" x14ac:dyDescent="0.2"/>
    <row r="940" ht="17.25" customHeight="1" x14ac:dyDescent="0.2"/>
    <row r="941" ht="17.25" customHeight="1" x14ac:dyDescent="0.2"/>
    <row r="942" ht="17.25" customHeight="1" x14ac:dyDescent="0.2"/>
    <row r="943" ht="17.25" customHeight="1" x14ac:dyDescent="0.2"/>
    <row r="944" ht="17.25" customHeight="1" x14ac:dyDescent="0.2"/>
    <row r="945" ht="17.25" customHeight="1" x14ac:dyDescent="0.2"/>
    <row r="946" ht="17.25" customHeight="1" x14ac:dyDescent="0.2"/>
    <row r="947" ht="17.25" customHeight="1" x14ac:dyDescent="0.2"/>
    <row r="948" ht="17.25" customHeight="1" x14ac:dyDescent="0.2"/>
    <row r="949" ht="17.25" customHeight="1" x14ac:dyDescent="0.2"/>
    <row r="950" ht="17.25" customHeight="1" x14ac:dyDescent="0.2"/>
    <row r="951" ht="17.25" customHeight="1" x14ac:dyDescent="0.2"/>
    <row r="952" ht="17.25" customHeight="1" x14ac:dyDescent="0.2"/>
    <row r="953" ht="17.25" customHeight="1" x14ac:dyDescent="0.2"/>
    <row r="954" ht="17.25" customHeight="1" x14ac:dyDescent="0.2"/>
    <row r="955" ht="17.25" customHeight="1" x14ac:dyDescent="0.2"/>
    <row r="956" ht="17.25" customHeight="1" x14ac:dyDescent="0.2"/>
    <row r="957" ht="17.25" customHeight="1" x14ac:dyDescent="0.2"/>
    <row r="958" ht="17.25" customHeight="1" x14ac:dyDescent="0.2"/>
    <row r="959" ht="17.25" customHeight="1" x14ac:dyDescent="0.2"/>
    <row r="960" ht="17.25" customHeight="1" x14ac:dyDescent="0.2"/>
    <row r="961" ht="17.25" customHeight="1" x14ac:dyDescent="0.2"/>
    <row r="962" ht="17.25" customHeight="1" x14ac:dyDescent="0.2"/>
    <row r="963" ht="17.25" customHeight="1" x14ac:dyDescent="0.2"/>
    <row r="964" ht="17.25" customHeight="1" x14ac:dyDescent="0.2"/>
    <row r="965" ht="17.25" customHeight="1" x14ac:dyDescent="0.2"/>
    <row r="966" ht="17.25" customHeight="1" x14ac:dyDescent="0.2"/>
    <row r="967" ht="17.25" customHeight="1" x14ac:dyDescent="0.2"/>
    <row r="968" ht="17.25" customHeight="1" x14ac:dyDescent="0.2"/>
    <row r="969" ht="17.25" customHeight="1" x14ac:dyDescent="0.2"/>
    <row r="970" ht="17.25" customHeight="1" x14ac:dyDescent="0.2"/>
    <row r="971" ht="17.25" customHeight="1" x14ac:dyDescent="0.2"/>
    <row r="972" ht="17.25" customHeight="1" x14ac:dyDescent="0.2"/>
    <row r="973" ht="17.25" customHeight="1" x14ac:dyDescent="0.2"/>
    <row r="974" ht="17.25" customHeight="1" x14ac:dyDescent="0.2"/>
    <row r="975" ht="17.25" customHeight="1" x14ac:dyDescent="0.2"/>
    <row r="976" ht="17.25" customHeight="1" x14ac:dyDescent="0.2"/>
    <row r="977" ht="17.25" customHeight="1" x14ac:dyDescent="0.2"/>
    <row r="978" ht="17.25" customHeight="1" x14ac:dyDescent="0.2"/>
    <row r="979" ht="17.25" customHeight="1" x14ac:dyDescent="0.2"/>
    <row r="980" ht="17.25" customHeight="1" x14ac:dyDescent="0.2"/>
    <row r="981" ht="17.25" customHeight="1" x14ac:dyDescent="0.2"/>
    <row r="982" ht="17.25" customHeight="1" x14ac:dyDescent="0.2"/>
    <row r="983" ht="17.25" customHeight="1" x14ac:dyDescent="0.2"/>
    <row r="984" ht="17.25" customHeight="1" x14ac:dyDescent="0.2"/>
    <row r="985" ht="17.25" customHeight="1" x14ac:dyDescent="0.2"/>
    <row r="986" ht="17.25" customHeight="1" x14ac:dyDescent="0.2"/>
    <row r="987" ht="17.25" customHeight="1" x14ac:dyDescent="0.2"/>
    <row r="988" ht="17.25" customHeight="1" x14ac:dyDescent="0.2"/>
    <row r="989" ht="17.25" customHeight="1" x14ac:dyDescent="0.2"/>
    <row r="990" ht="17.25" customHeight="1" x14ac:dyDescent="0.2"/>
    <row r="991" ht="17.25" customHeight="1" x14ac:dyDescent="0.2"/>
    <row r="992" ht="17.25" customHeight="1" x14ac:dyDescent="0.2"/>
    <row r="993" ht="17.25" customHeight="1" x14ac:dyDescent="0.2"/>
    <row r="994" ht="17.25" customHeight="1" x14ac:dyDescent="0.2"/>
    <row r="995" ht="17.25" customHeight="1" x14ac:dyDescent="0.2"/>
    <row r="996" ht="17.25" customHeight="1" x14ac:dyDescent="0.2"/>
    <row r="997" ht="17.25" customHeight="1" x14ac:dyDescent="0.2"/>
    <row r="998" ht="17.25" customHeight="1" x14ac:dyDescent="0.2"/>
  </sheetData>
  <mergeCells count="1">
    <mergeCell ref="R1:U1"/>
  </mergeCells>
  <dataValidations count="11">
    <dataValidation type="whole" allowBlank="1" showInputMessage="1" showErrorMessage="1" sqref="WVP983043:WVP1048576 JD3:JD65536 SZ3:SZ65536 ACV3:ACV65536 AMR3:AMR65536 AWN3:AWN65536 BGJ3:BGJ65536 BQF3:BQF65536 CAB3:CAB65536 CJX3:CJX65536 CTT3:CTT65536 DDP3:DDP65536 DNL3:DNL65536 DXH3:DXH65536 EHD3:EHD65536 EQZ3:EQZ65536 FAV3:FAV65536 FKR3:FKR65536 FUN3:FUN65536 GEJ3:GEJ65536 GOF3:GOF65536 GYB3:GYB65536 HHX3:HHX65536 HRT3:HRT65536 IBP3:IBP65536 ILL3:ILL65536 IVH3:IVH65536 JFD3:JFD65536 JOZ3:JOZ65536 JYV3:JYV65536 KIR3:KIR65536 KSN3:KSN65536 LCJ3:LCJ65536 LMF3:LMF65536 LWB3:LWB65536 MFX3:MFX65536 MPT3:MPT65536 MZP3:MZP65536 NJL3:NJL65536 NTH3:NTH65536 ODD3:ODD65536 OMZ3:OMZ65536 OWV3:OWV65536 PGR3:PGR65536 PQN3:PQN65536 QAJ3:QAJ65536 QKF3:QKF65536 QUB3:QUB65536 RDX3:RDX65536 RNT3:RNT65536 RXP3:RXP65536 SHL3:SHL65536 SRH3:SRH65536 TBD3:TBD65536 TKZ3:TKZ65536 TUV3:TUV65536 UER3:UER65536 UON3:UON65536 UYJ3:UYJ65536 VIF3:VIF65536 VSB3:VSB65536 WBX3:WBX65536 WLT3:WLT65536 WVP3:WVP65536 H65539:H131072 JD65539:JD131072 SZ65539:SZ131072 ACV65539:ACV131072 AMR65539:AMR131072 AWN65539:AWN131072 BGJ65539:BGJ131072 BQF65539:BQF131072 CAB65539:CAB131072 CJX65539:CJX131072 CTT65539:CTT131072 DDP65539:DDP131072 DNL65539:DNL131072 DXH65539:DXH131072 EHD65539:EHD131072 EQZ65539:EQZ131072 FAV65539:FAV131072 FKR65539:FKR131072 FUN65539:FUN131072 GEJ65539:GEJ131072 GOF65539:GOF131072 GYB65539:GYB131072 HHX65539:HHX131072 HRT65539:HRT131072 IBP65539:IBP131072 ILL65539:ILL131072 IVH65539:IVH131072 JFD65539:JFD131072 JOZ65539:JOZ131072 JYV65539:JYV131072 KIR65539:KIR131072 KSN65539:KSN131072 LCJ65539:LCJ131072 LMF65539:LMF131072 LWB65539:LWB131072 MFX65539:MFX131072 MPT65539:MPT131072 MZP65539:MZP131072 NJL65539:NJL131072 NTH65539:NTH131072 ODD65539:ODD131072 OMZ65539:OMZ131072 OWV65539:OWV131072 PGR65539:PGR131072 PQN65539:PQN131072 QAJ65539:QAJ131072 QKF65539:QKF131072 QUB65539:QUB131072 RDX65539:RDX131072 RNT65539:RNT131072 RXP65539:RXP131072 SHL65539:SHL131072 SRH65539:SRH131072 TBD65539:TBD131072 TKZ65539:TKZ131072 TUV65539:TUV131072 UER65539:UER131072 UON65539:UON131072 UYJ65539:UYJ131072 VIF65539:VIF131072 VSB65539:VSB131072 WBX65539:WBX131072 WLT65539:WLT131072 WVP65539:WVP131072 H131075:H196608 JD131075:JD196608 SZ131075:SZ196608 ACV131075:ACV196608 AMR131075:AMR196608 AWN131075:AWN196608 BGJ131075:BGJ196608 BQF131075:BQF196608 CAB131075:CAB196608 CJX131075:CJX196608 CTT131075:CTT196608 DDP131075:DDP196608 DNL131075:DNL196608 DXH131075:DXH196608 EHD131075:EHD196608 EQZ131075:EQZ196608 FAV131075:FAV196608 FKR131075:FKR196608 FUN131075:FUN196608 GEJ131075:GEJ196608 GOF131075:GOF196608 GYB131075:GYB196608 HHX131075:HHX196608 HRT131075:HRT196608 IBP131075:IBP196608 ILL131075:ILL196608 IVH131075:IVH196608 JFD131075:JFD196608 JOZ131075:JOZ196608 JYV131075:JYV196608 KIR131075:KIR196608 KSN131075:KSN196608 LCJ131075:LCJ196608 LMF131075:LMF196608 LWB131075:LWB196608 MFX131075:MFX196608 MPT131075:MPT196608 MZP131075:MZP196608 NJL131075:NJL196608 NTH131075:NTH196608 ODD131075:ODD196608 OMZ131075:OMZ196608 OWV131075:OWV196608 PGR131075:PGR196608 PQN131075:PQN196608 QAJ131075:QAJ196608 QKF131075:QKF196608 QUB131075:QUB196608 RDX131075:RDX196608 RNT131075:RNT196608 RXP131075:RXP196608 SHL131075:SHL196608 SRH131075:SRH196608 TBD131075:TBD196608 TKZ131075:TKZ196608 TUV131075:TUV196608 UER131075:UER196608 UON131075:UON196608 UYJ131075:UYJ196608 VIF131075:VIF196608 VSB131075:VSB196608 WBX131075:WBX196608 WLT131075:WLT196608 WVP131075:WVP196608 H196611:H262144 JD196611:JD262144 SZ196611:SZ262144 ACV196611:ACV262144 AMR196611:AMR262144 AWN196611:AWN262144 BGJ196611:BGJ262144 BQF196611:BQF262144 CAB196611:CAB262144 CJX196611:CJX262144 CTT196611:CTT262144 DDP196611:DDP262144 DNL196611:DNL262144 DXH196611:DXH262144 EHD196611:EHD262144 EQZ196611:EQZ262144 FAV196611:FAV262144 FKR196611:FKR262144 FUN196611:FUN262144 GEJ196611:GEJ262144 GOF196611:GOF262144 GYB196611:GYB262144 HHX196611:HHX262144 HRT196611:HRT262144 IBP196611:IBP262144 ILL196611:ILL262144 IVH196611:IVH262144 JFD196611:JFD262144 JOZ196611:JOZ262144 JYV196611:JYV262144 KIR196611:KIR262144 KSN196611:KSN262144 LCJ196611:LCJ262144 LMF196611:LMF262144 LWB196611:LWB262144 MFX196611:MFX262144 MPT196611:MPT262144 MZP196611:MZP262144 NJL196611:NJL262144 NTH196611:NTH262144 ODD196611:ODD262144 OMZ196611:OMZ262144 OWV196611:OWV262144 PGR196611:PGR262144 PQN196611:PQN262144 QAJ196611:QAJ262144 QKF196611:QKF262144 QUB196611:QUB262144 RDX196611:RDX262144 RNT196611:RNT262144 RXP196611:RXP262144 SHL196611:SHL262144 SRH196611:SRH262144 TBD196611:TBD262144 TKZ196611:TKZ262144 TUV196611:TUV262144 UER196611:UER262144 UON196611:UON262144 UYJ196611:UYJ262144 VIF196611:VIF262144 VSB196611:VSB262144 WBX196611:WBX262144 WLT196611:WLT262144 WVP196611:WVP262144 H262147:H327680 JD262147:JD327680 SZ262147:SZ327680 ACV262147:ACV327680 AMR262147:AMR327680 AWN262147:AWN327680 BGJ262147:BGJ327680 BQF262147:BQF327680 CAB262147:CAB327680 CJX262147:CJX327680 CTT262147:CTT327680 DDP262147:DDP327680 DNL262147:DNL327680 DXH262147:DXH327680 EHD262147:EHD327680 EQZ262147:EQZ327680 FAV262147:FAV327680 FKR262147:FKR327680 FUN262147:FUN327680 GEJ262147:GEJ327680 GOF262147:GOF327680 GYB262147:GYB327680 HHX262147:HHX327680 HRT262147:HRT327680 IBP262147:IBP327680 ILL262147:ILL327680 IVH262147:IVH327680 JFD262147:JFD327680 JOZ262147:JOZ327680 JYV262147:JYV327680 KIR262147:KIR327680 KSN262147:KSN327680 LCJ262147:LCJ327680 LMF262147:LMF327680 LWB262147:LWB327680 MFX262147:MFX327680 MPT262147:MPT327680 MZP262147:MZP327680 NJL262147:NJL327680 NTH262147:NTH327680 ODD262147:ODD327680 OMZ262147:OMZ327680 OWV262147:OWV327680 PGR262147:PGR327680 PQN262147:PQN327680 QAJ262147:QAJ327680 QKF262147:QKF327680 QUB262147:QUB327680 RDX262147:RDX327680 RNT262147:RNT327680 RXP262147:RXP327680 SHL262147:SHL327680 SRH262147:SRH327680 TBD262147:TBD327680 TKZ262147:TKZ327680 TUV262147:TUV327680 UER262147:UER327680 UON262147:UON327680 UYJ262147:UYJ327680 VIF262147:VIF327680 VSB262147:VSB327680 WBX262147:WBX327680 WLT262147:WLT327680 WVP262147:WVP327680 H327683:H393216 JD327683:JD393216 SZ327683:SZ393216 ACV327683:ACV393216 AMR327683:AMR393216 AWN327683:AWN393216 BGJ327683:BGJ393216 BQF327683:BQF393216 CAB327683:CAB393216 CJX327683:CJX393216 CTT327683:CTT393216 DDP327683:DDP393216 DNL327683:DNL393216 DXH327683:DXH393216 EHD327683:EHD393216 EQZ327683:EQZ393216 FAV327683:FAV393216 FKR327683:FKR393216 FUN327683:FUN393216 GEJ327683:GEJ393216 GOF327683:GOF393216 GYB327683:GYB393216 HHX327683:HHX393216 HRT327683:HRT393216 IBP327683:IBP393216 ILL327683:ILL393216 IVH327683:IVH393216 JFD327683:JFD393216 JOZ327683:JOZ393216 JYV327683:JYV393216 KIR327683:KIR393216 KSN327683:KSN393216 LCJ327683:LCJ393216 LMF327683:LMF393216 LWB327683:LWB393216 MFX327683:MFX393216 MPT327683:MPT393216 MZP327683:MZP393216 NJL327683:NJL393216 NTH327683:NTH393216 ODD327683:ODD393216 OMZ327683:OMZ393216 OWV327683:OWV393216 PGR327683:PGR393216 PQN327683:PQN393216 QAJ327683:QAJ393216 QKF327683:QKF393216 QUB327683:QUB393216 RDX327683:RDX393216 RNT327683:RNT393216 RXP327683:RXP393216 SHL327683:SHL393216 SRH327683:SRH393216 TBD327683:TBD393216 TKZ327683:TKZ393216 TUV327683:TUV393216 UER327683:UER393216 UON327683:UON393216 UYJ327683:UYJ393216 VIF327683:VIF393216 VSB327683:VSB393216 WBX327683:WBX393216 WLT327683:WLT393216 WVP327683:WVP393216 H393219:H458752 JD393219:JD458752 SZ393219:SZ458752 ACV393219:ACV458752 AMR393219:AMR458752 AWN393219:AWN458752 BGJ393219:BGJ458752 BQF393219:BQF458752 CAB393219:CAB458752 CJX393219:CJX458752 CTT393219:CTT458752 DDP393219:DDP458752 DNL393219:DNL458752 DXH393219:DXH458752 EHD393219:EHD458752 EQZ393219:EQZ458752 FAV393219:FAV458752 FKR393219:FKR458752 FUN393219:FUN458752 GEJ393219:GEJ458752 GOF393219:GOF458752 GYB393219:GYB458752 HHX393219:HHX458752 HRT393219:HRT458752 IBP393219:IBP458752 ILL393219:ILL458752 IVH393219:IVH458752 JFD393219:JFD458752 JOZ393219:JOZ458752 JYV393219:JYV458752 KIR393219:KIR458752 KSN393219:KSN458752 LCJ393219:LCJ458752 LMF393219:LMF458752 LWB393219:LWB458752 MFX393219:MFX458752 MPT393219:MPT458752 MZP393219:MZP458752 NJL393219:NJL458752 NTH393219:NTH458752 ODD393219:ODD458752 OMZ393219:OMZ458752 OWV393219:OWV458752 PGR393219:PGR458752 PQN393219:PQN458752 QAJ393219:QAJ458752 QKF393219:QKF458752 QUB393219:QUB458752 RDX393219:RDX458752 RNT393219:RNT458752 RXP393219:RXP458752 SHL393219:SHL458752 SRH393219:SRH458752 TBD393219:TBD458752 TKZ393219:TKZ458752 TUV393219:TUV458752 UER393219:UER458752 UON393219:UON458752 UYJ393219:UYJ458752 VIF393219:VIF458752 VSB393219:VSB458752 WBX393219:WBX458752 WLT393219:WLT458752 WVP393219:WVP458752 H458755:H524288 JD458755:JD524288 SZ458755:SZ524288 ACV458755:ACV524288 AMR458755:AMR524288 AWN458755:AWN524288 BGJ458755:BGJ524288 BQF458755:BQF524288 CAB458755:CAB524288 CJX458755:CJX524288 CTT458755:CTT524288 DDP458755:DDP524288 DNL458755:DNL524288 DXH458755:DXH524288 EHD458755:EHD524288 EQZ458755:EQZ524288 FAV458755:FAV524288 FKR458755:FKR524288 FUN458755:FUN524288 GEJ458755:GEJ524288 GOF458755:GOF524288 GYB458755:GYB524288 HHX458755:HHX524288 HRT458755:HRT524288 IBP458755:IBP524288 ILL458755:ILL524288 IVH458755:IVH524288 JFD458755:JFD524288 JOZ458755:JOZ524288 JYV458755:JYV524288 KIR458755:KIR524288 KSN458755:KSN524288 LCJ458755:LCJ524288 LMF458755:LMF524288 LWB458755:LWB524288 MFX458755:MFX524288 MPT458755:MPT524288 MZP458755:MZP524288 NJL458755:NJL524288 NTH458755:NTH524288 ODD458755:ODD524288 OMZ458755:OMZ524288 OWV458755:OWV524288 PGR458755:PGR524288 PQN458755:PQN524288 QAJ458755:QAJ524288 QKF458755:QKF524288 QUB458755:QUB524288 RDX458755:RDX524288 RNT458755:RNT524288 RXP458755:RXP524288 SHL458755:SHL524288 SRH458755:SRH524288 TBD458755:TBD524288 TKZ458755:TKZ524288 TUV458755:TUV524288 UER458755:UER524288 UON458755:UON524288 UYJ458755:UYJ524288 VIF458755:VIF524288 VSB458755:VSB524288 WBX458755:WBX524288 WLT458755:WLT524288 WVP458755:WVP524288 H524291:H589824 JD524291:JD589824 SZ524291:SZ589824 ACV524291:ACV589824 AMR524291:AMR589824 AWN524291:AWN589824 BGJ524291:BGJ589824 BQF524291:BQF589824 CAB524291:CAB589824 CJX524291:CJX589824 CTT524291:CTT589824 DDP524291:DDP589824 DNL524291:DNL589824 DXH524291:DXH589824 EHD524291:EHD589824 EQZ524291:EQZ589824 FAV524291:FAV589824 FKR524291:FKR589824 FUN524291:FUN589824 GEJ524291:GEJ589824 GOF524291:GOF589824 GYB524291:GYB589824 HHX524291:HHX589824 HRT524291:HRT589824 IBP524291:IBP589824 ILL524291:ILL589824 IVH524291:IVH589824 JFD524291:JFD589824 JOZ524291:JOZ589824 JYV524291:JYV589824 KIR524291:KIR589824 KSN524291:KSN589824 LCJ524291:LCJ589824 LMF524291:LMF589824 LWB524291:LWB589824 MFX524291:MFX589824 MPT524291:MPT589824 MZP524291:MZP589824 NJL524291:NJL589824 NTH524291:NTH589824 ODD524291:ODD589824 OMZ524291:OMZ589824 OWV524291:OWV589824 PGR524291:PGR589824 PQN524291:PQN589824 QAJ524291:QAJ589824 QKF524291:QKF589824 QUB524291:QUB589824 RDX524291:RDX589824 RNT524291:RNT589824 RXP524291:RXP589824 SHL524291:SHL589824 SRH524291:SRH589824 TBD524291:TBD589824 TKZ524291:TKZ589824 TUV524291:TUV589824 UER524291:UER589824 UON524291:UON589824 UYJ524291:UYJ589824 VIF524291:VIF589824 VSB524291:VSB589824 WBX524291:WBX589824 WLT524291:WLT589824 WVP524291:WVP589824 H589827:H655360 JD589827:JD655360 SZ589827:SZ655360 ACV589827:ACV655360 AMR589827:AMR655360 AWN589827:AWN655360 BGJ589827:BGJ655360 BQF589827:BQF655360 CAB589827:CAB655360 CJX589827:CJX655360 CTT589827:CTT655360 DDP589827:DDP655360 DNL589827:DNL655360 DXH589827:DXH655360 EHD589827:EHD655360 EQZ589827:EQZ655360 FAV589827:FAV655360 FKR589827:FKR655360 FUN589827:FUN655360 GEJ589827:GEJ655360 GOF589827:GOF655360 GYB589827:GYB655360 HHX589827:HHX655360 HRT589827:HRT655360 IBP589827:IBP655360 ILL589827:ILL655360 IVH589827:IVH655360 JFD589827:JFD655360 JOZ589827:JOZ655360 JYV589827:JYV655360 KIR589827:KIR655360 KSN589827:KSN655360 LCJ589827:LCJ655360 LMF589827:LMF655360 LWB589827:LWB655360 MFX589827:MFX655360 MPT589827:MPT655360 MZP589827:MZP655360 NJL589827:NJL655360 NTH589827:NTH655360 ODD589827:ODD655360 OMZ589827:OMZ655360 OWV589827:OWV655360 PGR589827:PGR655360 PQN589827:PQN655360 QAJ589827:QAJ655360 QKF589827:QKF655360 QUB589827:QUB655360 RDX589827:RDX655360 RNT589827:RNT655360 RXP589827:RXP655360 SHL589827:SHL655360 SRH589827:SRH655360 TBD589827:TBD655360 TKZ589827:TKZ655360 TUV589827:TUV655360 UER589827:UER655360 UON589827:UON655360 UYJ589827:UYJ655360 VIF589827:VIF655360 VSB589827:VSB655360 WBX589827:WBX655360 WLT589827:WLT655360 WVP589827:WVP655360 H655363:H720896 JD655363:JD720896 SZ655363:SZ720896 ACV655363:ACV720896 AMR655363:AMR720896 AWN655363:AWN720896 BGJ655363:BGJ720896 BQF655363:BQF720896 CAB655363:CAB720896 CJX655363:CJX720896 CTT655363:CTT720896 DDP655363:DDP720896 DNL655363:DNL720896 DXH655363:DXH720896 EHD655363:EHD720896 EQZ655363:EQZ720896 FAV655363:FAV720896 FKR655363:FKR720896 FUN655363:FUN720896 GEJ655363:GEJ720896 GOF655363:GOF720896 GYB655363:GYB720896 HHX655363:HHX720896 HRT655363:HRT720896 IBP655363:IBP720896 ILL655363:ILL720896 IVH655363:IVH720896 JFD655363:JFD720896 JOZ655363:JOZ720896 JYV655363:JYV720896 KIR655363:KIR720896 KSN655363:KSN720896 LCJ655363:LCJ720896 LMF655363:LMF720896 LWB655363:LWB720896 MFX655363:MFX720896 MPT655363:MPT720896 MZP655363:MZP720896 NJL655363:NJL720896 NTH655363:NTH720896 ODD655363:ODD720896 OMZ655363:OMZ720896 OWV655363:OWV720896 PGR655363:PGR720896 PQN655363:PQN720896 QAJ655363:QAJ720896 QKF655363:QKF720896 QUB655363:QUB720896 RDX655363:RDX720896 RNT655363:RNT720896 RXP655363:RXP720896 SHL655363:SHL720896 SRH655363:SRH720896 TBD655363:TBD720896 TKZ655363:TKZ720896 TUV655363:TUV720896 UER655363:UER720896 UON655363:UON720896 UYJ655363:UYJ720896 VIF655363:VIF720896 VSB655363:VSB720896 WBX655363:WBX720896 WLT655363:WLT720896 WVP655363:WVP720896 H720899:H786432 JD720899:JD786432 SZ720899:SZ786432 ACV720899:ACV786432 AMR720899:AMR786432 AWN720899:AWN786432 BGJ720899:BGJ786432 BQF720899:BQF786432 CAB720899:CAB786432 CJX720899:CJX786432 CTT720899:CTT786432 DDP720899:DDP786432 DNL720899:DNL786432 DXH720899:DXH786432 EHD720899:EHD786432 EQZ720899:EQZ786432 FAV720899:FAV786432 FKR720899:FKR786432 FUN720899:FUN786432 GEJ720899:GEJ786432 GOF720899:GOF786432 GYB720899:GYB786432 HHX720899:HHX786432 HRT720899:HRT786432 IBP720899:IBP786432 ILL720899:ILL786432 IVH720899:IVH786432 JFD720899:JFD786432 JOZ720899:JOZ786432 JYV720899:JYV786432 KIR720899:KIR786432 KSN720899:KSN786432 LCJ720899:LCJ786432 LMF720899:LMF786432 LWB720899:LWB786432 MFX720899:MFX786432 MPT720899:MPT786432 MZP720899:MZP786432 NJL720899:NJL786432 NTH720899:NTH786432 ODD720899:ODD786432 OMZ720899:OMZ786432 OWV720899:OWV786432 PGR720899:PGR786432 PQN720899:PQN786432 QAJ720899:QAJ786432 QKF720899:QKF786432 QUB720899:QUB786432 RDX720899:RDX786432 RNT720899:RNT786432 RXP720899:RXP786432 SHL720899:SHL786432 SRH720899:SRH786432 TBD720899:TBD786432 TKZ720899:TKZ786432 TUV720899:TUV786432 UER720899:UER786432 UON720899:UON786432 UYJ720899:UYJ786432 VIF720899:VIF786432 VSB720899:VSB786432 WBX720899:WBX786432 WLT720899:WLT786432 WVP720899:WVP786432 H786435:H851968 JD786435:JD851968 SZ786435:SZ851968 ACV786435:ACV851968 AMR786435:AMR851968 AWN786435:AWN851968 BGJ786435:BGJ851968 BQF786435:BQF851968 CAB786435:CAB851968 CJX786435:CJX851968 CTT786435:CTT851968 DDP786435:DDP851968 DNL786435:DNL851968 DXH786435:DXH851968 EHD786435:EHD851968 EQZ786435:EQZ851968 FAV786435:FAV851968 FKR786435:FKR851968 FUN786435:FUN851968 GEJ786435:GEJ851968 GOF786435:GOF851968 GYB786435:GYB851968 HHX786435:HHX851968 HRT786435:HRT851968 IBP786435:IBP851968 ILL786435:ILL851968 IVH786435:IVH851968 JFD786435:JFD851968 JOZ786435:JOZ851968 JYV786435:JYV851968 KIR786435:KIR851968 KSN786435:KSN851968 LCJ786435:LCJ851968 LMF786435:LMF851968 LWB786435:LWB851968 MFX786435:MFX851968 MPT786435:MPT851968 MZP786435:MZP851968 NJL786435:NJL851968 NTH786435:NTH851968 ODD786435:ODD851968 OMZ786435:OMZ851968 OWV786435:OWV851968 PGR786435:PGR851968 PQN786435:PQN851968 QAJ786435:QAJ851968 QKF786435:QKF851968 QUB786435:QUB851968 RDX786435:RDX851968 RNT786435:RNT851968 RXP786435:RXP851968 SHL786435:SHL851968 SRH786435:SRH851968 TBD786435:TBD851968 TKZ786435:TKZ851968 TUV786435:TUV851968 UER786435:UER851968 UON786435:UON851968 UYJ786435:UYJ851968 VIF786435:VIF851968 VSB786435:VSB851968 WBX786435:WBX851968 WLT786435:WLT851968 WVP786435:WVP851968 H851971:H917504 JD851971:JD917504 SZ851971:SZ917504 ACV851971:ACV917504 AMR851971:AMR917504 AWN851971:AWN917504 BGJ851971:BGJ917504 BQF851971:BQF917504 CAB851971:CAB917504 CJX851971:CJX917504 CTT851971:CTT917504 DDP851971:DDP917504 DNL851971:DNL917504 DXH851971:DXH917504 EHD851971:EHD917504 EQZ851971:EQZ917504 FAV851971:FAV917504 FKR851971:FKR917504 FUN851971:FUN917504 GEJ851971:GEJ917504 GOF851971:GOF917504 GYB851971:GYB917504 HHX851971:HHX917504 HRT851971:HRT917504 IBP851971:IBP917504 ILL851971:ILL917504 IVH851971:IVH917504 JFD851971:JFD917504 JOZ851971:JOZ917504 JYV851971:JYV917504 KIR851971:KIR917504 KSN851971:KSN917504 LCJ851971:LCJ917504 LMF851971:LMF917504 LWB851971:LWB917504 MFX851971:MFX917504 MPT851971:MPT917504 MZP851971:MZP917504 NJL851971:NJL917504 NTH851971:NTH917504 ODD851971:ODD917504 OMZ851971:OMZ917504 OWV851971:OWV917504 PGR851971:PGR917504 PQN851971:PQN917504 QAJ851971:QAJ917504 QKF851971:QKF917504 QUB851971:QUB917504 RDX851971:RDX917504 RNT851971:RNT917504 RXP851971:RXP917504 SHL851971:SHL917504 SRH851971:SRH917504 TBD851971:TBD917504 TKZ851971:TKZ917504 TUV851971:TUV917504 UER851971:UER917504 UON851971:UON917504 UYJ851971:UYJ917504 VIF851971:VIF917504 VSB851971:VSB917504 WBX851971:WBX917504 WLT851971:WLT917504 WVP851971:WVP917504 H917507:H983040 JD917507:JD983040 SZ917507:SZ983040 ACV917507:ACV983040 AMR917507:AMR983040 AWN917507:AWN983040 BGJ917507:BGJ983040 BQF917507:BQF983040 CAB917507:CAB983040 CJX917507:CJX983040 CTT917507:CTT983040 DDP917507:DDP983040 DNL917507:DNL983040 DXH917507:DXH983040 EHD917507:EHD983040 EQZ917507:EQZ983040 FAV917507:FAV983040 FKR917507:FKR983040 FUN917507:FUN983040 GEJ917507:GEJ983040 GOF917507:GOF983040 GYB917507:GYB983040 HHX917507:HHX983040 HRT917507:HRT983040 IBP917507:IBP983040 ILL917507:ILL983040 IVH917507:IVH983040 JFD917507:JFD983040 JOZ917507:JOZ983040 JYV917507:JYV983040 KIR917507:KIR983040 KSN917507:KSN983040 LCJ917507:LCJ983040 LMF917507:LMF983040 LWB917507:LWB983040 MFX917507:MFX983040 MPT917507:MPT983040 MZP917507:MZP983040 NJL917507:NJL983040 NTH917507:NTH983040 ODD917507:ODD983040 OMZ917507:OMZ983040 OWV917507:OWV983040 PGR917507:PGR983040 PQN917507:PQN983040 QAJ917507:QAJ983040 QKF917507:QKF983040 QUB917507:QUB983040 RDX917507:RDX983040 RNT917507:RNT983040 RXP917507:RXP983040 SHL917507:SHL983040 SRH917507:SRH983040 TBD917507:TBD983040 TKZ917507:TKZ983040 TUV917507:TUV983040 UER917507:UER983040 UON917507:UON983040 UYJ917507:UYJ983040 VIF917507:VIF983040 VSB917507:VSB983040 WBX917507:WBX983040 WLT917507:WLT983040 WVP917507:WVP983040 H983043:H1048576 JD983043:JD1048576 SZ983043:SZ1048576 ACV983043:ACV1048576 AMR983043:AMR1048576 AWN983043:AWN1048576 BGJ983043:BGJ1048576 BQF983043:BQF1048576 CAB983043:CAB1048576 CJX983043:CJX1048576 CTT983043:CTT1048576 DDP983043:DDP1048576 DNL983043:DNL1048576 DXH983043:DXH1048576 EHD983043:EHD1048576 EQZ983043:EQZ1048576 FAV983043:FAV1048576 FKR983043:FKR1048576 FUN983043:FUN1048576 GEJ983043:GEJ1048576 GOF983043:GOF1048576 GYB983043:GYB1048576 HHX983043:HHX1048576 HRT983043:HRT1048576 IBP983043:IBP1048576 ILL983043:ILL1048576 IVH983043:IVH1048576 JFD983043:JFD1048576 JOZ983043:JOZ1048576 JYV983043:JYV1048576 KIR983043:KIR1048576 KSN983043:KSN1048576 LCJ983043:LCJ1048576 LMF983043:LMF1048576 LWB983043:LWB1048576 MFX983043:MFX1048576 MPT983043:MPT1048576 MZP983043:MZP1048576 NJL983043:NJL1048576 NTH983043:NTH1048576 ODD983043:ODD1048576 OMZ983043:OMZ1048576 OWV983043:OWV1048576 PGR983043:PGR1048576 PQN983043:PQN1048576 QAJ983043:QAJ1048576 QKF983043:QKF1048576 QUB983043:QUB1048576 RDX983043:RDX1048576 RNT983043:RNT1048576 RXP983043:RXP1048576 SHL983043:SHL1048576 SRH983043:SRH1048576 TBD983043:TBD1048576 TKZ983043:TKZ1048576 TUV983043:TUV1048576 UER983043:UER1048576 UON983043:UON1048576 UYJ983043:UYJ1048576 VIF983043:VIF1048576 VSB983043:VSB1048576 WBX983043:WBX1048576 WLT983043:WLT1048576 H17:H65536" xr:uid="{33D5437B-BCDD-4714-AF8A-5D28D9479BBB}">
      <formula1>0</formula1>
      <formula2>1000</formula2>
    </dataValidation>
    <dataValidation type="date" allowBlank="1" showInputMessage="1" showErrorMessage="1" sqref="Q3:Q65536 JM3:JM65536 TI3:TI65536 ADE3:ADE65536 ANA3:ANA65536 AWW3:AWW65536 BGS3:BGS65536 BQO3:BQO65536 CAK3:CAK65536 CKG3:CKG65536 CUC3:CUC65536 DDY3:DDY65536 DNU3:DNU65536 DXQ3:DXQ65536 EHM3:EHM65536 ERI3:ERI65536 FBE3:FBE65536 FLA3:FLA65536 FUW3:FUW65536 GES3:GES65536 GOO3:GOO65536 GYK3:GYK65536 HIG3:HIG65536 HSC3:HSC65536 IBY3:IBY65536 ILU3:ILU65536 IVQ3:IVQ65536 JFM3:JFM65536 JPI3:JPI65536 JZE3:JZE65536 KJA3:KJA65536 KSW3:KSW65536 LCS3:LCS65536 LMO3:LMO65536 LWK3:LWK65536 MGG3:MGG65536 MQC3:MQC65536 MZY3:MZY65536 NJU3:NJU65536 NTQ3:NTQ65536 ODM3:ODM65536 ONI3:ONI65536 OXE3:OXE65536 PHA3:PHA65536 PQW3:PQW65536 QAS3:QAS65536 QKO3:QKO65536 QUK3:QUK65536 REG3:REG65536 ROC3:ROC65536 RXY3:RXY65536 SHU3:SHU65536 SRQ3:SRQ65536 TBM3:TBM65536 TLI3:TLI65536 TVE3:TVE65536 UFA3:UFA65536 UOW3:UOW65536 UYS3:UYS65536 VIO3:VIO65536 VSK3:VSK65536 WCG3:WCG65536 WMC3:WMC65536 WVY3:WVY65536 Q65539:Q131072 JM65539:JM131072 TI65539:TI131072 ADE65539:ADE131072 ANA65539:ANA131072 AWW65539:AWW131072 BGS65539:BGS131072 BQO65539:BQO131072 CAK65539:CAK131072 CKG65539:CKG131072 CUC65539:CUC131072 DDY65539:DDY131072 DNU65539:DNU131072 DXQ65539:DXQ131072 EHM65539:EHM131072 ERI65539:ERI131072 FBE65539:FBE131072 FLA65539:FLA131072 FUW65539:FUW131072 GES65539:GES131072 GOO65539:GOO131072 GYK65539:GYK131072 HIG65539:HIG131072 HSC65539:HSC131072 IBY65539:IBY131072 ILU65539:ILU131072 IVQ65539:IVQ131072 JFM65539:JFM131072 JPI65539:JPI131072 JZE65539:JZE131072 KJA65539:KJA131072 KSW65539:KSW131072 LCS65539:LCS131072 LMO65539:LMO131072 LWK65539:LWK131072 MGG65539:MGG131072 MQC65539:MQC131072 MZY65539:MZY131072 NJU65539:NJU131072 NTQ65539:NTQ131072 ODM65539:ODM131072 ONI65539:ONI131072 OXE65539:OXE131072 PHA65539:PHA131072 PQW65539:PQW131072 QAS65539:QAS131072 QKO65539:QKO131072 QUK65539:QUK131072 REG65539:REG131072 ROC65539:ROC131072 RXY65539:RXY131072 SHU65539:SHU131072 SRQ65539:SRQ131072 TBM65539:TBM131072 TLI65539:TLI131072 TVE65539:TVE131072 UFA65539:UFA131072 UOW65539:UOW131072 UYS65539:UYS131072 VIO65539:VIO131072 VSK65539:VSK131072 WCG65539:WCG131072 WMC65539:WMC131072 WVY65539:WVY131072 Q131075:Q196608 JM131075:JM196608 TI131075:TI196608 ADE131075:ADE196608 ANA131075:ANA196608 AWW131075:AWW196608 BGS131075:BGS196608 BQO131075:BQO196608 CAK131075:CAK196608 CKG131075:CKG196608 CUC131075:CUC196608 DDY131075:DDY196608 DNU131075:DNU196608 DXQ131075:DXQ196608 EHM131075:EHM196608 ERI131075:ERI196608 FBE131075:FBE196608 FLA131075:FLA196608 FUW131075:FUW196608 GES131075:GES196608 GOO131075:GOO196608 GYK131075:GYK196608 HIG131075:HIG196608 HSC131075:HSC196608 IBY131075:IBY196608 ILU131075:ILU196608 IVQ131075:IVQ196608 JFM131075:JFM196608 JPI131075:JPI196608 JZE131075:JZE196608 KJA131075:KJA196608 KSW131075:KSW196608 LCS131075:LCS196608 LMO131075:LMO196608 LWK131075:LWK196608 MGG131075:MGG196608 MQC131075:MQC196608 MZY131075:MZY196608 NJU131075:NJU196608 NTQ131075:NTQ196608 ODM131075:ODM196608 ONI131075:ONI196608 OXE131075:OXE196608 PHA131075:PHA196608 PQW131075:PQW196608 QAS131075:QAS196608 QKO131075:QKO196608 QUK131075:QUK196608 REG131075:REG196608 ROC131075:ROC196608 RXY131075:RXY196608 SHU131075:SHU196608 SRQ131075:SRQ196608 TBM131075:TBM196608 TLI131075:TLI196608 TVE131075:TVE196608 UFA131075:UFA196608 UOW131075:UOW196608 UYS131075:UYS196608 VIO131075:VIO196608 VSK131075:VSK196608 WCG131075:WCG196608 WMC131075:WMC196608 WVY131075:WVY196608 Q196611:Q262144 JM196611:JM262144 TI196611:TI262144 ADE196611:ADE262144 ANA196611:ANA262144 AWW196611:AWW262144 BGS196611:BGS262144 BQO196611:BQO262144 CAK196611:CAK262144 CKG196611:CKG262144 CUC196611:CUC262144 DDY196611:DDY262144 DNU196611:DNU262144 DXQ196611:DXQ262144 EHM196611:EHM262144 ERI196611:ERI262144 FBE196611:FBE262144 FLA196611:FLA262144 FUW196611:FUW262144 GES196611:GES262144 GOO196611:GOO262144 GYK196611:GYK262144 HIG196611:HIG262144 HSC196611:HSC262144 IBY196611:IBY262144 ILU196611:ILU262144 IVQ196611:IVQ262144 JFM196611:JFM262144 JPI196611:JPI262144 JZE196611:JZE262144 KJA196611:KJA262144 KSW196611:KSW262144 LCS196611:LCS262144 LMO196611:LMO262144 LWK196611:LWK262144 MGG196611:MGG262144 MQC196611:MQC262144 MZY196611:MZY262144 NJU196611:NJU262144 NTQ196611:NTQ262144 ODM196611:ODM262144 ONI196611:ONI262144 OXE196611:OXE262144 PHA196611:PHA262144 PQW196611:PQW262144 QAS196611:QAS262144 QKO196611:QKO262144 QUK196611:QUK262144 REG196611:REG262144 ROC196611:ROC262144 RXY196611:RXY262144 SHU196611:SHU262144 SRQ196611:SRQ262144 TBM196611:TBM262144 TLI196611:TLI262144 TVE196611:TVE262144 UFA196611:UFA262144 UOW196611:UOW262144 UYS196611:UYS262144 VIO196611:VIO262144 VSK196611:VSK262144 WCG196611:WCG262144 WMC196611:WMC262144 WVY196611:WVY262144 Q262147:Q327680 JM262147:JM327680 TI262147:TI327680 ADE262147:ADE327680 ANA262147:ANA327680 AWW262147:AWW327680 BGS262147:BGS327680 BQO262147:BQO327680 CAK262147:CAK327680 CKG262147:CKG327680 CUC262147:CUC327680 DDY262147:DDY327680 DNU262147:DNU327680 DXQ262147:DXQ327680 EHM262147:EHM327680 ERI262147:ERI327680 FBE262147:FBE327680 FLA262147:FLA327680 FUW262147:FUW327680 GES262147:GES327680 GOO262147:GOO327680 GYK262147:GYK327680 HIG262147:HIG327680 HSC262147:HSC327680 IBY262147:IBY327680 ILU262147:ILU327680 IVQ262147:IVQ327680 JFM262147:JFM327680 JPI262147:JPI327680 JZE262147:JZE327680 KJA262147:KJA327680 KSW262147:KSW327680 LCS262147:LCS327680 LMO262147:LMO327680 LWK262147:LWK327680 MGG262147:MGG327680 MQC262147:MQC327680 MZY262147:MZY327680 NJU262147:NJU327680 NTQ262147:NTQ327680 ODM262147:ODM327680 ONI262147:ONI327680 OXE262147:OXE327680 PHA262147:PHA327680 PQW262147:PQW327680 QAS262147:QAS327680 QKO262147:QKO327680 QUK262147:QUK327680 REG262147:REG327680 ROC262147:ROC327680 RXY262147:RXY327680 SHU262147:SHU327680 SRQ262147:SRQ327680 TBM262147:TBM327680 TLI262147:TLI327680 TVE262147:TVE327680 UFA262147:UFA327680 UOW262147:UOW327680 UYS262147:UYS327680 VIO262147:VIO327680 VSK262147:VSK327680 WCG262147:WCG327680 WMC262147:WMC327680 WVY262147:WVY327680 Q327683:Q393216 JM327683:JM393216 TI327683:TI393216 ADE327683:ADE393216 ANA327683:ANA393216 AWW327683:AWW393216 BGS327683:BGS393216 BQO327683:BQO393216 CAK327683:CAK393216 CKG327683:CKG393216 CUC327683:CUC393216 DDY327683:DDY393216 DNU327683:DNU393216 DXQ327683:DXQ393216 EHM327683:EHM393216 ERI327683:ERI393216 FBE327683:FBE393216 FLA327683:FLA393216 FUW327683:FUW393216 GES327683:GES393216 GOO327683:GOO393216 GYK327683:GYK393216 HIG327683:HIG393216 HSC327683:HSC393216 IBY327683:IBY393216 ILU327683:ILU393216 IVQ327683:IVQ393216 JFM327683:JFM393216 JPI327683:JPI393216 JZE327683:JZE393216 KJA327683:KJA393216 KSW327683:KSW393216 LCS327683:LCS393216 LMO327683:LMO393216 LWK327683:LWK393216 MGG327683:MGG393216 MQC327683:MQC393216 MZY327683:MZY393216 NJU327683:NJU393216 NTQ327683:NTQ393216 ODM327683:ODM393216 ONI327683:ONI393216 OXE327683:OXE393216 PHA327683:PHA393216 PQW327683:PQW393216 QAS327683:QAS393216 QKO327683:QKO393216 QUK327683:QUK393216 REG327683:REG393216 ROC327683:ROC393216 RXY327683:RXY393216 SHU327683:SHU393216 SRQ327683:SRQ393216 TBM327683:TBM393216 TLI327683:TLI393216 TVE327683:TVE393216 UFA327683:UFA393216 UOW327683:UOW393216 UYS327683:UYS393216 VIO327683:VIO393216 VSK327683:VSK393216 WCG327683:WCG393216 WMC327683:WMC393216 WVY327683:WVY393216 Q393219:Q458752 JM393219:JM458752 TI393219:TI458752 ADE393219:ADE458752 ANA393219:ANA458752 AWW393219:AWW458752 BGS393219:BGS458752 BQO393219:BQO458752 CAK393219:CAK458752 CKG393219:CKG458752 CUC393219:CUC458752 DDY393219:DDY458752 DNU393219:DNU458752 DXQ393219:DXQ458752 EHM393219:EHM458752 ERI393219:ERI458752 FBE393219:FBE458752 FLA393219:FLA458752 FUW393219:FUW458752 GES393219:GES458752 GOO393219:GOO458752 GYK393219:GYK458752 HIG393219:HIG458752 HSC393219:HSC458752 IBY393219:IBY458752 ILU393219:ILU458752 IVQ393219:IVQ458752 JFM393219:JFM458752 JPI393219:JPI458752 JZE393219:JZE458752 KJA393219:KJA458752 KSW393219:KSW458752 LCS393219:LCS458752 LMO393219:LMO458752 LWK393219:LWK458752 MGG393219:MGG458752 MQC393219:MQC458752 MZY393219:MZY458752 NJU393219:NJU458752 NTQ393219:NTQ458752 ODM393219:ODM458752 ONI393219:ONI458752 OXE393219:OXE458752 PHA393219:PHA458752 PQW393219:PQW458752 QAS393219:QAS458752 QKO393219:QKO458752 QUK393219:QUK458752 REG393219:REG458752 ROC393219:ROC458752 RXY393219:RXY458752 SHU393219:SHU458752 SRQ393219:SRQ458752 TBM393219:TBM458752 TLI393219:TLI458752 TVE393219:TVE458752 UFA393219:UFA458752 UOW393219:UOW458752 UYS393219:UYS458752 VIO393219:VIO458752 VSK393219:VSK458752 WCG393219:WCG458752 WMC393219:WMC458752 WVY393219:WVY458752 Q458755:Q524288 JM458755:JM524288 TI458755:TI524288 ADE458755:ADE524288 ANA458755:ANA524288 AWW458755:AWW524288 BGS458755:BGS524288 BQO458755:BQO524288 CAK458755:CAK524288 CKG458755:CKG524288 CUC458755:CUC524288 DDY458755:DDY524288 DNU458755:DNU524288 DXQ458755:DXQ524288 EHM458755:EHM524288 ERI458755:ERI524288 FBE458755:FBE524288 FLA458755:FLA524288 FUW458755:FUW524288 GES458755:GES524288 GOO458755:GOO524288 GYK458755:GYK524288 HIG458755:HIG524288 HSC458755:HSC524288 IBY458755:IBY524288 ILU458755:ILU524288 IVQ458755:IVQ524288 JFM458755:JFM524288 JPI458755:JPI524288 JZE458755:JZE524288 KJA458755:KJA524288 KSW458755:KSW524288 LCS458755:LCS524288 LMO458755:LMO524288 LWK458755:LWK524288 MGG458755:MGG524288 MQC458755:MQC524288 MZY458755:MZY524288 NJU458755:NJU524288 NTQ458755:NTQ524288 ODM458755:ODM524288 ONI458755:ONI524288 OXE458755:OXE524288 PHA458755:PHA524288 PQW458755:PQW524288 QAS458755:QAS524288 QKO458755:QKO524288 QUK458755:QUK524288 REG458755:REG524288 ROC458755:ROC524288 RXY458755:RXY524288 SHU458755:SHU524288 SRQ458755:SRQ524288 TBM458755:TBM524288 TLI458755:TLI524288 TVE458755:TVE524288 UFA458755:UFA524288 UOW458755:UOW524288 UYS458755:UYS524288 VIO458755:VIO524288 VSK458755:VSK524288 WCG458755:WCG524288 WMC458755:WMC524288 WVY458755:WVY524288 Q524291:Q589824 JM524291:JM589824 TI524291:TI589824 ADE524291:ADE589824 ANA524291:ANA589824 AWW524291:AWW589824 BGS524291:BGS589824 BQO524291:BQO589824 CAK524291:CAK589824 CKG524291:CKG589824 CUC524291:CUC589824 DDY524291:DDY589824 DNU524291:DNU589824 DXQ524291:DXQ589824 EHM524291:EHM589824 ERI524291:ERI589824 FBE524291:FBE589824 FLA524291:FLA589824 FUW524291:FUW589824 GES524291:GES589824 GOO524291:GOO589824 GYK524291:GYK589824 HIG524291:HIG589824 HSC524291:HSC589824 IBY524291:IBY589824 ILU524291:ILU589824 IVQ524291:IVQ589824 JFM524291:JFM589824 JPI524291:JPI589824 JZE524291:JZE589824 KJA524291:KJA589824 KSW524291:KSW589824 LCS524291:LCS589824 LMO524291:LMO589824 LWK524291:LWK589824 MGG524291:MGG589824 MQC524291:MQC589824 MZY524291:MZY589824 NJU524291:NJU589824 NTQ524291:NTQ589824 ODM524291:ODM589824 ONI524291:ONI589824 OXE524291:OXE589824 PHA524291:PHA589824 PQW524291:PQW589824 QAS524291:QAS589824 QKO524291:QKO589824 QUK524291:QUK589824 REG524291:REG589824 ROC524291:ROC589824 RXY524291:RXY589824 SHU524291:SHU589824 SRQ524291:SRQ589824 TBM524291:TBM589824 TLI524291:TLI589824 TVE524291:TVE589824 UFA524291:UFA589824 UOW524291:UOW589824 UYS524291:UYS589824 VIO524291:VIO589824 VSK524291:VSK589824 WCG524291:WCG589824 WMC524291:WMC589824 WVY524291:WVY589824 Q589827:Q655360 JM589827:JM655360 TI589827:TI655360 ADE589827:ADE655360 ANA589827:ANA655360 AWW589827:AWW655360 BGS589827:BGS655360 BQO589827:BQO655360 CAK589827:CAK655360 CKG589827:CKG655360 CUC589827:CUC655360 DDY589827:DDY655360 DNU589827:DNU655360 DXQ589827:DXQ655360 EHM589827:EHM655360 ERI589827:ERI655360 FBE589827:FBE655360 FLA589827:FLA655360 FUW589827:FUW655360 GES589827:GES655360 GOO589827:GOO655360 GYK589827:GYK655360 HIG589827:HIG655360 HSC589827:HSC655360 IBY589827:IBY655360 ILU589827:ILU655360 IVQ589827:IVQ655360 JFM589827:JFM655360 JPI589827:JPI655360 JZE589827:JZE655360 KJA589827:KJA655360 KSW589827:KSW655360 LCS589827:LCS655360 LMO589827:LMO655360 LWK589827:LWK655360 MGG589827:MGG655360 MQC589827:MQC655360 MZY589827:MZY655360 NJU589827:NJU655360 NTQ589827:NTQ655360 ODM589827:ODM655360 ONI589827:ONI655360 OXE589827:OXE655360 PHA589827:PHA655360 PQW589827:PQW655360 QAS589827:QAS655360 QKO589827:QKO655360 QUK589827:QUK655360 REG589827:REG655360 ROC589827:ROC655360 RXY589827:RXY655360 SHU589827:SHU655360 SRQ589827:SRQ655360 TBM589827:TBM655360 TLI589827:TLI655360 TVE589827:TVE655360 UFA589827:UFA655360 UOW589827:UOW655360 UYS589827:UYS655360 VIO589827:VIO655360 VSK589827:VSK655360 WCG589827:WCG655360 WMC589827:WMC655360 WVY589827:WVY655360 Q655363:Q720896 JM655363:JM720896 TI655363:TI720896 ADE655363:ADE720896 ANA655363:ANA720896 AWW655363:AWW720896 BGS655363:BGS720896 BQO655363:BQO720896 CAK655363:CAK720896 CKG655363:CKG720896 CUC655363:CUC720896 DDY655363:DDY720896 DNU655363:DNU720896 DXQ655363:DXQ720896 EHM655363:EHM720896 ERI655363:ERI720896 FBE655363:FBE720896 FLA655363:FLA720896 FUW655363:FUW720896 GES655363:GES720896 GOO655363:GOO720896 GYK655363:GYK720896 HIG655363:HIG720896 HSC655363:HSC720896 IBY655363:IBY720896 ILU655363:ILU720896 IVQ655363:IVQ720896 JFM655363:JFM720896 JPI655363:JPI720896 JZE655363:JZE720896 KJA655363:KJA720896 KSW655363:KSW720896 LCS655363:LCS720896 LMO655363:LMO720896 LWK655363:LWK720896 MGG655363:MGG720896 MQC655363:MQC720896 MZY655363:MZY720896 NJU655363:NJU720896 NTQ655363:NTQ720896 ODM655363:ODM720896 ONI655363:ONI720896 OXE655363:OXE720896 PHA655363:PHA720896 PQW655363:PQW720896 QAS655363:QAS720896 QKO655363:QKO720896 QUK655363:QUK720896 REG655363:REG720896 ROC655363:ROC720896 RXY655363:RXY720896 SHU655363:SHU720896 SRQ655363:SRQ720896 TBM655363:TBM720896 TLI655363:TLI720896 TVE655363:TVE720896 UFA655363:UFA720896 UOW655363:UOW720896 UYS655363:UYS720896 VIO655363:VIO720896 VSK655363:VSK720896 WCG655363:WCG720896 WMC655363:WMC720896 WVY655363:WVY720896 Q720899:Q786432 JM720899:JM786432 TI720899:TI786432 ADE720899:ADE786432 ANA720899:ANA786432 AWW720899:AWW786432 BGS720899:BGS786432 BQO720899:BQO786432 CAK720899:CAK786432 CKG720899:CKG786432 CUC720899:CUC786432 DDY720899:DDY786432 DNU720899:DNU786432 DXQ720899:DXQ786432 EHM720899:EHM786432 ERI720899:ERI786432 FBE720899:FBE786432 FLA720899:FLA786432 FUW720899:FUW786432 GES720899:GES786432 GOO720899:GOO786432 GYK720899:GYK786432 HIG720899:HIG786432 HSC720899:HSC786432 IBY720899:IBY786432 ILU720899:ILU786432 IVQ720899:IVQ786432 JFM720899:JFM786432 JPI720899:JPI786432 JZE720899:JZE786432 KJA720899:KJA786432 KSW720899:KSW786432 LCS720899:LCS786432 LMO720899:LMO786432 LWK720899:LWK786432 MGG720899:MGG786432 MQC720899:MQC786432 MZY720899:MZY786432 NJU720899:NJU786432 NTQ720899:NTQ786432 ODM720899:ODM786432 ONI720899:ONI786432 OXE720899:OXE786432 PHA720899:PHA786432 PQW720899:PQW786432 QAS720899:QAS786432 QKO720899:QKO786432 QUK720899:QUK786432 REG720899:REG786432 ROC720899:ROC786432 RXY720899:RXY786432 SHU720899:SHU786432 SRQ720899:SRQ786432 TBM720899:TBM786432 TLI720899:TLI786432 TVE720899:TVE786432 UFA720899:UFA786432 UOW720899:UOW786432 UYS720899:UYS786432 VIO720899:VIO786432 VSK720899:VSK786432 WCG720899:WCG786432 WMC720899:WMC786432 WVY720899:WVY786432 Q786435:Q851968 JM786435:JM851968 TI786435:TI851968 ADE786435:ADE851968 ANA786435:ANA851968 AWW786435:AWW851968 BGS786435:BGS851968 BQO786435:BQO851968 CAK786435:CAK851968 CKG786435:CKG851968 CUC786435:CUC851968 DDY786435:DDY851968 DNU786435:DNU851968 DXQ786435:DXQ851968 EHM786435:EHM851968 ERI786435:ERI851968 FBE786435:FBE851968 FLA786435:FLA851968 FUW786435:FUW851968 GES786435:GES851968 GOO786435:GOO851968 GYK786435:GYK851968 HIG786435:HIG851968 HSC786435:HSC851968 IBY786435:IBY851968 ILU786435:ILU851968 IVQ786435:IVQ851968 JFM786435:JFM851968 JPI786435:JPI851968 JZE786435:JZE851968 KJA786435:KJA851968 KSW786435:KSW851968 LCS786435:LCS851968 LMO786435:LMO851968 LWK786435:LWK851968 MGG786435:MGG851968 MQC786435:MQC851968 MZY786435:MZY851968 NJU786435:NJU851968 NTQ786435:NTQ851968 ODM786435:ODM851968 ONI786435:ONI851968 OXE786435:OXE851968 PHA786435:PHA851968 PQW786435:PQW851968 QAS786435:QAS851968 QKO786435:QKO851968 QUK786435:QUK851968 REG786435:REG851968 ROC786435:ROC851968 RXY786435:RXY851968 SHU786435:SHU851968 SRQ786435:SRQ851968 TBM786435:TBM851968 TLI786435:TLI851968 TVE786435:TVE851968 UFA786435:UFA851968 UOW786435:UOW851968 UYS786435:UYS851968 VIO786435:VIO851968 VSK786435:VSK851968 WCG786435:WCG851968 WMC786435:WMC851968 WVY786435:WVY851968 Q851971:Q917504 JM851971:JM917504 TI851971:TI917504 ADE851971:ADE917504 ANA851971:ANA917504 AWW851971:AWW917504 BGS851971:BGS917504 BQO851971:BQO917504 CAK851971:CAK917504 CKG851971:CKG917504 CUC851971:CUC917504 DDY851971:DDY917504 DNU851971:DNU917504 DXQ851971:DXQ917504 EHM851971:EHM917504 ERI851971:ERI917504 FBE851971:FBE917504 FLA851971:FLA917504 FUW851971:FUW917504 GES851971:GES917504 GOO851971:GOO917504 GYK851971:GYK917504 HIG851971:HIG917504 HSC851971:HSC917504 IBY851971:IBY917504 ILU851971:ILU917504 IVQ851971:IVQ917504 JFM851971:JFM917504 JPI851971:JPI917504 JZE851971:JZE917504 KJA851971:KJA917504 KSW851971:KSW917504 LCS851971:LCS917504 LMO851971:LMO917504 LWK851971:LWK917504 MGG851971:MGG917504 MQC851971:MQC917504 MZY851971:MZY917504 NJU851971:NJU917504 NTQ851971:NTQ917504 ODM851971:ODM917504 ONI851971:ONI917504 OXE851971:OXE917504 PHA851971:PHA917504 PQW851971:PQW917504 QAS851971:QAS917504 QKO851971:QKO917504 QUK851971:QUK917504 REG851971:REG917504 ROC851971:ROC917504 RXY851971:RXY917504 SHU851971:SHU917504 SRQ851971:SRQ917504 TBM851971:TBM917504 TLI851971:TLI917504 TVE851971:TVE917504 UFA851971:UFA917504 UOW851971:UOW917504 UYS851971:UYS917504 VIO851971:VIO917504 VSK851971:VSK917504 WCG851971:WCG917504 WMC851971:WMC917504 WVY851971:WVY917504 Q917507:Q983040 JM917507:JM983040 TI917507:TI983040 ADE917507:ADE983040 ANA917507:ANA983040 AWW917507:AWW983040 BGS917507:BGS983040 BQO917507:BQO983040 CAK917507:CAK983040 CKG917507:CKG983040 CUC917507:CUC983040 DDY917507:DDY983040 DNU917507:DNU983040 DXQ917507:DXQ983040 EHM917507:EHM983040 ERI917507:ERI983040 FBE917507:FBE983040 FLA917507:FLA983040 FUW917507:FUW983040 GES917507:GES983040 GOO917507:GOO983040 GYK917507:GYK983040 HIG917507:HIG983040 HSC917507:HSC983040 IBY917507:IBY983040 ILU917507:ILU983040 IVQ917507:IVQ983040 JFM917507:JFM983040 JPI917507:JPI983040 JZE917507:JZE983040 KJA917507:KJA983040 KSW917507:KSW983040 LCS917507:LCS983040 LMO917507:LMO983040 LWK917507:LWK983040 MGG917507:MGG983040 MQC917507:MQC983040 MZY917507:MZY983040 NJU917507:NJU983040 NTQ917507:NTQ983040 ODM917507:ODM983040 ONI917507:ONI983040 OXE917507:OXE983040 PHA917507:PHA983040 PQW917507:PQW983040 QAS917507:QAS983040 QKO917507:QKO983040 QUK917507:QUK983040 REG917507:REG983040 ROC917507:ROC983040 RXY917507:RXY983040 SHU917507:SHU983040 SRQ917507:SRQ983040 TBM917507:TBM983040 TLI917507:TLI983040 TVE917507:TVE983040 UFA917507:UFA983040 UOW917507:UOW983040 UYS917507:UYS983040 VIO917507:VIO983040 VSK917507:VSK983040 WCG917507:WCG983040 WMC917507:WMC983040 WVY917507:WVY983040 Q983043:Q1048576 JM983043:JM1048576 TI983043:TI1048576 ADE983043:ADE1048576 ANA983043:ANA1048576 AWW983043:AWW1048576 BGS983043:BGS1048576 BQO983043:BQO1048576 CAK983043:CAK1048576 CKG983043:CKG1048576 CUC983043:CUC1048576 DDY983043:DDY1048576 DNU983043:DNU1048576 DXQ983043:DXQ1048576 EHM983043:EHM1048576 ERI983043:ERI1048576 FBE983043:FBE1048576 FLA983043:FLA1048576 FUW983043:FUW1048576 GES983043:GES1048576 GOO983043:GOO1048576 GYK983043:GYK1048576 HIG983043:HIG1048576 HSC983043:HSC1048576 IBY983043:IBY1048576 ILU983043:ILU1048576 IVQ983043:IVQ1048576 JFM983043:JFM1048576 JPI983043:JPI1048576 JZE983043:JZE1048576 KJA983043:KJA1048576 KSW983043:KSW1048576 LCS983043:LCS1048576 LMO983043:LMO1048576 LWK983043:LWK1048576 MGG983043:MGG1048576 MQC983043:MQC1048576 MZY983043:MZY1048576 NJU983043:NJU1048576 NTQ983043:NTQ1048576 ODM983043:ODM1048576 ONI983043:ONI1048576 OXE983043:OXE1048576 PHA983043:PHA1048576 PQW983043:PQW1048576 QAS983043:QAS1048576 QKO983043:QKO1048576 QUK983043:QUK1048576 REG983043:REG1048576 ROC983043:ROC1048576 RXY983043:RXY1048576 SHU983043:SHU1048576 SRQ983043:SRQ1048576 TBM983043:TBM1048576 TLI983043:TLI1048576 TVE983043:TVE1048576 UFA983043:UFA1048576 UOW983043:UOW1048576 UYS983043:UYS1048576 VIO983043:VIO1048576 VSK983043:VSK1048576 WCG983043:WCG1048576 WMC983043:WMC1048576 WVY983043:WVY1048576" xr:uid="{C6E07544-254A-4CA5-AEC7-0C039C345F1C}">
      <formula1>1</formula1>
      <formula2>401769</formula2>
    </dataValidation>
    <dataValidation type="whole" allowBlank="1" showInputMessage="1" showErrorMessage="1" sqref="P3:P65536 JL3:JL65536 TH3:TH65536 ADD3:ADD65536 AMZ3:AMZ65536 AWV3:AWV65536 BGR3:BGR65536 BQN3:BQN65536 CAJ3:CAJ65536 CKF3:CKF65536 CUB3:CUB65536 DDX3:DDX65536 DNT3:DNT65536 DXP3:DXP65536 EHL3:EHL65536 ERH3:ERH65536 FBD3:FBD65536 FKZ3:FKZ65536 FUV3:FUV65536 GER3:GER65536 GON3:GON65536 GYJ3:GYJ65536 HIF3:HIF65536 HSB3:HSB65536 IBX3:IBX65536 ILT3:ILT65536 IVP3:IVP65536 JFL3:JFL65536 JPH3:JPH65536 JZD3:JZD65536 KIZ3:KIZ65536 KSV3:KSV65536 LCR3:LCR65536 LMN3:LMN65536 LWJ3:LWJ65536 MGF3:MGF65536 MQB3:MQB65536 MZX3:MZX65536 NJT3:NJT65536 NTP3:NTP65536 ODL3:ODL65536 ONH3:ONH65536 OXD3:OXD65536 PGZ3:PGZ65536 PQV3:PQV65536 QAR3:QAR65536 QKN3:QKN65536 QUJ3:QUJ65536 REF3:REF65536 ROB3:ROB65536 RXX3:RXX65536 SHT3:SHT65536 SRP3:SRP65536 TBL3:TBL65536 TLH3:TLH65536 TVD3:TVD65536 UEZ3:UEZ65536 UOV3:UOV65536 UYR3:UYR65536 VIN3:VIN65536 VSJ3:VSJ65536 WCF3:WCF65536 WMB3:WMB65536 WVX3:WVX65536 P65539:P131072 JL65539:JL131072 TH65539:TH131072 ADD65539:ADD131072 AMZ65539:AMZ131072 AWV65539:AWV131072 BGR65539:BGR131072 BQN65539:BQN131072 CAJ65539:CAJ131072 CKF65539:CKF131072 CUB65539:CUB131072 DDX65539:DDX131072 DNT65539:DNT131072 DXP65539:DXP131072 EHL65539:EHL131072 ERH65539:ERH131072 FBD65539:FBD131072 FKZ65539:FKZ131072 FUV65539:FUV131072 GER65539:GER131072 GON65539:GON131072 GYJ65539:GYJ131072 HIF65539:HIF131072 HSB65539:HSB131072 IBX65539:IBX131072 ILT65539:ILT131072 IVP65539:IVP131072 JFL65539:JFL131072 JPH65539:JPH131072 JZD65539:JZD131072 KIZ65539:KIZ131072 KSV65539:KSV131072 LCR65539:LCR131072 LMN65539:LMN131072 LWJ65539:LWJ131072 MGF65539:MGF131072 MQB65539:MQB131072 MZX65539:MZX131072 NJT65539:NJT131072 NTP65539:NTP131072 ODL65539:ODL131072 ONH65539:ONH131072 OXD65539:OXD131072 PGZ65539:PGZ131072 PQV65539:PQV131072 QAR65539:QAR131072 QKN65539:QKN131072 QUJ65539:QUJ131072 REF65539:REF131072 ROB65539:ROB131072 RXX65539:RXX131072 SHT65539:SHT131072 SRP65539:SRP131072 TBL65539:TBL131072 TLH65539:TLH131072 TVD65539:TVD131072 UEZ65539:UEZ131072 UOV65539:UOV131072 UYR65539:UYR131072 VIN65539:VIN131072 VSJ65539:VSJ131072 WCF65539:WCF131072 WMB65539:WMB131072 WVX65539:WVX131072 P131075:P196608 JL131075:JL196608 TH131075:TH196608 ADD131075:ADD196608 AMZ131075:AMZ196608 AWV131075:AWV196608 BGR131075:BGR196608 BQN131075:BQN196608 CAJ131075:CAJ196608 CKF131075:CKF196608 CUB131075:CUB196608 DDX131075:DDX196608 DNT131075:DNT196608 DXP131075:DXP196608 EHL131075:EHL196608 ERH131075:ERH196608 FBD131075:FBD196608 FKZ131075:FKZ196608 FUV131075:FUV196608 GER131075:GER196608 GON131075:GON196608 GYJ131075:GYJ196608 HIF131075:HIF196608 HSB131075:HSB196608 IBX131075:IBX196608 ILT131075:ILT196608 IVP131075:IVP196608 JFL131075:JFL196608 JPH131075:JPH196608 JZD131075:JZD196608 KIZ131075:KIZ196608 KSV131075:KSV196608 LCR131075:LCR196608 LMN131075:LMN196608 LWJ131075:LWJ196608 MGF131075:MGF196608 MQB131075:MQB196608 MZX131075:MZX196608 NJT131075:NJT196608 NTP131075:NTP196608 ODL131075:ODL196608 ONH131075:ONH196608 OXD131075:OXD196608 PGZ131075:PGZ196608 PQV131075:PQV196608 QAR131075:QAR196608 QKN131075:QKN196608 QUJ131075:QUJ196608 REF131075:REF196608 ROB131075:ROB196608 RXX131075:RXX196608 SHT131075:SHT196608 SRP131075:SRP196608 TBL131075:TBL196608 TLH131075:TLH196608 TVD131075:TVD196608 UEZ131075:UEZ196608 UOV131075:UOV196608 UYR131075:UYR196608 VIN131075:VIN196608 VSJ131075:VSJ196608 WCF131075:WCF196608 WMB131075:WMB196608 WVX131075:WVX196608 P196611:P262144 JL196611:JL262144 TH196611:TH262144 ADD196611:ADD262144 AMZ196611:AMZ262144 AWV196611:AWV262144 BGR196611:BGR262144 BQN196611:BQN262144 CAJ196611:CAJ262144 CKF196611:CKF262144 CUB196611:CUB262144 DDX196611:DDX262144 DNT196611:DNT262144 DXP196611:DXP262144 EHL196611:EHL262144 ERH196611:ERH262144 FBD196611:FBD262144 FKZ196611:FKZ262144 FUV196611:FUV262144 GER196611:GER262144 GON196611:GON262144 GYJ196611:GYJ262144 HIF196611:HIF262144 HSB196611:HSB262144 IBX196611:IBX262144 ILT196611:ILT262144 IVP196611:IVP262144 JFL196611:JFL262144 JPH196611:JPH262144 JZD196611:JZD262144 KIZ196611:KIZ262144 KSV196611:KSV262144 LCR196611:LCR262144 LMN196611:LMN262144 LWJ196611:LWJ262144 MGF196611:MGF262144 MQB196611:MQB262144 MZX196611:MZX262144 NJT196611:NJT262144 NTP196611:NTP262144 ODL196611:ODL262144 ONH196611:ONH262144 OXD196611:OXD262144 PGZ196611:PGZ262144 PQV196611:PQV262144 QAR196611:QAR262144 QKN196611:QKN262144 QUJ196611:QUJ262144 REF196611:REF262144 ROB196611:ROB262144 RXX196611:RXX262144 SHT196611:SHT262144 SRP196611:SRP262144 TBL196611:TBL262144 TLH196611:TLH262144 TVD196611:TVD262144 UEZ196611:UEZ262144 UOV196611:UOV262144 UYR196611:UYR262144 VIN196611:VIN262144 VSJ196611:VSJ262144 WCF196611:WCF262144 WMB196611:WMB262144 WVX196611:WVX262144 P262147:P327680 JL262147:JL327680 TH262147:TH327680 ADD262147:ADD327680 AMZ262147:AMZ327680 AWV262147:AWV327680 BGR262147:BGR327680 BQN262147:BQN327680 CAJ262147:CAJ327680 CKF262147:CKF327680 CUB262147:CUB327680 DDX262147:DDX327680 DNT262147:DNT327680 DXP262147:DXP327680 EHL262147:EHL327680 ERH262147:ERH327680 FBD262147:FBD327680 FKZ262147:FKZ327680 FUV262147:FUV327680 GER262147:GER327680 GON262147:GON327680 GYJ262147:GYJ327680 HIF262147:HIF327680 HSB262147:HSB327680 IBX262147:IBX327680 ILT262147:ILT327680 IVP262147:IVP327680 JFL262147:JFL327680 JPH262147:JPH327680 JZD262147:JZD327680 KIZ262147:KIZ327680 KSV262147:KSV327680 LCR262147:LCR327680 LMN262147:LMN327680 LWJ262147:LWJ327680 MGF262147:MGF327680 MQB262147:MQB327680 MZX262147:MZX327680 NJT262147:NJT327680 NTP262147:NTP327680 ODL262147:ODL327680 ONH262147:ONH327680 OXD262147:OXD327680 PGZ262147:PGZ327680 PQV262147:PQV327680 QAR262147:QAR327680 QKN262147:QKN327680 QUJ262147:QUJ327680 REF262147:REF327680 ROB262147:ROB327680 RXX262147:RXX327680 SHT262147:SHT327680 SRP262147:SRP327680 TBL262147:TBL327680 TLH262147:TLH327680 TVD262147:TVD327680 UEZ262147:UEZ327680 UOV262147:UOV327680 UYR262147:UYR327680 VIN262147:VIN327680 VSJ262147:VSJ327680 WCF262147:WCF327680 WMB262147:WMB327680 WVX262147:WVX327680 P327683:P393216 JL327683:JL393216 TH327683:TH393216 ADD327683:ADD393216 AMZ327683:AMZ393216 AWV327683:AWV393216 BGR327683:BGR393216 BQN327683:BQN393216 CAJ327683:CAJ393216 CKF327683:CKF393216 CUB327683:CUB393216 DDX327683:DDX393216 DNT327683:DNT393216 DXP327683:DXP393216 EHL327683:EHL393216 ERH327683:ERH393216 FBD327683:FBD393216 FKZ327683:FKZ393216 FUV327683:FUV393216 GER327683:GER393216 GON327683:GON393216 GYJ327683:GYJ393216 HIF327683:HIF393216 HSB327683:HSB393216 IBX327683:IBX393216 ILT327683:ILT393216 IVP327683:IVP393216 JFL327683:JFL393216 JPH327683:JPH393216 JZD327683:JZD393216 KIZ327683:KIZ393216 KSV327683:KSV393216 LCR327683:LCR393216 LMN327683:LMN393216 LWJ327683:LWJ393216 MGF327683:MGF393216 MQB327683:MQB393216 MZX327683:MZX393216 NJT327683:NJT393216 NTP327683:NTP393216 ODL327683:ODL393216 ONH327683:ONH393216 OXD327683:OXD393216 PGZ327683:PGZ393216 PQV327683:PQV393216 QAR327683:QAR393216 QKN327683:QKN393216 QUJ327683:QUJ393216 REF327683:REF393216 ROB327683:ROB393216 RXX327683:RXX393216 SHT327683:SHT393216 SRP327683:SRP393216 TBL327683:TBL393216 TLH327683:TLH393216 TVD327683:TVD393216 UEZ327683:UEZ393216 UOV327683:UOV393216 UYR327683:UYR393216 VIN327683:VIN393216 VSJ327683:VSJ393216 WCF327683:WCF393216 WMB327683:WMB393216 WVX327683:WVX393216 P393219:P458752 JL393219:JL458752 TH393219:TH458752 ADD393219:ADD458752 AMZ393219:AMZ458752 AWV393219:AWV458752 BGR393219:BGR458752 BQN393219:BQN458752 CAJ393219:CAJ458752 CKF393219:CKF458752 CUB393219:CUB458752 DDX393219:DDX458752 DNT393219:DNT458752 DXP393219:DXP458752 EHL393219:EHL458752 ERH393219:ERH458752 FBD393219:FBD458752 FKZ393219:FKZ458752 FUV393219:FUV458752 GER393219:GER458752 GON393219:GON458752 GYJ393219:GYJ458752 HIF393219:HIF458752 HSB393219:HSB458752 IBX393219:IBX458752 ILT393219:ILT458752 IVP393219:IVP458752 JFL393219:JFL458752 JPH393219:JPH458752 JZD393219:JZD458752 KIZ393219:KIZ458752 KSV393219:KSV458752 LCR393219:LCR458752 LMN393219:LMN458752 LWJ393219:LWJ458752 MGF393219:MGF458752 MQB393219:MQB458752 MZX393219:MZX458752 NJT393219:NJT458752 NTP393219:NTP458752 ODL393219:ODL458752 ONH393219:ONH458752 OXD393219:OXD458752 PGZ393219:PGZ458752 PQV393219:PQV458752 QAR393219:QAR458752 QKN393219:QKN458752 QUJ393219:QUJ458752 REF393219:REF458752 ROB393219:ROB458752 RXX393219:RXX458752 SHT393219:SHT458752 SRP393219:SRP458752 TBL393219:TBL458752 TLH393219:TLH458752 TVD393219:TVD458752 UEZ393219:UEZ458752 UOV393219:UOV458752 UYR393219:UYR458752 VIN393219:VIN458752 VSJ393219:VSJ458752 WCF393219:WCF458752 WMB393219:WMB458752 WVX393219:WVX458752 P458755:P524288 JL458755:JL524288 TH458755:TH524288 ADD458755:ADD524288 AMZ458755:AMZ524288 AWV458755:AWV524288 BGR458755:BGR524288 BQN458755:BQN524288 CAJ458755:CAJ524288 CKF458755:CKF524288 CUB458755:CUB524288 DDX458755:DDX524288 DNT458755:DNT524288 DXP458755:DXP524288 EHL458755:EHL524288 ERH458755:ERH524288 FBD458755:FBD524288 FKZ458755:FKZ524288 FUV458755:FUV524288 GER458755:GER524288 GON458755:GON524288 GYJ458755:GYJ524288 HIF458755:HIF524288 HSB458755:HSB524288 IBX458755:IBX524288 ILT458755:ILT524288 IVP458755:IVP524288 JFL458755:JFL524288 JPH458755:JPH524288 JZD458755:JZD524288 KIZ458755:KIZ524288 KSV458755:KSV524288 LCR458755:LCR524288 LMN458755:LMN524288 LWJ458755:LWJ524288 MGF458755:MGF524288 MQB458755:MQB524288 MZX458755:MZX524288 NJT458755:NJT524288 NTP458755:NTP524288 ODL458755:ODL524288 ONH458755:ONH524288 OXD458755:OXD524288 PGZ458755:PGZ524288 PQV458755:PQV524288 QAR458755:QAR524288 QKN458755:QKN524288 QUJ458755:QUJ524288 REF458755:REF524288 ROB458755:ROB524288 RXX458755:RXX524288 SHT458755:SHT524288 SRP458755:SRP524288 TBL458755:TBL524288 TLH458755:TLH524288 TVD458755:TVD524288 UEZ458755:UEZ524288 UOV458755:UOV524288 UYR458755:UYR524288 VIN458755:VIN524288 VSJ458755:VSJ524288 WCF458755:WCF524288 WMB458755:WMB524288 WVX458755:WVX524288 P524291:P589824 JL524291:JL589824 TH524291:TH589824 ADD524291:ADD589824 AMZ524291:AMZ589824 AWV524291:AWV589824 BGR524291:BGR589824 BQN524291:BQN589824 CAJ524291:CAJ589824 CKF524291:CKF589824 CUB524291:CUB589824 DDX524291:DDX589824 DNT524291:DNT589824 DXP524291:DXP589824 EHL524291:EHL589824 ERH524291:ERH589824 FBD524291:FBD589824 FKZ524291:FKZ589824 FUV524291:FUV589824 GER524291:GER589824 GON524291:GON589824 GYJ524291:GYJ589824 HIF524291:HIF589824 HSB524291:HSB589824 IBX524291:IBX589824 ILT524291:ILT589824 IVP524291:IVP589824 JFL524291:JFL589824 JPH524291:JPH589824 JZD524291:JZD589824 KIZ524291:KIZ589824 KSV524291:KSV589824 LCR524291:LCR589824 LMN524291:LMN589824 LWJ524291:LWJ589824 MGF524291:MGF589824 MQB524291:MQB589824 MZX524291:MZX589824 NJT524291:NJT589824 NTP524291:NTP589824 ODL524291:ODL589824 ONH524291:ONH589824 OXD524291:OXD589824 PGZ524291:PGZ589824 PQV524291:PQV589824 QAR524291:QAR589824 QKN524291:QKN589824 QUJ524291:QUJ589824 REF524291:REF589824 ROB524291:ROB589824 RXX524291:RXX589824 SHT524291:SHT589824 SRP524291:SRP589824 TBL524291:TBL589824 TLH524291:TLH589824 TVD524291:TVD589824 UEZ524291:UEZ589824 UOV524291:UOV589824 UYR524291:UYR589824 VIN524291:VIN589824 VSJ524291:VSJ589824 WCF524291:WCF589824 WMB524291:WMB589824 WVX524291:WVX589824 P589827:P655360 JL589827:JL655360 TH589827:TH655360 ADD589827:ADD655360 AMZ589827:AMZ655360 AWV589827:AWV655360 BGR589827:BGR655360 BQN589827:BQN655360 CAJ589827:CAJ655360 CKF589827:CKF655360 CUB589827:CUB655360 DDX589827:DDX655360 DNT589827:DNT655360 DXP589827:DXP655360 EHL589827:EHL655360 ERH589827:ERH655360 FBD589827:FBD655360 FKZ589827:FKZ655360 FUV589827:FUV655360 GER589827:GER655360 GON589827:GON655360 GYJ589827:GYJ655360 HIF589827:HIF655360 HSB589827:HSB655360 IBX589827:IBX655360 ILT589827:ILT655360 IVP589827:IVP655360 JFL589827:JFL655360 JPH589827:JPH655360 JZD589827:JZD655360 KIZ589827:KIZ655360 KSV589827:KSV655360 LCR589827:LCR655360 LMN589827:LMN655360 LWJ589827:LWJ655360 MGF589827:MGF655360 MQB589827:MQB655360 MZX589827:MZX655360 NJT589827:NJT655360 NTP589827:NTP655360 ODL589827:ODL655360 ONH589827:ONH655360 OXD589827:OXD655360 PGZ589827:PGZ655360 PQV589827:PQV655360 QAR589827:QAR655360 QKN589827:QKN655360 QUJ589827:QUJ655360 REF589827:REF655360 ROB589827:ROB655360 RXX589827:RXX655360 SHT589827:SHT655360 SRP589827:SRP655360 TBL589827:TBL655360 TLH589827:TLH655360 TVD589827:TVD655360 UEZ589827:UEZ655360 UOV589827:UOV655360 UYR589827:UYR655360 VIN589827:VIN655360 VSJ589827:VSJ655360 WCF589827:WCF655360 WMB589827:WMB655360 WVX589827:WVX655360 P655363:P720896 JL655363:JL720896 TH655363:TH720896 ADD655363:ADD720896 AMZ655363:AMZ720896 AWV655363:AWV720896 BGR655363:BGR720896 BQN655363:BQN720896 CAJ655363:CAJ720896 CKF655363:CKF720896 CUB655363:CUB720896 DDX655363:DDX720896 DNT655363:DNT720896 DXP655363:DXP720896 EHL655363:EHL720896 ERH655363:ERH720896 FBD655363:FBD720896 FKZ655363:FKZ720896 FUV655363:FUV720896 GER655363:GER720896 GON655363:GON720896 GYJ655363:GYJ720896 HIF655363:HIF720896 HSB655363:HSB720896 IBX655363:IBX720896 ILT655363:ILT720896 IVP655363:IVP720896 JFL655363:JFL720896 JPH655363:JPH720896 JZD655363:JZD720896 KIZ655363:KIZ720896 KSV655363:KSV720896 LCR655363:LCR720896 LMN655363:LMN720896 LWJ655363:LWJ720896 MGF655363:MGF720896 MQB655363:MQB720896 MZX655363:MZX720896 NJT655363:NJT720896 NTP655363:NTP720896 ODL655363:ODL720896 ONH655363:ONH720896 OXD655363:OXD720896 PGZ655363:PGZ720896 PQV655363:PQV720896 QAR655363:QAR720896 QKN655363:QKN720896 QUJ655363:QUJ720896 REF655363:REF720896 ROB655363:ROB720896 RXX655363:RXX720896 SHT655363:SHT720896 SRP655363:SRP720896 TBL655363:TBL720896 TLH655363:TLH720896 TVD655363:TVD720896 UEZ655363:UEZ720896 UOV655363:UOV720896 UYR655363:UYR720896 VIN655363:VIN720896 VSJ655363:VSJ720896 WCF655363:WCF720896 WMB655363:WMB720896 WVX655363:WVX720896 P720899:P786432 JL720899:JL786432 TH720899:TH786432 ADD720899:ADD786432 AMZ720899:AMZ786432 AWV720899:AWV786432 BGR720899:BGR786432 BQN720899:BQN786432 CAJ720899:CAJ786432 CKF720899:CKF786432 CUB720899:CUB786432 DDX720899:DDX786432 DNT720899:DNT786432 DXP720899:DXP786432 EHL720899:EHL786432 ERH720899:ERH786432 FBD720899:FBD786432 FKZ720899:FKZ786432 FUV720899:FUV786432 GER720899:GER786432 GON720899:GON786432 GYJ720899:GYJ786432 HIF720899:HIF786432 HSB720899:HSB786432 IBX720899:IBX786432 ILT720899:ILT786432 IVP720899:IVP786432 JFL720899:JFL786432 JPH720899:JPH786432 JZD720899:JZD786432 KIZ720899:KIZ786432 KSV720899:KSV786432 LCR720899:LCR786432 LMN720899:LMN786432 LWJ720899:LWJ786432 MGF720899:MGF786432 MQB720899:MQB786432 MZX720899:MZX786432 NJT720899:NJT786432 NTP720899:NTP786432 ODL720899:ODL786432 ONH720899:ONH786432 OXD720899:OXD786432 PGZ720899:PGZ786432 PQV720899:PQV786432 QAR720899:QAR786432 QKN720899:QKN786432 QUJ720899:QUJ786432 REF720899:REF786432 ROB720899:ROB786432 RXX720899:RXX786432 SHT720899:SHT786432 SRP720899:SRP786432 TBL720899:TBL786432 TLH720899:TLH786432 TVD720899:TVD786432 UEZ720899:UEZ786432 UOV720899:UOV786432 UYR720899:UYR786432 VIN720899:VIN786432 VSJ720899:VSJ786432 WCF720899:WCF786432 WMB720899:WMB786432 WVX720899:WVX786432 P786435:P851968 JL786435:JL851968 TH786435:TH851968 ADD786435:ADD851968 AMZ786435:AMZ851968 AWV786435:AWV851968 BGR786435:BGR851968 BQN786435:BQN851968 CAJ786435:CAJ851968 CKF786435:CKF851968 CUB786435:CUB851968 DDX786435:DDX851968 DNT786435:DNT851968 DXP786435:DXP851968 EHL786435:EHL851968 ERH786435:ERH851968 FBD786435:FBD851968 FKZ786435:FKZ851968 FUV786435:FUV851968 GER786435:GER851968 GON786435:GON851968 GYJ786435:GYJ851968 HIF786435:HIF851968 HSB786435:HSB851968 IBX786435:IBX851968 ILT786435:ILT851968 IVP786435:IVP851968 JFL786435:JFL851968 JPH786435:JPH851968 JZD786435:JZD851968 KIZ786435:KIZ851968 KSV786435:KSV851968 LCR786435:LCR851968 LMN786435:LMN851968 LWJ786435:LWJ851968 MGF786435:MGF851968 MQB786435:MQB851968 MZX786435:MZX851968 NJT786435:NJT851968 NTP786435:NTP851968 ODL786435:ODL851968 ONH786435:ONH851968 OXD786435:OXD851968 PGZ786435:PGZ851968 PQV786435:PQV851968 QAR786435:QAR851968 QKN786435:QKN851968 QUJ786435:QUJ851968 REF786435:REF851968 ROB786435:ROB851968 RXX786435:RXX851968 SHT786435:SHT851968 SRP786435:SRP851968 TBL786435:TBL851968 TLH786435:TLH851968 TVD786435:TVD851968 UEZ786435:UEZ851968 UOV786435:UOV851968 UYR786435:UYR851968 VIN786435:VIN851968 VSJ786435:VSJ851968 WCF786435:WCF851968 WMB786435:WMB851968 WVX786435:WVX851968 P851971:P917504 JL851971:JL917504 TH851971:TH917504 ADD851971:ADD917504 AMZ851971:AMZ917504 AWV851971:AWV917504 BGR851971:BGR917504 BQN851971:BQN917504 CAJ851971:CAJ917504 CKF851971:CKF917504 CUB851971:CUB917504 DDX851971:DDX917504 DNT851971:DNT917504 DXP851971:DXP917504 EHL851971:EHL917504 ERH851971:ERH917504 FBD851971:FBD917504 FKZ851971:FKZ917504 FUV851971:FUV917504 GER851971:GER917504 GON851971:GON917504 GYJ851971:GYJ917504 HIF851971:HIF917504 HSB851971:HSB917504 IBX851971:IBX917504 ILT851971:ILT917504 IVP851971:IVP917504 JFL851971:JFL917504 JPH851971:JPH917504 JZD851971:JZD917504 KIZ851971:KIZ917504 KSV851971:KSV917504 LCR851971:LCR917504 LMN851971:LMN917504 LWJ851971:LWJ917504 MGF851971:MGF917504 MQB851971:MQB917504 MZX851971:MZX917504 NJT851971:NJT917504 NTP851971:NTP917504 ODL851971:ODL917504 ONH851971:ONH917504 OXD851971:OXD917504 PGZ851971:PGZ917504 PQV851971:PQV917504 QAR851971:QAR917504 QKN851971:QKN917504 QUJ851971:QUJ917504 REF851971:REF917504 ROB851971:ROB917504 RXX851971:RXX917504 SHT851971:SHT917504 SRP851971:SRP917504 TBL851971:TBL917504 TLH851971:TLH917504 TVD851971:TVD917504 UEZ851971:UEZ917504 UOV851971:UOV917504 UYR851971:UYR917504 VIN851971:VIN917504 VSJ851971:VSJ917504 WCF851971:WCF917504 WMB851971:WMB917504 WVX851971:WVX917504 P917507:P983040 JL917507:JL983040 TH917507:TH983040 ADD917507:ADD983040 AMZ917507:AMZ983040 AWV917507:AWV983040 BGR917507:BGR983040 BQN917507:BQN983040 CAJ917507:CAJ983040 CKF917507:CKF983040 CUB917507:CUB983040 DDX917507:DDX983040 DNT917507:DNT983040 DXP917507:DXP983040 EHL917507:EHL983040 ERH917507:ERH983040 FBD917507:FBD983040 FKZ917507:FKZ983040 FUV917507:FUV983040 GER917507:GER983040 GON917507:GON983040 GYJ917507:GYJ983040 HIF917507:HIF983040 HSB917507:HSB983040 IBX917507:IBX983040 ILT917507:ILT983040 IVP917507:IVP983040 JFL917507:JFL983040 JPH917507:JPH983040 JZD917507:JZD983040 KIZ917507:KIZ983040 KSV917507:KSV983040 LCR917507:LCR983040 LMN917507:LMN983040 LWJ917507:LWJ983040 MGF917507:MGF983040 MQB917507:MQB983040 MZX917507:MZX983040 NJT917507:NJT983040 NTP917507:NTP983040 ODL917507:ODL983040 ONH917507:ONH983040 OXD917507:OXD983040 PGZ917507:PGZ983040 PQV917507:PQV983040 QAR917507:QAR983040 QKN917507:QKN983040 QUJ917507:QUJ983040 REF917507:REF983040 ROB917507:ROB983040 RXX917507:RXX983040 SHT917507:SHT983040 SRP917507:SRP983040 TBL917507:TBL983040 TLH917507:TLH983040 TVD917507:TVD983040 UEZ917507:UEZ983040 UOV917507:UOV983040 UYR917507:UYR983040 VIN917507:VIN983040 VSJ917507:VSJ983040 WCF917507:WCF983040 WMB917507:WMB983040 WVX917507:WVX983040 P983043:P1048576 JL983043:JL1048576 TH983043:TH1048576 ADD983043:ADD1048576 AMZ983043:AMZ1048576 AWV983043:AWV1048576 BGR983043:BGR1048576 BQN983043:BQN1048576 CAJ983043:CAJ1048576 CKF983043:CKF1048576 CUB983043:CUB1048576 DDX983043:DDX1048576 DNT983043:DNT1048576 DXP983043:DXP1048576 EHL983043:EHL1048576 ERH983043:ERH1048576 FBD983043:FBD1048576 FKZ983043:FKZ1048576 FUV983043:FUV1048576 GER983043:GER1048576 GON983043:GON1048576 GYJ983043:GYJ1048576 HIF983043:HIF1048576 HSB983043:HSB1048576 IBX983043:IBX1048576 ILT983043:ILT1048576 IVP983043:IVP1048576 JFL983043:JFL1048576 JPH983043:JPH1048576 JZD983043:JZD1048576 KIZ983043:KIZ1048576 KSV983043:KSV1048576 LCR983043:LCR1048576 LMN983043:LMN1048576 LWJ983043:LWJ1048576 MGF983043:MGF1048576 MQB983043:MQB1048576 MZX983043:MZX1048576 NJT983043:NJT1048576 NTP983043:NTP1048576 ODL983043:ODL1048576 ONH983043:ONH1048576 OXD983043:OXD1048576 PGZ983043:PGZ1048576 PQV983043:PQV1048576 QAR983043:QAR1048576 QKN983043:QKN1048576 QUJ983043:QUJ1048576 REF983043:REF1048576 ROB983043:ROB1048576 RXX983043:RXX1048576 SHT983043:SHT1048576 SRP983043:SRP1048576 TBL983043:TBL1048576 TLH983043:TLH1048576 TVD983043:TVD1048576 UEZ983043:UEZ1048576 UOV983043:UOV1048576 UYR983043:UYR1048576 VIN983043:VIN1048576 VSJ983043:VSJ1048576 WCF983043:WCF1048576 WMB983043:WMB1048576 WVX983043:WVX1048576" xr:uid="{F8655191-2F67-4182-AF08-7EC1FC5EF39C}">
      <formula1>0</formula1>
      <formula2>100</formula2>
    </dataValidation>
    <dataValidation type="list" allowBlank="1" showInputMessage="1" showErrorMessage="1" sqref="M3:M65536 JI3:JI65536 TE3:TE65536 ADA3:ADA65536 AMW3:AMW65536 AWS3:AWS65536 BGO3:BGO65536 BQK3:BQK65536 CAG3:CAG65536 CKC3:CKC65536 CTY3:CTY65536 DDU3:DDU65536 DNQ3:DNQ65536 DXM3:DXM65536 EHI3:EHI65536 ERE3:ERE65536 FBA3:FBA65536 FKW3:FKW65536 FUS3:FUS65536 GEO3:GEO65536 GOK3:GOK65536 GYG3:GYG65536 HIC3:HIC65536 HRY3:HRY65536 IBU3:IBU65536 ILQ3:ILQ65536 IVM3:IVM65536 JFI3:JFI65536 JPE3:JPE65536 JZA3:JZA65536 KIW3:KIW65536 KSS3:KSS65536 LCO3:LCO65536 LMK3:LMK65536 LWG3:LWG65536 MGC3:MGC65536 MPY3:MPY65536 MZU3:MZU65536 NJQ3:NJQ65536 NTM3:NTM65536 ODI3:ODI65536 ONE3:ONE65536 OXA3:OXA65536 PGW3:PGW65536 PQS3:PQS65536 QAO3:QAO65536 QKK3:QKK65536 QUG3:QUG65536 REC3:REC65536 RNY3:RNY65536 RXU3:RXU65536 SHQ3:SHQ65536 SRM3:SRM65536 TBI3:TBI65536 TLE3:TLE65536 TVA3:TVA65536 UEW3:UEW65536 UOS3:UOS65536 UYO3:UYO65536 VIK3:VIK65536 VSG3:VSG65536 WCC3:WCC65536 WLY3:WLY65536 WVU3:WVU65536 M65539:M131072 JI65539:JI131072 TE65539:TE131072 ADA65539:ADA131072 AMW65539:AMW131072 AWS65539:AWS131072 BGO65539:BGO131072 BQK65539:BQK131072 CAG65539:CAG131072 CKC65539:CKC131072 CTY65539:CTY131072 DDU65539:DDU131072 DNQ65539:DNQ131072 DXM65539:DXM131072 EHI65539:EHI131072 ERE65539:ERE131072 FBA65539:FBA131072 FKW65539:FKW131072 FUS65539:FUS131072 GEO65539:GEO131072 GOK65539:GOK131072 GYG65539:GYG131072 HIC65539:HIC131072 HRY65539:HRY131072 IBU65539:IBU131072 ILQ65539:ILQ131072 IVM65539:IVM131072 JFI65539:JFI131072 JPE65539:JPE131072 JZA65539:JZA131072 KIW65539:KIW131072 KSS65539:KSS131072 LCO65539:LCO131072 LMK65539:LMK131072 LWG65539:LWG131072 MGC65539:MGC131072 MPY65539:MPY131072 MZU65539:MZU131072 NJQ65539:NJQ131072 NTM65539:NTM131072 ODI65539:ODI131072 ONE65539:ONE131072 OXA65539:OXA131072 PGW65539:PGW131072 PQS65539:PQS131072 QAO65539:QAO131072 QKK65539:QKK131072 QUG65539:QUG131072 REC65539:REC131072 RNY65539:RNY131072 RXU65539:RXU131072 SHQ65539:SHQ131072 SRM65539:SRM131072 TBI65539:TBI131072 TLE65539:TLE131072 TVA65539:TVA131072 UEW65539:UEW131072 UOS65539:UOS131072 UYO65539:UYO131072 VIK65539:VIK131072 VSG65539:VSG131072 WCC65539:WCC131072 WLY65539:WLY131072 WVU65539:WVU131072 M131075:M196608 JI131075:JI196608 TE131075:TE196608 ADA131075:ADA196608 AMW131075:AMW196608 AWS131075:AWS196608 BGO131075:BGO196608 BQK131075:BQK196608 CAG131075:CAG196608 CKC131075:CKC196608 CTY131075:CTY196608 DDU131075:DDU196608 DNQ131075:DNQ196608 DXM131075:DXM196608 EHI131075:EHI196608 ERE131075:ERE196608 FBA131075:FBA196608 FKW131075:FKW196608 FUS131075:FUS196608 GEO131075:GEO196608 GOK131075:GOK196608 GYG131075:GYG196608 HIC131075:HIC196608 HRY131075:HRY196608 IBU131075:IBU196608 ILQ131075:ILQ196608 IVM131075:IVM196608 JFI131075:JFI196608 JPE131075:JPE196608 JZA131075:JZA196608 KIW131075:KIW196608 KSS131075:KSS196608 LCO131075:LCO196608 LMK131075:LMK196608 LWG131075:LWG196608 MGC131075:MGC196608 MPY131075:MPY196608 MZU131075:MZU196608 NJQ131075:NJQ196608 NTM131075:NTM196608 ODI131075:ODI196608 ONE131075:ONE196608 OXA131075:OXA196608 PGW131075:PGW196608 PQS131075:PQS196608 QAO131075:QAO196608 QKK131075:QKK196608 QUG131075:QUG196608 REC131075:REC196608 RNY131075:RNY196608 RXU131075:RXU196608 SHQ131075:SHQ196608 SRM131075:SRM196608 TBI131075:TBI196608 TLE131075:TLE196608 TVA131075:TVA196608 UEW131075:UEW196608 UOS131075:UOS196608 UYO131075:UYO196608 VIK131075:VIK196608 VSG131075:VSG196608 WCC131075:WCC196608 WLY131075:WLY196608 WVU131075:WVU196608 M196611:M262144 JI196611:JI262144 TE196611:TE262144 ADA196611:ADA262144 AMW196611:AMW262144 AWS196611:AWS262144 BGO196611:BGO262144 BQK196611:BQK262144 CAG196611:CAG262144 CKC196611:CKC262144 CTY196611:CTY262144 DDU196611:DDU262144 DNQ196611:DNQ262144 DXM196611:DXM262144 EHI196611:EHI262144 ERE196611:ERE262144 FBA196611:FBA262144 FKW196611:FKW262144 FUS196611:FUS262144 GEO196611:GEO262144 GOK196611:GOK262144 GYG196611:GYG262144 HIC196611:HIC262144 HRY196611:HRY262144 IBU196611:IBU262144 ILQ196611:ILQ262144 IVM196611:IVM262144 JFI196611:JFI262144 JPE196611:JPE262144 JZA196611:JZA262144 KIW196611:KIW262144 KSS196611:KSS262144 LCO196611:LCO262144 LMK196611:LMK262144 LWG196611:LWG262144 MGC196611:MGC262144 MPY196611:MPY262144 MZU196611:MZU262144 NJQ196611:NJQ262144 NTM196611:NTM262144 ODI196611:ODI262144 ONE196611:ONE262144 OXA196611:OXA262144 PGW196611:PGW262144 PQS196611:PQS262144 QAO196611:QAO262144 QKK196611:QKK262144 QUG196611:QUG262144 REC196611:REC262144 RNY196611:RNY262144 RXU196611:RXU262144 SHQ196611:SHQ262144 SRM196611:SRM262144 TBI196611:TBI262144 TLE196611:TLE262144 TVA196611:TVA262144 UEW196611:UEW262144 UOS196611:UOS262144 UYO196611:UYO262144 VIK196611:VIK262144 VSG196611:VSG262144 WCC196611:WCC262144 WLY196611:WLY262144 WVU196611:WVU262144 M262147:M327680 JI262147:JI327680 TE262147:TE327680 ADA262147:ADA327680 AMW262147:AMW327680 AWS262147:AWS327680 BGO262147:BGO327680 BQK262147:BQK327680 CAG262147:CAG327680 CKC262147:CKC327680 CTY262147:CTY327680 DDU262147:DDU327680 DNQ262147:DNQ327680 DXM262147:DXM327680 EHI262147:EHI327680 ERE262147:ERE327680 FBA262147:FBA327680 FKW262147:FKW327680 FUS262147:FUS327680 GEO262147:GEO327680 GOK262147:GOK327680 GYG262147:GYG327680 HIC262147:HIC327680 HRY262147:HRY327680 IBU262147:IBU327680 ILQ262147:ILQ327680 IVM262147:IVM327680 JFI262147:JFI327680 JPE262147:JPE327680 JZA262147:JZA327680 KIW262147:KIW327680 KSS262147:KSS327680 LCO262147:LCO327680 LMK262147:LMK327680 LWG262147:LWG327680 MGC262147:MGC327680 MPY262147:MPY327680 MZU262147:MZU327680 NJQ262147:NJQ327680 NTM262147:NTM327680 ODI262147:ODI327680 ONE262147:ONE327680 OXA262147:OXA327680 PGW262147:PGW327680 PQS262147:PQS327680 QAO262147:QAO327680 QKK262147:QKK327680 QUG262147:QUG327680 REC262147:REC327680 RNY262147:RNY327680 RXU262147:RXU327680 SHQ262147:SHQ327680 SRM262147:SRM327680 TBI262147:TBI327680 TLE262147:TLE327680 TVA262147:TVA327680 UEW262147:UEW327680 UOS262147:UOS327680 UYO262147:UYO327680 VIK262147:VIK327680 VSG262147:VSG327680 WCC262147:WCC327680 WLY262147:WLY327680 WVU262147:WVU327680 M327683:M393216 JI327683:JI393216 TE327683:TE393216 ADA327683:ADA393216 AMW327683:AMW393216 AWS327683:AWS393216 BGO327683:BGO393216 BQK327683:BQK393216 CAG327683:CAG393216 CKC327683:CKC393216 CTY327683:CTY393216 DDU327683:DDU393216 DNQ327683:DNQ393216 DXM327683:DXM393216 EHI327683:EHI393216 ERE327683:ERE393216 FBA327683:FBA393216 FKW327683:FKW393216 FUS327683:FUS393216 GEO327683:GEO393216 GOK327683:GOK393216 GYG327683:GYG393216 HIC327683:HIC393216 HRY327683:HRY393216 IBU327683:IBU393216 ILQ327683:ILQ393216 IVM327683:IVM393216 JFI327683:JFI393216 JPE327683:JPE393216 JZA327683:JZA393216 KIW327683:KIW393216 KSS327683:KSS393216 LCO327683:LCO393216 LMK327683:LMK393216 LWG327683:LWG393216 MGC327683:MGC393216 MPY327683:MPY393216 MZU327683:MZU393216 NJQ327683:NJQ393216 NTM327683:NTM393216 ODI327683:ODI393216 ONE327683:ONE393216 OXA327683:OXA393216 PGW327683:PGW393216 PQS327683:PQS393216 QAO327683:QAO393216 QKK327683:QKK393216 QUG327683:QUG393216 REC327683:REC393216 RNY327683:RNY393216 RXU327683:RXU393216 SHQ327683:SHQ393216 SRM327683:SRM393216 TBI327683:TBI393216 TLE327683:TLE393216 TVA327683:TVA393216 UEW327683:UEW393216 UOS327683:UOS393216 UYO327683:UYO393216 VIK327683:VIK393216 VSG327683:VSG393216 WCC327683:WCC393216 WLY327683:WLY393216 WVU327683:WVU393216 M393219:M458752 JI393219:JI458752 TE393219:TE458752 ADA393219:ADA458752 AMW393219:AMW458752 AWS393219:AWS458752 BGO393219:BGO458752 BQK393219:BQK458752 CAG393219:CAG458752 CKC393219:CKC458752 CTY393219:CTY458752 DDU393219:DDU458752 DNQ393219:DNQ458752 DXM393219:DXM458752 EHI393219:EHI458752 ERE393219:ERE458752 FBA393219:FBA458752 FKW393219:FKW458752 FUS393219:FUS458752 GEO393219:GEO458752 GOK393219:GOK458752 GYG393219:GYG458752 HIC393219:HIC458752 HRY393219:HRY458752 IBU393219:IBU458752 ILQ393219:ILQ458752 IVM393219:IVM458752 JFI393219:JFI458752 JPE393219:JPE458752 JZA393219:JZA458752 KIW393219:KIW458752 KSS393219:KSS458752 LCO393219:LCO458752 LMK393219:LMK458752 LWG393219:LWG458752 MGC393219:MGC458752 MPY393219:MPY458752 MZU393219:MZU458752 NJQ393219:NJQ458752 NTM393219:NTM458752 ODI393219:ODI458752 ONE393219:ONE458752 OXA393219:OXA458752 PGW393219:PGW458752 PQS393219:PQS458752 QAO393219:QAO458752 QKK393219:QKK458752 QUG393219:QUG458752 REC393219:REC458752 RNY393219:RNY458752 RXU393219:RXU458752 SHQ393219:SHQ458752 SRM393219:SRM458752 TBI393219:TBI458752 TLE393219:TLE458752 TVA393219:TVA458752 UEW393219:UEW458752 UOS393219:UOS458752 UYO393219:UYO458752 VIK393219:VIK458752 VSG393219:VSG458752 WCC393219:WCC458752 WLY393219:WLY458752 WVU393219:WVU458752 M458755:M524288 JI458755:JI524288 TE458755:TE524288 ADA458755:ADA524288 AMW458755:AMW524288 AWS458755:AWS524288 BGO458755:BGO524288 BQK458755:BQK524288 CAG458755:CAG524288 CKC458755:CKC524288 CTY458755:CTY524288 DDU458755:DDU524288 DNQ458755:DNQ524288 DXM458755:DXM524288 EHI458755:EHI524288 ERE458755:ERE524288 FBA458755:FBA524288 FKW458755:FKW524288 FUS458755:FUS524288 GEO458755:GEO524288 GOK458755:GOK524288 GYG458755:GYG524288 HIC458755:HIC524288 HRY458755:HRY524288 IBU458755:IBU524288 ILQ458755:ILQ524288 IVM458755:IVM524288 JFI458755:JFI524288 JPE458755:JPE524288 JZA458755:JZA524288 KIW458755:KIW524288 KSS458755:KSS524288 LCO458755:LCO524288 LMK458755:LMK524288 LWG458755:LWG524288 MGC458755:MGC524288 MPY458755:MPY524288 MZU458755:MZU524288 NJQ458755:NJQ524288 NTM458755:NTM524288 ODI458755:ODI524288 ONE458755:ONE524288 OXA458755:OXA524288 PGW458755:PGW524288 PQS458755:PQS524288 QAO458755:QAO524288 QKK458755:QKK524288 QUG458755:QUG524288 REC458755:REC524288 RNY458755:RNY524288 RXU458755:RXU524288 SHQ458755:SHQ524288 SRM458755:SRM524288 TBI458755:TBI524288 TLE458755:TLE524288 TVA458755:TVA524288 UEW458755:UEW524288 UOS458755:UOS524288 UYO458755:UYO524288 VIK458755:VIK524288 VSG458755:VSG524288 WCC458755:WCC524288 WLY458755:WLY524288 WVU458755:WVU524288 M524291:M589824 JI524291:JI589824 TE524291:TE589824 ADA524291:ADA589824 AMW524291:AMW589824 AWS524291:AWS589824 BGO524291:BGO589824 BQK524291:BQK589824 CAG524291:CAG589824 CKC524291:CKC589824 CTY524291:CTY589824 DDU524291:DDU589824 DNQ524291:DNQ589824 DXM524291:DXM589824 EHI524291:EHI589824 ERE524291:ERE589824 FBA524291:FBA589824 FKW524291:FKW589824 FUS524291:FUS589824 GEO524291:GEO589824 GOK524291:GOK589824 GYG524291:GYG589824 HIC524291:HIC589824 HRY524291:HRY589824 IBU524291:IBU589824 ILQ524291:ILQ589824 IVM524291:IVM589824 JFI524291:JFI589824 JPE524291:JPE589824 JZA524291:JZA589824 KIW524291:KIW589824 KSS524291:KSS589824 LCO524291:LCO589824 LMK524291:LMK589824 LWG524291:LWG589824 MGC524291:MGC589824 MPY524291:MPY589824 MZU524291:MZU589824 NJQ524291:NJQ589824 NTM524291:NTM589824 ODI524291:ODI589824 ONE524291:ONE589824 OXA524291:OXA589824 PGW524291:PGW589824 PQS524291:PQS589824 QAO524291:QAO589824 QKK524291:QKK589824 QUG524291:QUG589824 REC524291:REC589824 RNY524291:RNY589824 RXU524291:RXU589824 SHQ524291:SHQ589824 SRM524291:SRM589824 TBI524291:TBI589824 TLE524291:TLE589824 TVA524291:TVA589824 UEW524291:UEW589824 UOS524291:UOS589824 UYO524291:UYO589824 VIK524291:VIK589824 VSG524291:VSG589824 WCC524291:WCC589824 WLY524291:WLY589824 WVU524291:WVU589824 M589827:M655360 JI589827:JI655360 TE589827:TE655360 ADA589827:ADA655360 AMW589827:AMW655360 AWS589827:AWS655360 BGO589827:BGO655360 BQK589827:BQK655360 CAG589827:CAG655360 CKC589827:CKC655360 CTY589827:CTY655360 DDU589827:DDU655360 DNQ589827:DNQ655360 DXM589827:DXM655360 EHI589827:EHI655360 ERE589827:ERE655360 FBA589827:FBA655360 FKW589827:FKW655360 FUS589827:FUS655360 GEO589827:GEO655360 GOK589827:GOK655360 GYG589827:GYG655360 HIC589827:HIC655360 HRY589827:HRY655360 IBU589827:IBU655360 ILQ589827:ILQ655360 IVM589827:IVM655360 JFI589827:JFI655360 JPE589827:JPE655360 JZA589827:JZA655360 KIW589827:KIW655360 KSS589827:KSS655360 LCO589827:LCO655360 LMK589827:LMK655360 LWG589827:LWG655360 MGC589827:MGC655360 MPY589827:MPY655360 MZU589827:MZU655360 NJQ589827:NJQ655360 NTM589827:NTM655360 ODI589827:ODI655360 ONE589827:ONE655360 OXA589827:OXA655360 PGW589827:PGW655360 PQS589827:PQS655360 QAO589827:QAO655360 QKK589827:QKK655360 QUG589827:QUG655360 REC589827:REC655360 RNY589827:RNY655360 RXU589827:RXU655360 SHQ589827:SHQ655360 SRM589827:SRM655360 TBI589827:TBI655360 TLE589827:TLE655360 TVA589827:TVA655360 UEW589827:UEW655360 UOS589827:UOS655360 UYO589827:UYO655360 VIK589827:VIK655360 VSG589827:VSG655360 WCC589827:WCC655360 WLY589827:WLY655360 WVU589827:WVU655360 M655363:M720896 JI655363:JI720896 TE655363:TE720896 ADA655363:ADA720896 AMW655363:AMW720896 AWS655363:AWS720896 BGO655363:BGO720896 BQK655363:BQK720896 CAG655363:CAG720896 CKC655363:CKC720896 CTY655363:CTY720896 DDU655363:DDU720896 DNQ655363:DNQ720896 DXM655363:DXM720896 EHI655363:EHI720896 ERE655363:ERE720896 FBA655363:FBA720896 FKW655363:FKW720896 FUS655363:FUS720896 GEO655363:GEO720896 GOK655363:GOK720896 GYG655363:GYG720896 HIC655363:HIC720896 HRY655363:HRY720896 IBU655363:IBU720896 ILQ655363:ILQ720896 IVM655363:IVM720896 JFI655363:JFI720896 JPE655363:JPE720896 JZA655363:JZA720896 KIW655363:KIW720896 KSS655363:KSS720896 LCO655363:LCO720896 LMK655363:LMK720896 LWG655363:LWG720896 MGC655363:MGC720896 MPY655363:MPY720896 MZU655363:MZU720896 NJQ655363:NJQ720896 NTM655363:NTM720896 ODI655363:ODI720896 ONE655363:ONE720896 OXA655363:OXA720896 PGW655363:PGW720896 PQS655363:PQS720896 QAO655363:QAO720896 QKK655363:QKK720896 QUG655363:QUG720896 REC655363:REC720896 RNY655363:RNY720896 RXU655363:RXU720896 SHQ655363:SHQ720896 SRM655363:SRM720896 TBI655363:TBI720896 TLE655363:TLE720896 TVA655363:TVA720896 UEW655363:UEW720896 UOS655363:UOS720896 UYO655363:UYO720896 VIK655363:VIK720896 VSG655363:VSG720896 WCC655363:WCC720896 WLY655363:WLY720896 WVU655363:WVU720896 M720899:M786432 JI720899:JI786432 TE720899:TE786432 ADA720899:ADA786432 AMW720899:AMW786432 AWS720899:AWS786432 BGO720899:BGO786432 BQK720899:BQK786432 CAG720899:CAG786432 CKC720899:CKC786432 CTY720899:CTY786432 DDU720899:DDU786432 DNQ720899:DNQ786432 DXM720899:DXM786432 EHI720899:EHI786432 ERE720899:ERE786432 FBA720899:FBA786432 FKW720899:FKW786432 FUS720899:FUS786432 GEO720899:GEO786432 GOK720899:GOK786432 GYG720899:GYG786432 HIC720899:HIC786432 HRY720899:HRY786432 IBU720899:IBU786432 ILQ720899:ILQ786432 IVM720899:IVM786432 JFI720899:JFI786432 JPE720899:JPE786432 JZA720899:JZA786432 KIW720899:KIW786432 KSS720899:KSS786432 LCO720899:LCO786432 LMK720899:LMK786432 LWG720899:LWG786432 MGC720899:MGC786432 MPY720899:MPY786432 MZU720899:MZU786432 NJQ720899:NJQ786432 NTM720899:NTM786432 ODI720899:ODI786432 ONE720899:ONE786432 OXA720899:OXA786432 PGW720899:PGW786432 PQS720899:PQS786432 QAO720899:QAO786432 QKK720899:QKK786432 QUG720899:QUG786432 REC720899:REC786432 RNY720899:RNY786432 RXU720899:RXU786432 SHQ720899:SHQ786432 SRM720899:SRM786432 TBI720899:TBI786432 TLE720899:TLE786432 TVA720899:TVA786432 UEW720899:UEW786432 UOS720899:UOS786432 UYO720899:UYO786432 VIK720899:VIK786432 VSG720899:VSG786432 WCC720899:WCC786432 WLY720899:WLY786432 WVU720899:WVU786432 M786435:M851968 JI786435:JI851968 TE786435:TE851968 ADA786435:ADA851968 AMW786435:AMW851968 AWS786435:AWS851968 BGO786435:BGO851968 BQK786435:BQK851968 CAG786435:CAG851968 CKC786435:CKC851968 CTY786435:CTY851968 DDU786435:DDU851968 DNQ786435:DNQ851968 DXM786435:DXM851968 EHI786435:EHI851968 ERE786435:ERE851968 FBA786435:FBA851968 FKW786435:FKW851968 FUS786435:FUS851968 GEO786435:GEO851968 GOK786435:GOK851968 GYG786435:GYG851968 HIC786435:HIC851968 HRY786435:HRY851968 IBU786435:IBU851968 ILQ786435:ILQ851968 IVM786435:IVM851968 JFI786435:JFI851968 JPE786435:JPE851968 JZA786435:JZA851968 KIW786435:KIW851968 KSS786435:KSS851968 LCO786435:LCO851968 LMK786435:LMK851968 LWG786435:LWG851968 MGC786435:MGC851968 MPY786435:MPY851968 MZU786435:MZU851968 NJQ786435:NJQ851968 NTM786435:NTM851968 ODI786435:ODI851968 ONE786435:ONE851968 OXA786435:OXA851968 PGW786435:PGW851968 PQS786435:PQS851968 QAO786435:QAO851968 QKK786435:QKK851968 QUG786435:QUG851968 REC786435:REC851968 RNY786435:RNY851968 RXU786435:RXU851968 SHQ786435:SHQ851968 SRM786435:SRM851968 TBI786435:TBI851968 TLE786435:TLE851968 TVA786435:TVA851968 UEW786435:UEW851968 UOS786435:UOS851968 UYO786435:UYO851968 VIK786435:VIK851968 VSG786435:VSG851968 WCC786435:WCC851968 WLY786435:WLY851968 WVU786435:WVU851968 M851971:M917504 JI851971:JI917504 TE851971:TE917504 ADA851971:ADA917504 AMW851971:AMW917504 AWS851971:AWS917504 BGO851971:BGO917504 BQK851971:BQK917504 CAG851971:CAG917504 CKC851971:CKC917504 CTY851971:CTY917504 DDU851971:DDU917504 DNQ851971:DNQ917504 DXM851971:DXM917504 EHI851971:EHI917504 ERE851971:ERE917504 FBA851971:FBA917504 FKW851971:FKW917504 FUS851971:FUS917504 GEO851971:GEO917504 GOK851971:GOK917504 GYG851971:GYG917504 HIC851971:HIC917504 HRY851971:HRY917504 IBU851971:IBU917504 ILQ851971:ILQ917504 IVM851971:IVM917504 JFI851971:JFI917504 JPE851971:JPE917504 JZA851971:JZA917504 KIW851971:KIW917504 KSS851971:KSS917504 LCO851971:LCO917504 LMK851971:LMK917504 LWG851971:LWG917504 MGC851971:MGC917504 MPY851971:MPY917504 MZU851971:MZU917504 NJQ851971:NJQ917504 NTM851971:NTM917504 ODI851971:ODI917504 ONE851971:ONE917504 OXA851971:OXA917504 PGW851971:PGW917504 PQS851971:PQS917504 QAO851971:QAO917504 QKK851971:QKK917504 QUG851971:QUG917504 REC851971:REC917504 RNY851971:RNY917504 RXU851971:RXU917504 SHQ851971:SHQ917504 SRM851971:SRM917504 TBI851971:TBI917504 TLE851971:TLE917504 TVA851971:TVA917504 UEW851971:UEW917504 UOS851971:UOS917504 UYO851971:UYO917504 VIK851971:VIK917504 VSG851971:VSG917504 WCC851971:WCC917504 WLY851971:WLY917504 WVU851971:WVU917504 M917507:M983040 JI917507:JI983040 TE917507:TE983040 ADA917507:ADA983040 AMW917507:AMW983040 AWS917507:AWS983040 BGO917507:BGO983040 BQK917507:BQK983040 CAG917507:CAG983040 CKC917507:CKC983040 CTY917507:CTY983040 DDU917507:DDU983040 DNQ917507:DNQ983040 DXM917507:DXM983040 EHI917507:EHI983040 ERE917507:ERE983040 FBA917507:FBA983040 FKW917507:FKW983040 FUS917507:FUS983040 GEO917507:GEO983040 GOK917507:GOK983040 GYG917507:GYG983040 HIC917507:HIC983040 HRY917507:HRY983040 IBU917507:IBU983040 ILQ917507:ILQ983040 IVM917507:IVM983040 JFI917507:JFI983040 JPE917507:JPE983040 JZA917507:JZA983040 KIW917507:KIW983040 KSS917507:KSS983040 LCO917507:LCO983040 LMK917507:LMK983040 LWG917507:LWG983040 MGC917507:MGC983040 MPY917507:MPY983040 MZU917507:MZU983040 NJQ917507:NJQ983040 NTM917507:NTM983040 ODI917507:ODI983040 ONE917507:ONE983040 OXA917507:OXA983040 PGW917507:PGW983040 PQS917507:PQS983040 QAO917507:QAO983040 QKK917507:QKK983040 QUG917507:QUG983040 REC917507:REC983040 RNY917507:RNY983040 RXU917507:RXU983040 SHQ917507:SHQ983040 SRM917507:SRM983040 TBI917507:TBI983040 TLE917507:TLE983040 TVA917507:TVA983040 UEW917507:UEW983040 UOS917507:UOS983040 UYO917507:UYO983040 VIK917507:VIK983040 VSG917507:VSG983040 WCC917507:WCC983040 WLY917507:WLY983040 WVU917507:WVU983040 M983043:M1048576 JI983043:JI1048576 TE983043:TE1048576 ADA983043:ADA1048576 AMW983043:AMW1048576 AWS983043:AWS1048576 BGO983043:BGO1048576 BQK983043:BQK1048576 CAG983043:CAG1048576 CKC983043:CKC1048576 CTY983043:CTY1048576 DDU983043:DDU1048576 DNQ983043:DNQ1048576 DXM983043:DXM1048576 EHI983043:EHI1048576 ERE983043:ERE1048576 FBA983043:FBA1048576 FKW983043:FKW1048576 FUS983043:FUS1048576 GEO983043:GEO1048576 GOK983043:GOK1048576 GYG983043:GYG1048576 HIC983043:HIC1048576 HRY983043:HRY1048576 IBU983043:IBU1048576 ILQ983043:ILQ1048576 IVM983043:IVM1048576 JFI983043:JFI1048576 JPE983043:JPE1048576 JZA983043:JZA1048576 KIW983043:KIW1048576 KSS983043:KSS1048576 LCO983043:LCO1048576 LMK983043:LMK1048576 LWG983043:LWG1048576 MGC983043:MGC1048576 MPY983043:MPY1048576 MZU983043:MZU1048576 NJQ983043:NJQ1048576 NTM983043:NTM1048576 ODI983043:ODI1048576 ONE983043:ONE1048576 OXA983043:OXA1048576 PGW983043:PGW1048576 PQS983043:PQS1048576 QAO983043:QAO1048576 QKK983043:QKK1048576 QUG983043:QUG1048576 REC983043:REC1048576 RNY983043:RNY1048576 RXU983043:RXU1048576 SHQ983043:SHQ1048576 SRM983043:SRM1048576 TBI983043:TBI1048576 TLE983043:TLE1048576 TVA983043:TVA1048576 UEW983043:UEW1048576 UOS983043:UOS1048576 UYO983043:UYO1048576 VIK983043:VIK1048576 VSG983043:VSG1048576 WCC983043:WCC1048576 WLY983043:WLY1048576 WVU983043:WVU1048576" xr:uid="{4AC987DD-AB6F-4B20-B424-B7C9043F9EA2}">
      <formula1>percent</formula1>
    </dataValidation>
    <dataValidation type="whole" allowBlank="1" showInputMessage="1" showErrorMessage="1" sqref="U3:U65536 JQ3:JQ65536 TM3:TM65536 ADI3:ADI65536 ANE3:ANE65536 AXA3:AXA65536 BGW3:BGW65536 BQS3:BQS65536 CAO3:CAO65536 CKK3:CKK65536 CUG3:CUG65536 DEC3:DEC65536 DNY3:DNY65536 DXU3:DXU65536 EHQ3:EHQ65536 ERM3:ERM65536 FBI3:FBI65536 FLE3:FLE65536 FVA3:FVA65536 GEW3:GEW65536 GOS3:GOS65536 GYO3:GYO65536 HIK3:HIK65536 HSG3:HSG65536 ICC3:ICC65536 ILY3:ILY65536 IVU3:IVU65536 JFQ3:JFQ65536 JPM3:JPM65536 JZI3:JZI65536 KJE3:KJE65536 KTA3:KTA65536 LCW3:LCW65536 LMS3:LMS65536 LWO3:LWO65536 MGK3:MGK65536 MQG3:MQG65536 NAC3:NAC65536 NJY3:NJY65536 NTU3:NTU65536 ODQ3:ODQ65536 ONM3:ONM65536 OXI3:OXI65536 PHE3:PHE65536 PRA3:PRA65536 QAW3:QAW65536 QKS3:QKS65536 QUO3:QUO65536 REK3:REK65536 ROG3:ROG65536 RYC3:RYC65536 SHY3:SHY65536 SRU3:SRU65536 TBQ3:TBQ65536 TLM3:TLM65536 TVI3:TVI65536 UFE3:UFE65536 UPA3:UPA65536 UYW3:UYW65536 VIS3:VIS65536 VSO3:VSO65536 WCK3:WCK65536 WMG3:WMG65536 WWC3:WWC65536 U65539:U131072 JQ65539:JQ131072 TM65539:TM131072 ADI65539:ADI131072 ANE65539:ANE131072 AXA65539:AXA131072 BGW65539:BGW131072 BQS65539:BQS131072 CAO65539:CAO131072 CKK65539:CKK131072 CUG65539:CUG131072 DEC65539:DEC131072 DNY65539:DNY131072 DXU65539:DXU131072 EHQ65539:EHQ131072 ERM65539:ERM131072 FBI65539:FBI131072 FLE65539:FLE131072 FVA65539:FVA131072 GEW65539:GEW131072 GOS65539:GOS131072 GYO65539:GYO131072 HIK65539:HIK131072 HSG65539:HSG131072 ICC65539:ICC131072 ILY65539:ILY131072 IVU65539:IVU131072 JFQ65539:JFQ131072 JPM65539:JPM131072 JZI65539:JZI131072 KJE65539:KJE131072 KTA65539:KTA131072 LCW65539:LCW131072 LMS65539:LMS131072 LWO65539:LWO131072 MGK65539:MGK131072 MQG65539:MQG131072 NAC65539:NAC131072 NJY65539:NJY131072 NTU65539:NTU131072 ODQ65539:ODQ131072 ONM65539:ONM131072 OXI65539:OXI131072 PHE65539:PHE131072 PRA65539:PRA131072 QAW65539:QAW131072 QKS65539:QKS131072 QUO65539:QUO131072 REK65539:REK131072 ROG65539:ROG131072 RYC65539:RYC131072 SHY65539:SHY131072 SRU65539:SRU131072 TBQ65539:TBQ131072 TLM65539:TLM131072 TVI65539:TVI131072 UFE65539:UFE131072 UPA65539:UPA131072 UYW65539:UYW131072 VIS65539:VIS131072 VSO65539:VSO131072 WCK65539:WCK131072 WMG65539:WMG131072 WWC65539:WWC131072 U131075:U196608 JQ131075:JQ196608 TM131075:TM196608 ADI131075:ADI196608 ANE131075:ANE196608 AXA131075:AXA196608 BGW131075:BGW196608 BQS131075:BQS196608 CAO131075:CAO196608 CKK131075:CKK196608 CUG131075:CUG196608 DEC131075:DEC196608 DNY131075:DNY196608 DXU131075:DXU196608 EHQ131075:EHQ196608 ERM131075:ERM196608 FBI131075:FBI196608 FLE131075:FLE196608 FVA131075:FVA196608 GEW131075:GEW196608 GOS131075:GOS196608 GYO131075:GYO196608 HIK131075:HIK196608 HSG131075:HSG196608 ICC131075:ICC196608 ILY131075:ILY196608 IVU131075:IVU196608 JFQ131075:JFQ196608 JPM131075:JPM196608 JZI131075:JZI196608 KJE131075:KJE196608 KTA131075:KTA196608 LCW131075:LCW196608 LMS131075:LMS196608 LWO131075:LWO196608 MGK131075:MGK196608 MQG131075:MQG196608 NAC131075:NAC196608 NJY131075:NJY196608 NTU131075:NTU196608 ODQ131075:ODQ196608 ONM131075:ONM196608 OXI131075:OXI196608 PHE131075:PHE196608 PRA131075:PRA196608 QAW131075:QAW196608 QKS131075:QKS196608 QUO131075:QUO196608 REK131075:REK196608 ROG131075:ROG196608 RYC131075:RYC196608 SHY131075:SHY196608 SRU131075:SRU196608 TBQ131075:TBQ196608 TLM131075:TLM196608 TVI131075:TVI196608 UFE131075:UFE196608 UPA131075:UPA196608 UYW131075:UYW196608 VIS131075:VIS196608 VSO131075:VSO196608 WCK131075:WCK196608 WMG131075:WMG196608 WWC131075:WWC196608 U196611:U262144 JQ196611:JQ262144 TM196611:TM262144 ADI196611:ADI262144 ANE196611:ANE262144 AXA196611:AXA262144 BGW196611:BGW262144 BQS196611:BQS262144 CAO196611:CAO262144 CKK196611:CKK262144 CUG196611:CUG262144 DEC196611:DEC262144 DNY196611:DNY262144 DXU196611:DXU262144 EHQ196611:EHQ262144 ERM196611:ERM262144 FBI196611:FBI262144 FLE196611:FLE262144 FVA196611:FVA262144 GEW196611:GEW262144 GOS196611:GOS262144 GYO196611:GYO262144 HIK196611:HIK262144 HSG196611:HSG262144 ICC196611:ICC262144 ILY196611:ILY262144 IVU196611:IVU262144 JFQ196611:JFQ262144 JPM196611:JPM262144 JZI196611:JZI262144 KJE196611:KJE262144 KTA196611:KTA262144 LCW196611:LCW262144 LMS196611:LMS262144 LWO196611:LWO262144 MGK196611:MGK262144 MQG196611:MQG262144 NAC196611:NAC262144 NJY196611:NJY262144 NTU196611:NTU262144 ODQ196611:ODQ262144 ONM196611:ONM262144 OXI196611:OXI262144 PHE196611:PHE262144 PRA196611:PRA262144 QAW196611:QAW262144 QKS196611:QKS262144 QUO196611:QUO262144 REK196611:REK262144 ROG196611:ROG262144 RYC196611:RYC262144 SHY196611:SHY262144 SRU196611:SRU262144 TBQ196611:TBQ262144 TLM196611:TLM262144 TVI196611:TVI262144 UFE196611:UFE262144 UPA196611:UPA262144 UYW196611:UYW262144 VIS196611:VIS262144 VSO196611:VSO262144 WCK196611:WCK262144 WMG196611:WMG262144 WWC196611:WWC262144 U262147:U327680 JQ262147:JQ327680 TM262147:TM327680 ADI262147:ADI327680 ANE262147:ANE327680 AXA262147:AXA327680 BGW262147:BGW327680 BQS262147:BQS327680 CAO262147:CAO327680 CKK262147:CKK327680 CUG262147:CUG327680 DEC262147:DEC327680 DNY262147:DNY327680 DXU262147:DXU327680 EHQ262147:EHQ327680 ERM262147:ERM327680 FBI262147:FBI327680 FLE262147:FLE327680 FVA262147:FVA327680 GEW262147:GEW327680 GOS262147:GOS327680 GYO262147:GYO327680 HIK262147:HIK327680 HSG262147:HSG327680 ICC262147:ICC327680 ILY262147:ILY327680 IVU262147:IVU327680 JFQ262147:JFQ327680 JPM262147:JPM327680 JZI262147:JZI327680 KJE262147:KJE327680 KTA262147:KTA327680 LCW262147:LCW327680 LMS262147:LMS327680 LWO262147:LWO327680 MGK262147:MGK327680 MQG262147:MQG327680 NAC262147:NAC327680 NJY262147:NJY327680 NTU262147:NTU327680 ODQ262147:ODQ327680 ONM262147:ONM327680 OXI262147:OXI327680 PHE262147:PHE327680 PRA262147:PRA327680 QAW262147:QAW327680 QKS262147:QKS327680 QUO262147:QUO327680 REK262147:REK327680 ROG262147:ROG327680 RYC262147:RYC327680 SHY262147:SHY327680 SRU262147:SRU327680 TBQ262147:TBQ327680 TLM262147:TLM327680 TVI262147:TVI327680 UFE262147:UFE327680 UPA262147:UPA327680 UYW262147:UYW327680 VIS262147:VIS327680 VSO262147:VSO327680 WCK262147:WCK327680 WMG262147:WMG327680 WWC262147:WWC327680 U327683:U393216 JQ327683:JQ393216 TM327683:TM393216 ADI327683:ADI393216 ANE327683:ANE393216 AXA327683:AXA393216 BGW327683:BGW393216 BQS327683:BQS393216 CAO327683:CAO393216 CKK327683:CKK393216 CUG327683:CUG393216 DEC327683:DEC393216 DNY327683:DNY393216 DXU327683:DXU393216 EHQ327683:EHQ393216 ERM327683:ERM393216 FBI327683:FBI393216 FLE327683:FLE393216 FVA327683:FVA393216 GEW327683:GEW393216 GOS327683:GOS393216 GYO327683:GYO393216 HIK327683:HIK393216 HSG327683:HSG393216 ICC327683:ICC393216 ILY327683:ILY393216 IVU327683:IVU393216 JFQ327683:JFQ393216 JPM327683:JPM393216 JZI327683:JZI393216 KJE327683:KJE393216 KTA327683:KTA393216 LCW327683:LCW393216 LMS327683:LMS393216 LWO327683:LWO393216 MGK327683:MGK393216 MQG327683:MQG393216 NAC327683:NAC393216 NJY327683:NJY393216 NTU327683:NTU393216 ODQ327683:ODQ393216 ONM327683:ONM393216 OXI327683:OXI393216 PHE327683:PHE393216 PRA327683:PRA393216 QAW327683:QAW393216 QKS327683:QKS393216 QUO327683:QUO393216 REK327683:REK393216 ROG327683:ROG393216 RYC327683:RYC393216 SHY327683:SHY393216 SRU327683:SRU393216 TBQ327683:TBQ393216 TLM327683:TLM393216 TVI327683:TVI393216 UFE327683:UFE393216 UPA327683:UPA393216 UYW327683:UYW393216 VIS327683:VIS393216 VSO327683:VSO393216 WCK327683:WCK393216 WMG327683:WMG393216 WWC327683:WWC393216 U393219:U458752 JQ393219:JQ458752 TM393219:TM458752 ADI393219:ADI458752 ANE393219:ANE458752 AXA393219:AXA458752 BGW393219:BGW458752 BQS393219:BQS458752 CAO393219:CAO458752 CKK393219:CKK458752 CUG393219:CUG458752 DEC393219:DEC458752 DNY393219:DNY458752 DXU393219:DXU458752 EHQ393219:EHQ458752 ERM393219:ERM458752 FBI393219:FBI458752 FLE393219:FLE458752 FVA393219:FVA458752 GEW393219:GEW458752 GOS393219:GOS458752 GYO393219:GYO458752 HIK393219:HIK458752 HSG393219:HSG458752 ICC393219:ICC458752 ILY393219:ILY458752 IVU393219:IVU458752 JFQ393219:JFQ458752 JPM393219:JPM458752 JZI393219:JZI458752 KJE393219:KJE458752 KTA393219:KTA458752 LCW393219:LCW458752 LMS393219:LMS458752 LWO393219:LWO458752 MGK393219:MGK458752 MQG393219:MQG458752 NAC393219:NAC458752 NJY393219:NJY458752 NTU393219:NTU458752 ODQ393219:ODQ458752 ONM393219:ONM458752 OXI393219:OXI458752 PHE393219:PHE458752 PRA393219:PRA458752 QAW393219:QAW458752 QKS393219:QKS458752 QUO393219:QUO458752 REK393219:REK458752 ROG393219:ROG458752 RYC393219:RYC458752 SHY393219:SHY458752 SRU393219:SRU458752 TBQ393219:TBQ458752 TLM393219:TLM458752 TVI393219:TVI458752 UFE393219:UFE458752 UPA393219:UPA458752 UYW393219:UYW458752 VIS393219:VIS458752 VSO393219:VSO458752 WCK393219:WCK458752 WMG393219:WMG458752 WWC393219:WWC458752 U458755:U524288 JQ458755:JQ524288 TM458755:TM524288 ADI458755:ADI524288 ANE458755:ANE524288 AXA458755:AXA524288 BGW458755:BGW524288 BQS458755:BQS524288 CAO458755:CAO524288 CKK458755:CKK524288 CUG458755:CUG524288 DEC458755:DEC524288 DNY458755:DNY524288 DXU458755:DXU524288 EHQ458755:EHQ524288 ERM458755:ERM524288 FBI458755:FBI524288 FLE458755:FLE524288 FVA458755:FVA524288 GEW458755:GEW524288 GOS458755:GOS524288 GYO458755:GYO524288 HIK458755:HIK524288 HSG458755:HSG524288 ICC458755:ICC524288 ILY458755:ILY524288 IVU458755:IVU524288 JFQ458755:JFQ524288 JPM458755:JPM524288 JZI458755:JZI524288 KJE458755:KJE524288 KTA458755:KTA524288 LCW458755:LCW524288 LMS458755:LMS524288 LWO458755:LWO524288 MGK458755:MGK524288 MQG458755:MQG524288 NAC458755:NAC524288 NJY458755:NJY524288 NTU458755:NTU524288 ODQ458755:ODQ524288 ONM458755:ONM524288 OXI458755:OXI524288 PHE458755:PHE524288 PRA458755:PRA524288 QAW458755:QAW524288 QKS458755:QKS524288 QUO458755:QUO524288 REK458755:REK524288 ROG458755:ROG524288 RYC458755:RYC524288 SHY458755:SHY524288 SRU458755:SRU524288 TBQ458755:TBQ524288 TLM458755:TLM524288 TVI458755:TVI524288 UFE458755:UFE524288 UPA458755:UPA524288 UYW458755:UYW524288 VIS458755:VIS524288 VSO458755:VSO524288 WCK458755:WCK524288 WMG458755:WMG524288 WWC458755:WWC524288 U524291:U589824 JQ524291:JQ589824 TM524291:TM589824 ADI524291:ADI589824 ANE524291:ANE589824 AXA524291:AXA589824 BGW524291:BGW589824 BQS524291:BQS589824 CAO524291:CAO589824 CKK524291:CKK589824 CUG524291:CUG589824 DEC524291:DEC589824 DNY524291:DNY589824 DXU524291:DXU589824 EHQ524291:EHQ589824 ERM524291:ERM589824 FBI524291:FBI589824 FLE524291:FLE589824 FVA524291:FVA589824 GEW524291:GEW589824 GOS524291:GOS589824 GYO524291:GYO589824 HIK524291:HIK589824 HSG524291:HSG589824 ICC524291:ICC589824 ILY524291:ILY589824 IVU524291:IVU589824 JFQ524291:JFQ589824 JPM524291:JPM589824 JZI524291:JZI589824 KJE524291:KJE589824 KTA524291:KTA589824 LCW524291:LCW589824 LMS524291:LMS589824 LWO524291:LWO589824 MGK524291:MGK589824 MQG524291:MQG589824 NAC524291:NAC589824 NJY524291:NJY589824 NTU524291:NTU589824 ODQ524291:ODQ589824 ONM524291:ONM589824 OXI524291:OXI589824 PHE524291:PHE589824 PRA524291:PRA589824 QAW524291:QAW589824 QKS524291:QKS589824 QUO524291:QUO589824 REK524291:REK589824 ROG524291:ROG589824 RYC524291:RYC589824 SHY524291:SHY589824 SRU524291:SRU589824 TBQ524291:TBQ589824 TLM524291:TLM589824 TVI524291:TVI589824 UFE524291:UFE589824 UPA524291:UPA589824 UYW524291:UYW589824 VIS524291:VIS589824 VSO524291:VSO589824 WCK524291:WCK589824 WMG524291:WMG589824 WWC524291:WWC589824 U589827:U655360 JQ589827:JQ655360 TM589827:TM655360 ADI589827:ADI655360 ANE589827:ANE655360 AXA589827:AXA655360 BGW589827:BGW655360 BQS589827:BQS655360 CAO589827:CAO655360 CKK589827:CKK655360 CUG589827:CUG655360 DEC589827:DEC655360 DNY589827:DNY655360 DXU589827:DXU655360 EHQ589827:EHQ655360 ERM589827:ERM655360 FBI589827:FBI655360 FLE589827:FLE655360 FVA589827:FVA655360 GEW589827:GEW655360 GOS589827:GOS655360 GYO589827:GYO655360 HIK589827:HIK655360 HSG589827:HSG655360 ICC589827:ICC655360 ILY589827:ILY655360 IVU589827:IVU655360 JFQ589827:JFQ655360 JPM589827:JPM655360 JZI589827:JZI655360 KJE589827:KJE655360 KTA589827:KTA655360 LCW589827:LCW655360 LMS589827:LMS655360 LWO589827:LWO655360 MGK589827:MGK655360 MQG589827:MQG655360 NAC589827:NAC655360 NJY589827:NJY655360 NTU589827:NTU655360 ODQ589827:ODQ655360 ONM589827:ONM655360 OXI589827:OXI655360 PHE589827:PHE655360 PRA589827:PRA655360 QAW589827:QAW655360 QKS589827:QKS655360 QUO589827:QUO655360 REK589827:REK655360 ROG589827:ROG655360 RYC589827:RYC655360 SHY589827:SHY655360 SRU589827:SRU655360 TBQ589827:TBQ655360 TLM589827:TLM655360 TVI589827:TVI655360 UFE589827:UFE655360 UPA589827:UPA655360 UYW589827:UYW655360 VIS589827:VIS655360 VSO589827:VSO655360 WCK589827:WCK655360 WMG589827:WMG655360 WWC589827:WWC655360 U655363:U720896 JQ655363:JQ720896 TM655363:TM720896 ADI655363:ADI720896 ANE655363:ANE720896 AXA655363:AXA720896 BGW655363:BGW720896 BQS655363:BQS720896 CAO655363:CAO720896 CKK655363:CKK720896 CUG655363:CUG720896 DEC655363:DEC720896 DNY655363:DNY720896 DXU655363:DXU720896 EHQ655363:EHQ720896 ERM655363:ERM720896 FBI655363:FBI720896 FLE655363:FLE720896 FVA655363:FVA720896 GEW655363:GEW720896 GOS655363:GOS720896 GYO655363:GYO720896 HIK655363:HIK720896 HSG655363:HSG720896 ICC655363:ICC720896 ILY655363:ILY720896 IVU655363:IVU720896 JFQ655363:JFQ720896 JPM655363:JPM720896 JZI655363:JZI720896 KJE655363:KJE720896 KTA655363:KTA720896 LCW655363:LCW720896 LMS655363:LMS720896 LWO655363:LWO720896 MGK655363:MGK720896 MQG655363:MQG720896 NAC655363:NAC720896 NJY655363:NJY720896 NTU655363:NTU720896 ODQ655363:ODQ720896 ONM655363:ONM720896 OXI655363:OXI720896 PHE655363:PHE720896 PRA655363:PRA720896 QAW655363:QAW720896 QKS655363:QKS720896 QUO655363:QUO720896 REK655363:REK720896 ROG655363:ROG720896 RYC655363:RYC720896 SHY655363:SHY720896 SRU655363:SRU720896 TBQ655363:TBQ720896 TLM655363:TLM720896 TVI655363:TVI720896 UFE655363:UFE720896 UPA655363:UPA720896 UYW655363:UYW720896 VIS655363:VIS720896 VSO655363:VSO720896 WCK655363:WCK720896 WMG655363:WMG720896 WWC655363:WWC720896 U720899:U786432 JQ720899:JQ786432 TM720899:TM786432 ADI720899:ADI786432 ANE720899:ANE786432 AXA720899:AXA786432 BGW720899:BGW786432 BQS720899:BQS786432 CAO720899:CAO786432 CKK720899:CKK786432 CUG720899:CUG786432 DEC720899:DEC786432 DNY720899:DNY786432 DXU720899:DXU786432 EHQ720899:EHQ786432 ERM720899:ERM786432 FBI720899:FBI786432 FLE720899:FLE786432 FVA720899:FVA786432 GEW720899:GEW786432 GOS720899:GOS786432 GYO720899:GYO786432 HIK720899:HIK786432 HSG720899:HSG786432 ICC720899:ICC786432 ILY720899:ILY786432 IVU720899:IVU786432 JFQ720899:JFQ786432 JPM720899:JPM786432 JZI720899:JZI786432 KJE720899:KJE786432 KTA720899:KTA786432 LCW720899:LCW786432 LMS720899:LMS786432 LWO720899:LWO786432 MGK720899:MGK786432 MQG720899:MQG786432 NAC720899:NAC786432 NJY720899:NJY786432 NTU720899:NTU786432 ODQ720899:ODQ786432 ONM720899:ONM786432 OXI720899:OXI786432 PHE720899:PHE786432 PRA720899:PRA786432 QAW720899:QAW786432 QKS720899:QKS786432 QUO720899:QUO786432 REK720899:REK786432 ROG720899:ROG786432 RYC720899:RYC786432 SHY720899:SHY786432 SRU720899:SRU786432 TBQ720899:TBQ786432 TLM720899:TLM786432 TVI720899:TVI786432 UFE720899:UFE786432 UPA720899:UPA786432 UYW720899:UYW786432 VIS720899:VIS786432 VSO720899:VSO786432 WCK720899:WCK786432 WMG720899:WMG786432 WWC720899:WWC786432 U786435:U851968 JQ786435:JQ851968 TM786435:TM851968 ADI786435:ADI851968 ANE786435:ANE851968 AXA786435:AXA851968 BGW786435:BGW851968 BQS786435:BQS851968 CAO786435:CAO851968 CKK786435:CKK851968 CUG786435:CUG851968 DEC786435:DEC851968 DNY786435:DNY851968 DXU786435:DXU851968 EHQ786435:EHQ851968 ERM786435:ERM851968 FBI786435:FBI851968 FLE786435:FLE851968 FVA786435:FVA851968 GEW786435:GEW851968 GOS786435:GOS851968 GYO786435:GYO851968 HIK786435:HIK851968 HSG786435:HSG851968 ICC786435:ICC851968 ILY786435:ILY851968 IVU786435:IVU851968 JFQ786435:JFQ851968 JPM786435:JPM851968 JZI786435:JZI851968 KJE786435:KJE851968 KTA786435:KTA851968 LCW786435:LCW851968 LMS786435:LMS851968 LWO786435:LWO851968 MGK786435:MGK851968 MQG786435:MQG851968 NAC786435:NAC851968 NJY786435:NJY851968 NTU786435:NTU851968 ODQ786435:ODQ851968 ONM786435:ONM851968 OXI786435:OXI851968 PHE786435:PHE851968 PRA786435:PRA851968 QAW786435:QAW851968 QKS786435:QKS851968 QUO786435:QUO851968 REK786435:REK851968 ROG786435:ROG851968 RYC786435:RYC851968 SHY786435:SHY851968 SRU786435:SRU851968 TBQ786435:TBQ851968 TLM786435:TLM851968 TVI786435:TVI851968 UFE786435:UFE851968 UPA786435:UPA851968 UYW786435:UYW851968 VIS786435:VIS851968 VSO786435:VSO851968 WCK786435:WCK851968 WMG786435:WMG851968 WWC786435:WWC851968 U851971:U917504 JQ851971:JQ917504 TM851971:TM917504 ADI851971:ADI917504 ANE851971:ANE917504 AXA851971:AXA917504 BGW851971:BGW917504 BQS851971:BQS917504 CAO851971:CAO917504 CKK851971:CKK917504 CUG851971:CUG917504 DEC851971:DEC917504 DNY851971:DNY917504 DXU851971:DXU917504 EHQ851971:EHQ917504 ERM851971:ERM917504 FBI851971:FBI917504 FLE851971:FLE917504 FVA851971:FVA917504 GEW851971:GEW917504 GOS851971:GOS917504 GYO851971:GYO917504 HIK851971:HIK917504 HSG851971:HSG917504 ICC851971:ICC917504 ILY851971:ILY917504 IVU851971:IVU917504 JFQ851971:JFQ917504 JPM851971:JPM917504 JZI851971:JZI917504 KJE851971:KJE917504 KTA851971:KTA917504 LCW851971:LCW917504 LMS851971:LMS917504 LWO851971:LWO917504 MGK851971:MGK917504 MQG851971:MQG917504 NAC851971:NAC917504 NJY851971:NJY917504 NTU851971:NTU917504 ODQ851971:ODQ917504 ONM851971:ONM917504 OXI851971:OXI917504 PHE851971:PHE917504 PRA851971:PRA917504 QAW851971:QAW917504 QKS851971:QKS917504 QUO851971:QUO917504 REK851971:REK917504 ROG851971:ROG917504 RYC851971:RYC917504 SHY851971:SHY917504 SRU851971:SRU917504 TBQ851971:TBQ917504 TLM851971:TLM917504 TVI851971:TVI917504 UFE851971:UFE917504 UPA851971:UPA917504 UYW851971:UYW917504 VIS851971:VIS917504 VSO851971:VSO917504 WCK851971:WCK917504 WMG851971:WMG917504 WWC851971:WWC917504 U917507:U983040 JQ917507:JQ983040 TM917507:TM983040 ADI917507:ADI983040 ANE917507:ANE983040 AXA917507:AXA983040 BGW917507:BGW983040 BQS917507:BQS983040 CAO917507:CAO983040 CKK917507:CKK983040 CUG917507:CUG983040 DEC917507:DEC983040 DNY917507:DNY983040 DXU917507:DXU983040 EHQ917507:EHQ983040 ERM917507:ERM983040 FBI917507:FBI983040 FLE917507:FLE983040 FVA917507:FVA983040 GEW917507:GEW983040 GOS917507:GOS983040 GYO917507:GYO983040 HIK917507:HIK983040 HSG917507:HSG983040 ICC917507:ICC983040 ILY917507:ILY983040 IVU917507:IVU983040 JFQ917507:JFQ983040 JPM917507:JPM983040 JZI917507:JZI983040 KJE917507:KJE983040 KTA917507:KTA983040 LCW917507:LCW983040 LMS917507:LMS983040 LWO917507:LWO983040 MGK917507:MGK983040 MQG917507:MQG983040 NAC917507:NAC983040 NJY917507:NJY983040 NTU917507:NTU983040 ODQ917507:ODQ983040 ONM917507:ONM983040 OXI917507:OXI983040 PHE917507:PHE983040 PRA917507:PRA983040 QAW917507:QAW983040 QKS917507:QKS983040 QUO917507:QUO983040 REK917507:REK983040 ROG917507:ROG983040 RYC917507:RYC983040 SHY917507:SHY983040 SRU917507:SRU983040 TBQ917507:TBQ983040 TLM917507:TLM983040 TVI917507:TVI983040 UFE917507:UFE983040 UPA917507:UPA983040 UYW917507:UYW983040 VIS917507:VIS983040 VSO917507:VSO983040 WCK917507:WCK983040 WMG917507:WMG983040 WWC917507:WWC983040 U983043:U1048576 JQ983043:JQ1048576 TM983043:TM1048576 ADI983043:ADI1048576 ANE983043:ANE1048576 AXA983043:AXA1048576 BGW983043:BGW1048576 BQS983043:BQS1048576 CAO983043:CAO1048576 CKK983043:CKK1048576 CUG983043:CUG1048576 DEC983043:DEC1048576 DNY983043:DNY1048576 DXU983043:DXU1048576 EHQ983043:EHQ1048576 ERM983043:ERM1048576 FBI983043:FBI1048576 FLE983043:FLE1048576 FVA983043:FVA1048576 GEW983043:GEW1048576 GOS983043:GOS1048576 GYO983043:GYO1048576 HIK983043:HIK1048576 HSG983043:HSG1048576 ICC983043:ICC1048576 ILY983043:ILY1048576 IVU983043:IVU1048576 JFQ983043:JFQ1048576 JPM983043:JPM1048576 JZI983043:JZI1048576 KJE983043:KJE1048576 KTA983043:KTA1048576 LCW983043:LCW1048576 LMS983043:LMS1048576 LWO983043:LWO1048576 MGK983043:MGK1048576 MQG983043:MQG1048576 NAC983043:NAC1048576 NJY983043:NJY1048576 NTU983043:NTU1048576 ODQ983043:ODQ1048576 ONM983043:ONM1048576 OXI983043:OXI1048576 PHE983043:PHE1048576 PRA983043:PRA1048576 QAW983043:QAW1048576 QKS983043:QKS1048576 QUO983043:QUO1048576 REK983043:REK1048576 ROG983043:ROG1048576 RYC983043:RYC1048576 SHY983043:SHY1048576 SRU983043:SRU1048576 TBQ983043:TBQ1048576 TLM983043:TLM1048576 TVI983043:TVI1048576 UFE983043:UFE1048576 UPA983043:UPA1048576 UYW983043:UYW1048576 VIS983043:VIS1048576 VSO983043:VSO1048576 WCK983043:WCK1048576 WMG983043:WMG1048576 WWC983043:WWC1048576 S3:S65536 JO3:JO65536 TK3:TK65536 ADG3:ADG65536 ANC3:ANC65536 AWY3:AWY65536 BGU3:BGU65536 BQQ3:BQQ65536 CAM3:CAM65536 CKI3:CKI65536 CUE3:CUE65536 DEA3:DEA65536 DNW3:DNW65536 DXS3:DXS65536 EHO3:EHO65536 ERK3:ERK65536 FBG3:FBG65536 FLC3:FLC65536 FUY3:FUY65536 GEU3:GEU65536 GOQ3:GOQ65536 GYM3:GYM65536 HII3:HII65536 HSE3:HSE65536 ICA3:ICA65536 ILW3:ILW65536 IVS3:IVS65536 JFO3:JFO65536 JPK3:JPK65536 JZG3:JZG65536 KJC3:KJC65536 KSY3:KSY65536 LCU3:LCU65536 LMQ3:LMQ65536 LWM3:LWM65536 MGI3:MGI65536 MQE3:MQE65536 NAA3:NAA65536 NJW3:NJW65536 NTS3:NTS65536 ODO3:ODO65536 ONK3:ONK65536 OXG3:OXG65536 PHC3:PHC65536 PQY3:PQY65536 QAU3:QAU65536 QKQ3:QKQ65536 QUM3:QUM65536 REI3:REI65536 ROE3:ROE65536 RYA3:RYA65536 SHW3:SHW65536 SRS3:SRS65536 TBO3:TBO65536 TLK3:TLK65536 TVG3:TVG65536 UFC3:UFC65536 UOY3:UOY65536 UYU3:UYU65536 VIQ3:VIQ65536 VSM3:VSM65536 WCI3:WCI65536 WME3:WME65536 WWA3:WWA65536 S65539:S131072 JO65539:JO131072 TK65539:TK131072 ADG65539:ADG131072 ANC65539:ANC131072 AWY65539:AWY131072 BGU65539:BGU131072 BQQ65539:BQQ131072 CAM65539:CAM131072 CKI65539:CKI131072 CUE65539:CUE131072 DEA65539:DEA131072 DNW65539:DNW131072 DXS65539:DXS131072 EHO65539:EHO131072 ERK65539:ERK131072 FBG65539:FBG131072 FLC65539:FLC131072 FUY65539:FUY131072 GEU65539:GEU131072 GOQ65539:GOQ131072 GYM65539:GYM131072 HII65539:HII131072 HSE65539:HSE131072 ICA65539:ICA131072 ILW65539:ILW131072 IVS65539:IVS131072 JFO65539:JFO131072 JPK65539:JPK131072 JZG65539:JZG131072 KJC65539:KJC131072 KSY65539:KSY131072 LCU65539:LCU131072 LMQ65539:LMQ131072 LWM65539:LWM131072 MGI65539:MGI131072 MQE65539:MQE131072 NAA65539:NAA131072 NJW65539:NJW131072 NTS65539:NTS131072 ODO65539:ODO131072 ONK65539:ONK131072 OXG65539:OXG131072 PHC65539:PHC131072 PQY65539:PQY131072 QAU65539:QAU131072 QKQ65539:QKQ131072 QUM65539:QUM131072 REI65539:REI131072 ROE65539:ROE131072 RYA65539:RYA131072 SHW65539:SHW131072 SRS65539:SRS131072 TBO65539:TBO131072 TLK65539:TLK131072 TVG65539:TVG131072 UFC65539:UFC131072 UOY65539:UOY131072 UYU65539:UYU131072 VIQ65539:VIQ131072 VSM65539:VSM131072 WCI65539:WCI131072 WME65539:WME131072 WWA65539:WWA131072 S131075:S196608 JO131075:JO196608 TK131075:TK196608 ADG131075:ADG196608 ANC131075:ANC196608 AWY131075:AWY196608 BGU131075:BGU196608 BQQ131075:BQQ196608 CAM131075:CAM196608 CKI131075:CKI196608 CUE131075:CUE196608 DEA131075:DEA196608 DNW131075:DNW196608 DXS131075:DXS196608 EHO131075:EHO196608 ERK131075:ERK196608 FBG131075:FBG196608 FLC131075:FLC196608 FUY131075:FUY196608 GEU131075:GEU196608 GOQ131075:GOQ196608 GYM131075:GYM196608 HII131075:HII196608 HSE131075:HSE196608 ICA131075:ICA196608 ILW131075:ILW196608 IVS131075:IVS196608 JFO131075:JFO196608 JPK131075:JPK196608 JZG131075:JZG196608 KJC131075:KJC196608 KSY131075:KSY196608 LCU131075:LCU196608 LMQ131075:LMQ196608 LWM131075:LWM196608 MGI131075:MGI196608 MQE131075:MQE196608 NAA131075:NAA196608 NJW131075:NJW196608 NTS131075:NTS196608 ODO131075:ODO196608 ONK131075:ONK196608 OXG131075:OXG196608 PHC131075:PHC196608 PQY131075:PQY196608 QAU131075:QAU196608 QKQ131075:QKQ196608 QUM131075:QUM196608 REI131075:REI196608 ROE131075:ROE196608 RYA131075:RYA196608 SHW131075:SHW196608 SRS131075:SRS196608 TBO131075:TBO196608 TLK131075:TLK196608 TVG131075:TVG196608 UFC131075:UFC196608 UOY131075:UOY196608 UYU131075:UYU196608 VIQ131075:VIQ196608 VSM131075:VSM196608 WCI131075:WCI196608 WME131075:WME196608 WWA131075:WWA196608 S196611:S262144 JO196611:JO262144 TK196611:TK262144 ADG196611:ADG262144 ANC196611:ANC262144 AWY196611:AWY262144 BGU196611:BGU262144 BQQ196611:BQQ262144 CAM196611:CAM262144 CKI196611:CKI262144 CUE196611:CUE262144 DEA196611:DEA262144 DNW196611:DNW262144 DXS196611:DXS262144 EHO196611:EHO262144 ERK196611:ERK262144 FBG196611:FBG262144 FLC196611:FLC262144 FUY196611:FUY262144 GEU196611:GEU262144 GOQ196611:GOQ262144 GYM196611:GYM262144 HII196611:HII262144 HSE196611:HSE262144 ICA196611:ICA262144 ILW196611:ILW262144 IVS196611:IVS262144 JFO196611:JFO262144 JPK196611:JPK262144 JZG196611:JZG262144 KJC196611:KJC262144 KSY196611:KSY262144 LCU196611:LCU262144 LMQ196611:LMQ262144 LWM196611:LWM262144 MGI196611:MGI262144 MQE196611:MQE262144 NAA196611:NAA262144 NJW196611:NJW262144 NTS196611:NTS262144 ODO196611:ODO262144 ONK196611:ONK262144 OXG196611:OXG262144 PHC196611:PHC262144 PQY196611:PQY262144 QAU196611:QAU262144 QKQ196611:QKQ262144 QUM196611:QUM262144 REI196611:REI262144 ROE196611:ROE262144 RYA196611:RYA262144 SHW196611:SHW262144 SRS196611:SRS262144 TBO196611:TBO262144 TLK196611:TLK262144 TVG196611:TVG262144 UFC196611:UFC262144 UOY196611:UOY262144 UYU196611:UYU262144 VIQ196611:VIQ262144 VSM196611:VSM262144 WCI196611:WCI262144 WME196611:WME262144 WWA196611:WWA262144 S262147:S327680 JO262147:JO327680 TK262147:TK327680 ADG262147:ADG327680 ANC262147:ANC327680 AWY262147:AWY327680 BGU262147:BGU327680 BQQ262147:BQQ327680 CAM262147:CAM327680 CKI262147:CKI327680 CUE262147:CUE327680 DEA262147:DEA327680 DNW262147:DNW327680 DXS262147:DXS327680 EHO262147:EHO327680 ERK262147:ERK327680 FBG262147:FBG327680 FLC262147:FLC327680 FUY262147:FUY327680 GEU262147:GEU327680 GOQ262147:GOQ327680 GYM262147:GYM327680 HII262147:HII327680 HSE262147:HSE327680 ICA262147:ICA327680 ILW262147:ILW327680 IVS262147:IVS327680 JFO262147:JFO327680 JPK262147:JPK327680 JZG262147:JZG327680 KJC262147:KJC327680 KSY262147:KSY327680 LCU262147:LCU327680 LMQ262147:LMQ327680 LWM262147:LWM327680 MGI262147:MGI327680 MQE262147:MQE327680 NAA262147:NAA327680 NJW262147:NJW327680 NTS262147:NTS327680 ODO262147:ODO327680 ONK262147:ONK327680 OXG262147:OXG327680 PHC262147:PHC327680 PQY262147:PQY327680 QAU262147:QAU327680 QKQ262147:QKQ327680 QUM262147:QUM327680 REI262147:REI327680 ROE262147:ROE327680 RYA262147:RYA327680 SHW262147:SHW327680 SRS262147:SRS327680 TBO262147:TBO327680 TLK262147:TLK327680 TVG262147:TVG327680 UFC262147:UFC327680 UOY262147:UOY327680 UYU262147:UYU327680 VIQ262147:VIQ327680 VSM262147:VSM327680 WCI262147:WCI327680 WME262147:WME327680 WWA262147:WWA327680 S327683:S393216 JO327683:JO393216 TK327683:TK393216 ADG327683:ADG393216 ANC327683:ANC393216 AWY327683:AWY393216 BGU327683:BGU393216 BQQ327683:BQQ393216 CAM327683:CAM393216 CKI327683:CKI393216 CUE327683:CUE393216 DEA327683:DEA393216 DNW327683:DNW393216 DXS327683:DXS393216 EHO327683:EHO393216 ERK327683:ERK393216 FBG327683:FBG393216 FLC327683:FLC393216 FUY327683:FUY393216 GEU327683:GEU393216 GOQ327683:GOQ393216 GYM327683:GYM393216 HII327683:HII393216 HSE327683:HSE393216 ICA327683:ICA393216 ILW327683:ILW393216 IVS327683:IVS393216 JFO327683:JFO393216 JPK327683:JPK393216 JZG327683:JZG393216 KJC327683:KJC393216 KSY327683:KSY393216 LCU327683:LCU393216 LMQ327683:LMQ393216 LWM327683:LWM393216 MGI327683:MGI393216 MQE327683:MQE393216 NAA327683:NAA393216 NJW327683:NJW393216 NTS327683:NTS393216 ODO327683:ODO393216 ONK327683:ONK393216 OXG327683:OXG393216 PHC327683:PHC393216 PQY327683:PQY393216 QAU327683:QAU393216 QKQ327683:QKQ393216 QUM327683:QUM393216 REI327683:REI393216 ROE327683:ROE393216 RYA327683:RYA393216 SHW327683:SHW393216 SRS327683:SRS393216 TBO327683:TBO393216 TLK327683:TLK393216 TVG327683:TVG393216 UFC327683:UFC393216 UOY327683:UOY393216 UYU327683:UYU393216 VIQ327683:VIQ393216 VSM327683:VSM393216 WCI327683:WCI393216 WME327683:WME393216 WWA327683:WWA393216 S393219:S458752 JO393219:JO458752 TK393219:TK458752 ADG393219:ADG458752 ANC393219:ANC458752 AWY393219:AWY458752 BGU393219:BGU458752 BQQ393219:BQQ458752 CAM393219:CAM458752 CKI393219:CKI458752 CUE393219:CUE458752 DEA393219:DEA458752 DNW393219:DNW458752 DXS393219:DXS458752 EHO393219:EHO458752 ERK393219:ERK458752 FBG393219:FBG458752 FLC393219:FLC458752 FUY393219:FUY458752 GEU393219:GEU458752 GOQ393219:GOQ458752 GYM393219:GYM458752 HII393219:HII458752 HSE393219:HSE458752 ICA393219:ICA458752 ILW393219:ILW458752 IVS393219:IVS458752 JFO393219:JFO458752 JPK393219:JPK458752 JZG393219:JZG458752 KJC393219:KJC458752 KSY393219:KSY458752 LCU393219:LCU458752 LMQ393219:LMQ458752 LWM393219:LWM458752 MGI393219:MGI458752 MQE393219:MQE458752 NAA393219:NAA458752 NJW393219:NJW458752 NTS393219:NTS458752 ODO393219:ODO458752 ONK393219:ONK458752 OXG393219:OXG458752 PHC393219:PHC458752 PQY393219:PQY458752 QAU393219:QAU458752 QKQ393219:QKQ458752 QUM393219:QUM458752 REI393219:REI458752 ROE393219:ROE458752 RYA393219:RYA458752 SHW393219:SHW458752 SRS393219:SRS458752 TBO393219:TBO458752 TLK393219:TLK458752 TVG393219:TVG458752 UFC393219:UFC458752 UOY393219:UOY458752 UYU393219:UYU458752 VIQ393219:VIQ458752 VSM393219:VSM458752 WCI393219:WCI458752 WME393219:WME458752 WWA393219:WWA458752 S458755:S524288 JO458755:JO524288 TK458755:TK524288 ADG458755:ADG524288 ANC458755:ANC524288 AWY458755:AWY524288 BGU458755:BGU524288 BQQ458755:BQQ524288 CAM458755:CAM524288 CKI458755:CKI524288 CUE458755:CUE524288 DEA458755:DEA524288 DNW458755:DNW524288 DXS458755:DXS524288 EHO458755:EHO524288 ERK458755:ERK524288 FBG458755:FBG524288 FLC458755:FLC524288 FUY458755:FUY524288 GEU458755:GEU524288 GOQ458755:GOQ524288 GYM458755:GYM524288 HII458755:HII524288 HSE458755:HSE524288 ICA458755:ICA524288 ILW458755:ILW524288 IVS458755:IVS524288 JFO458755:JFO524288 JPK458755:JPK524288 JZG458755:JZG524288 KJC458755:KJC524288 KSY458755:KSY524288 LCU458755:LCU524288 LMQ458755:LMQ524288 LWM458755:LWM524288 MGI458755:MGI524288 MQE458755:MQE524288 NAA458755:NAA524288 NJW458755:NJW524288 NTS458755:NTS524288 ODO458755:ODO524288 ONK458755:ONK524288 OXG458755:OXG524288 PHC458755:PHC524288 PQY458755:PQY524288 QAU458755:QAU524288 QKQ458755:QKQ524288 QUM458755:QUM524288 REI458755:REI524288 ROE458755:ROE524288 RYA458755:RYA524288 SHW458755:SHW524288 SRS458755:SRS524288 TBO458755:TBO524288 TLK458755:TLK524288 TVG458755:TVG524288 UFC458755:UFC524288 UOY458755:UOY524288 UYU458755:UYU524288 VIQ458755:VIQ524288 VSM458755:VSM524288 WCI458755:WCI524288 WME458755:WME524288 WWA458755:WWA524288 S524291:S589824 JO524291:JO589824 TK524291:TK589824 ADG524291:ADG589824 ANC524291:ANC589824 AWY524291:AWY589824 BGU524291:BGU589824 BQQ524291:BQQ589824 CAM524291:CAM589824 CKI524291:CKI589824 CUE524291:CUE589824 DEA524291:DEA589824 DNW524291:DNW589824 DXS524291:DXS589824 EHO524291:EHO589824 ERK524291:ERK589824 FBG524291:FBG589824 FLC524291:FLC589824 FUY524291:FUY589824 GEU524291:GEU589824 GOQ524291:GOQ589824 GYM524291:GYM589824 HII524291:HII589824 HSE524291:HSE589824 ICA524291:ICA589824 ILW524291:ILW589824 IVS524291:IVS589824 JFO524291:JFO589824 JPK524291:JPK589824 JZG524291:JZG589824 KJC524291:KJC589824 KSY524291:KSY589824 LCU524291:LCU589824 LMQ524291:LMQ589824 LWM524291:LWM589824 MGI524291:MGI589824 MQE524291:MQE589824 NAA524291:NAA589824 NJW524291:NJW589824 NTS524291:NTS589824 ODO524291:ODO589824 ONK524291:ONK589824 OXG524291:OXG589824 PHC524291:PHC589824 PQY524291:PQY589824 QAU524291:QAU589824 QKQ524291:QKQ589824 QUM524291:QUM589824 REI524291:REI589824 ROE524291:ROE589824 RYA524291:RYA589824 SHW524291:SHW589824 SRS524291:SRS589824 TBO524291:TBO589824 TLK524291:TLK589824 TVG524291:TVG589824 UFC524291:UFC589824 UOY524291:UOY589824 UYU524291:UYU589824 VIQ524291:VIQ589824 VSM524291:VSM589824 WCI524291:WCI589824 WME524291:WME589824 WWA524291:WWA589824 S589827:S655360 JO589827:JO655360 TK589827:TK655360 ADG589827:ADG655360 ANC589827:ANC655360 AWY589827:AWY655360 BGU589827:BGU655360 BQQ589827:BQQ655360 CAM589827:CAM655360 CKI589827:CKI655360 CUE589827:CUE655360 DEA589827:DEA655360 DNW589827:DNW655360 DXS589827:DXS655360 EHO589827:EHO655360 ERK589827:ERK655360 FBG589827:FBG655360 FLC589827:FLC655360 FUY589827:FUY655360 GEU589827:GEU655360 GOQ589827:GOQ655360 GYM589827:GYM655360 HII589827:HII655360 HSE589827:HSE655360 ICA589827:ICA655360 ILW589827:ILW655360 IVS589827:IVS655360 JFO589827:JFO655360 JPK589827:JPK655360 JZG589827:JZG655360 KJC589827:KJC655360 KSY589827:KSY655360 LCU589827:LCU655360 LMQ589827:LMQ655360 LWM589827:LWM655360 MGI589827:MGI655360 MQE589827:MQE655360 NAA589827:NAA655360 NJW589827:NJW655360 NTS589827:NTS655360 ODO589827:ODO655360 ONK589827:ONK655360 OXG589827:OXG655360 PHC589827:PHC655360 PQY589827:PQY655360 QAU589827:QAU655360 QKQ589827:QKQ655360 QUM589827:QUM655360 REI589827:REI655360 ROE589827:ROE655360 RYA589827:RYA655360 SHW589827:SHW655360 SRS589827:SRS655360 TBO589827:TBO655360 TLK589827:TLK655360 TVG589827:TVG655360 UFC589827:UFC655360 UOY589827:UOY655360 UYU589827:UYU655360 VIQ589827:VIQ655360 VSM589827:VSM655360 WCI589827:WCI655360 WME589827:WME655360 WWA589827:WWA655360 S655363:S720896 JO655363:JO720896 TK655363:TK720896 ADG655363:ADG720896 ANC655363:ANC720896 AWY655363:AWY720896 BGU655363:BGU720896 BQQ655363:BQQ720896 CAM655363:CAM720896 CKI655363:CKI720896 CUE655363:CUE720896 DEA655363:DEA720896 DNW655363:DNW720896 DXS655363:DXS720896 EHO655363:EHO720896 ERK655363:ERK720896 FBG655363:FBG720896 FLC655363:FLC720896 FUY655363:FUY720896 GEU655363:GEU720896 GOQ655363:GOQ720896 GYM655363:GYM720896 HII655363:HII720896 HSE655363:HSE720896 ICA655363:ICA720896 ILW655363:ILW720896 IVS655363:IVS720896 JFO655363:JFO720896 JPK655363:JPK720896 JZG655363:JZG720896 KJC655363:KJC720896 KSY655363:KSY720896 LCU655363:LCU720896 LMQ655363:LMQ720896 LWM655363:LWM720896 MGI655363:MGI720896 MQE655363:MQE720896 NAA655363:NAA720896 NJW655363:NJW720896 NTS655363:NTS720896 ODO655363:ODO720896 ONK655363:ONK720896 OXG655363:OXG720896 PHC655363:PHC720896 PQY655363:PQY720896 QAU655363:QAU720896 QKQ655363:QKQ720896 QUM655363:QUM720896 REI655363:REI720896 ROE655363:ROE720896 RYA655363:RYA720896 SHW655363:SHW720896 SRS655363:SRS720896 TBO655363:TBO720896 TLK655363:TLK720896 TVG655363:TVG720896 UFC655363:UFC720896 UOY655363:UOY720896 UYU655363:UYU720896 VIQ655363:VIQ720896 VSM655363:VSM720896 WCI655363:WCI720896 WME655363:WME720896 WWA655363:WWA720896 S720899:S786432 JO720899:JO786432 TK720899:TK786432 ADG720899:ADG786432 ANC720899:ANC786432 AWY720899:AWY786432 BGU720899:BGU786432 BQQ720899:BQQ786432 CAM720899:CAM786432 CKI720899:CKI786432 CUE720899:CUE786432 DEA720899:DEA786432 DNW720899:DNW786432 DXS720899:DXS786432 EHO720899:EHO786432 ERK720899:ERK786432 FBG720899:FBG786432 FLC720899:FLC786432 FUY720899:FUY786432 GEU720899:GEU786432 GOQ720899:GOQ786432 GYM720899:GYM786432 HII720899:HII786432 HSE720899:HSE786432 ICA720899:ICA786432 ILW720899:ILW786432 IVS720899:IVS786432 JFO720899:JFO786432 JPK720899:JPK786432 JZG720899:JZG786432 KJC720899:KJC786432 KSY720899:KSY786432 LCU720899:LCU786432 LMQ720899:LMQ786432 LWM720899:LWM786432 MGI720899:MGI786432 MQE720899:MQE786432 NAA720899:NAA786432 NJW720899:NJW786432 NTS720899:NTS786432 ODO720899:ODO786432 ONK720899:ONK786432 OXG720899:OXG786432 PHC720899:PHC786432 PQY720899:PQY786432 QAU720899:QAU786432 QKQ720899:QKQ786432 QUM720899:QUM786432 REI720899:REI786432 ROE720899:ROE786432 RYA720899:RYA786432 SHW720899:SHW786432 SRS720899:SRS786432 TBO720899:TBO786432 TLK720899:TLK786432 TVG720899:TVG786432 UFC720899:UFC786432 UOY720899:UOY786432 UYU720899:UYU786432 VIQ720899:VIQ786432 VSM720899:VSM786432 WCI720899:WCI786432 WME720899:WME786432 WWA720899:WWA786432 S786435:S851968 JO786435:JO851968 TK786435:TK851968 ADG786435:ADG851968 ANC786435:ANC851968 AWY786435:AWY851968 BGU786435:BGU851968 BQQ786435:BQQ851968 CAM786435:CAM851968 CKI786435:CKI851968 CUE786435:CUE851968 DEA786435:DEA851968 DNW786435:DNW851968 DXS786435:DXS851968 EHO786435:EHO851968 ERK786435:ERK851968 FBG786435:FBG851968 FLC786435:FLC851968 FUY786435:FUY851968 GEU786435:GEU851968 GOQ786435:GOQ851968 GYM786435:GYM851968 HII786435:HII851968 HSE786435:HSE851968 ICA786435:ICA851968 ILW786435:ILW851968 IVS786435:IVS851968 JFO786435:JFO851968 JPK786435:JPK851968 JZG786435:JZG851968 KJC786435:KJC851968 KSY786435:KSY851968 LCU786435:LCU851968 LMQ786435:LMQ851968 LWM786435:LWM851968 MGI786435:MGI851968 MQE786435:MQE851968 NAA786435:NAA851968 NJW786435:NJW851968 NTS786435:NTS851968 ODO786435:ODO851968 ONK786435:ONK851968 OXG786435:OXG851968 PHC786435:PHC851968 PQY786435:PQY851968 QAU786435:QAU851968 QKQ786435:QKQ851968 QUM786435:QUM851968 REI786435:REI851968 ROE786435:ROE851968 RYA786435:RYA851968 SHW786435:SHW851968 SRS786435:SRS851968 TBO786435:TBO851968 TLK786435:TLK851968 TVG786435:TVG851968 UFC786435:UFC851968 UOY786435:UOY851968 UYU786435:UYU851968 VIQ786435:VIQ851968 VSM786435:VSM851968 WCI786435:WCI851968 WME786435:WME851968 WWA786435:WWA851968 S851971:S917504 JO851971:JO917504 TK851971:TK917504 ADG851971:ADG917504 ANC851971:ANC917504 AWY851971:AWY917504 BGU851971:BGU917504 BQQ851971:BQQ917504 CAM851971:CAM917504 CKI851971:CKI917504 CUE851971:CUE917504 DEA851971:DEA917504 DNW851971:DNW917504 DXS851971:DXS917504 EHO851971:EHO917504 ERK851971:ERK917504 FBG851971:FBG917504 FLC851971:FLC917504 FUY851971:FUY917504 GEU851971:GEU917504 GOQ851971:GOQ917504 GYM851971:GYM917504 HII851971:HII917504 HSE851971:HSE917504 ICA851971:ICA917504 ILW851971:ILW917504 IVS851971:IVS917504 JFO851971:JFO917504 JPK851971:JPK917504 JZG851971:JZG917504 KJC851971:KJC917504 KSY851971:KSY917504 LCU851971:LCU917504 LMQ851971:LMQ917504 LWM851971:LWM917504 MGI851971:MGI917504 MQE851971:MQE917504 NAA851971:NAA917504 NJW851971:NJW917504 NTS851971:NTS917504 ODO851971:ODO917504 ONK851971:ONK917504 OXG851971:OXG917504 PHC851971:PHC917504 PQY851971:PQY917504 QAU851971:QAU917504 QKQ851971:QKQ917504 QUM851971:QUM917504 REI851971:REI917504 ROE851971:ROE917504 RYA851971:RYA917504 SHW851971:SHW917504 SRS851971:SRS917504 TBO851971:TBO917504 TLK851971:TLK917504 TVG851971:TVG917504 UFC851971:UFC917504 UOY851971:UOY917504 UYU851971:UYU917504 VIQ851971:VIQ917504 VSM851971:VSM917504 WCI851971:WCI917504 WME851971:WME917504 WWA851971:WWA917504 S917507:S983040 JO917507:JO983040 TK917507:TK983040 ADG917507:ADG983040 ANC917507:ANC983040 AWY917507:AWY983040 BGU917507:BGU983040 BQQ917507:BQQ983040 CAM917507:CAM983040 CKI917507:CKI983040 CUE917507:CUE983040 DEA917507:DEA983040 DNW917507:DNW983040 DXS917507:DXS983040 EHO917507:EHO983040 ERK917507:ERK983040 FBG917507:FBG983040 FLC917507:FLC983040 FUY917507:FUY983040 GEU917507:GEU983040 GOQ917507:GOQ983040 GYM917507:GYM983040 HII917507:HII983040 HSE917507:HSE983040 ICA917507:ICA983040 ILW917507:ILW983040 IVS917507:IVS983040 JFO917507:JFO983040 JPK917507:JPK983040 JZG917507:JZG983040 KJC917507:KJC983040 KSY917507:KSY983040 LCU917507:LCU983040 LMQ917507:LMQ983040 LWM917507:LWM983040 MGI917507:MGI983040 MQE917507:MQE983040 NAA917507:NAA983040 NJW917507:NJW983040 NTS917507:NTS983040 ODO917507:ODO983040 ONK917507:ONK983040 OXG917507:OXG983040 PHC917507:PHC983040 PQY917507:PQY983040 QAU917507:QAU983040 QKQ917507:QKQ983040 QUM917507:QUM983040 REI917507:REI983040 ROE917507:ROE983040 RYA917507:RYA983040 SHW917507:SHW983040 SRS917507:SRS983040 TBO917507:TBO983040 TLK917507:TLK983040 TVG917507:TVG983040 UFC917507:UFC983040 UOY917507:UOY983040 UYU917507:UYU983040 VIQ917507:VIQ983040 VSM917507:VSM983040 WCI917507:WCI983040 WME917507:WME983040 WWA917507:WWA983040 S983043:S1048576 JO983043:JO1048576 TK983043:TK1048576 ADG983043:ADG1048576 ANC983043:ANC1048576 AWY983043:AWY1048576 BGU983043:BGU1048576 BQQ983043:BQQ1048576 CAM983043:CAM1048576 CKI983043:CKI1048576 CUE983043:CUE1048576 DEA983043:DEA1048576 DNW983043:DNW1048576 DXS983043:DXS1048576 EHO983043:EHO1048576 ERK983043:ERK1048576 FBG983043:FBG1048576 FLC983043:FLC1048576 FUY983043:FUY1048576 GEU983043:GEU1048576 GOQ983043:GOQ1048576 GYM983043:GYM1048576 HII983043:HII1048576 HSE983043:HSE1048576 ICA983043:ICA1048576 ILW983043:ILW1048576 IVS983043:IVS1048576 JFO983043:JFO1048576 JPK983043:JPK1048576 JZG983043:JZG1048576 KJC983043:KJC1048576 KSY983043:KSY1048576 LCU983043:LCU1048576 LMQ983043:LMQ1048576 LWM983043:LWM1048576 MGI983043:MGI1048576 MQE983043:MQE1048576 NAA983043:NAA1048576 NJW983043:NJW1048576 NTS983043:NTS1048576 ODO983043:ODO1048576 ONK983043:ONK1048576 OXG983043:OXG1048576 PHC983043:PHC1048576 PQY983043:PQY1048576 QAU983043:QAU1048576 QKQ983043:QKQ1048576 QUM983043:QUM1048576 REI983043:REI1048576 ROE983043:ROE1048576 RYA983043:RYA1048576 SHW983043:SHW1048576 SRS983043:SRS1048576 TBO983043:TBO1048576 TLK983043:TLK1048576 TVG983043:TVG1048576 UFC983043:UFC1048576 UOY983043:UOY1048576 UYU983043:UYU1048576 VIQ983043:VIQ1048576 VSM983043:VSM1048576 WCI983043:WCI1048576 WME983043:WME1048576 WWA983043:WWA1048576 N3:O65536 JJ3:JK65536 TF3:TG65536 ADB3:ADC65536 AMX3:AMY65536 AWT3:AWU65536 BGP3:BGQ65536 BQL3:BQM65536 CAH3:CAI65536 CKD3:CKE65536 CTZ3:CUA65536 DDV3:DDW65536 DNR3:DNS65536 DXN3:DXO65536 EHJ3:EHK65536 ERF3:ERG65536 FBB3:FBC65536 FKX3:FKY65536 FUT3:FUU65536 GEP3:GEQ65536 GOL3:GOM65536 GYH3:GYI65536 HID3:HIE65536 HRZ3:HSA65536 IBV3:IBW65536 ILR3:ILS65536 IVN3:IVO65536 JFJ3:JFK65536 JPF3:JPG65536 JZB3:JZC65536 KIX3:KIY65536 KST3:KSU65536 LCP3:LCQ65536 LML3:LMM65536 LWH3:LWI65536 MGD3:MGE65536 MPZ3:MQA65536 MZV3:MZW65536 NJR3:NJS65536 NTN3:NTO65536 ODJ3:ODK65536 ONF3:ONG65536 OXB3:OXC65536 PGX3:PGY65536 PQT3:PQU65536 QAP3:QAQ65536 QKL3:QKM65536 QUH3:QUI65536 RED3:REE65536 RNZ3:ROA65536 RXV3:RXW65536 SHR3:SHS65536 SRN3:SRO65536 TBJ3:TBK65536 TLF3:TLG65536 TVB3:TVC65536 UEX3:UEY65536 UOT3:UOU65536 UYP3:UYQ65536 VIL3:VIM65536 VSH3:VSI65536 WCD3:WCE65536 WLZ3:WMA65536 WVV3:WVW65536 N65539:O131072 JJ65539:JK131072 TF65539:TG131072 ADB65539:ADC131072 AMX65539:AMY131072 AWT65539:AWU131072 BGP65539:BGQ131072 BQL65539:BQM131072 CAH65539:CAI131072 CKD65539:CKE131072 CTZ65539:CUA131072 DDV65539:DDW131072 DNR65539:DNS131072 DXN65539:DXO131072 EHJ65539:EHK131072 ERF65539:ERG131072 FBB65539:FBC131072 FKX65539:FKY131072 FUT65539:FUU131072 GEP65539:GEQ131072 GOL65539:GOM131072 GYH65539:GYI131072 HID65539:HIE131072 HRZ65539:HSA131072 IBV65539:IBW131072 ILR65539:ILS131072 IVN65539:IVO131072 JFJ65539:JFK131072 JPF65539:JPG131072 JZB65539:JZC131072 KIX65539:KIY131072 KST65539:KSU131072 LCP65539:LCQ131072 LML65539:LMM131072 LWH65539:LWI131072 MGD65539:MGE131072 MPZ65539:MQA131072 MZV65539:MZW131072 NJR65539:NJS131072 NTN65539:NTO131072 ODJ65539:ODK131072 ONF65539:ONG131072 OXB65539:OXC131072 PGX65539:PGY131072 PQT65539:PQU131072 QAP65539:QAQ131072 QKL65539:QKM131072 QUH65539:QUI131072 RED65539:REE131072 RNZ65539:ROA131072 RXV65539:RXW131072 SHR65539:SHS131072 SRN65539:SRO131072 TBJ65539:TBK131072 TLF65539:TLG131072 TVB65539:TVC131072 UEX65539:UEY131072 UOT65539:UOU131072 UYP65539:UYQ131072 VIL65539:VIM131072 VSH65539:VSI131072 WCD65539:WCE131072 WLZ65539:WMA131072 WVV65539:WVW131072 N131075:O196608 JJ131075:JK196608 TF131075:TG196608 ADB131075:ADC196608 AMX131075:AMY196608 AWT131075:AWU196608 BGP131075:BGQ196608 BQL131075:BQM196608 CAH131075:CAI196608 CKD131075:CKE196608 CTZ131075:CUA196608 DDV131075:DDW196608 DNR131075:DNS196608 DXN131075:DXO196608 EHJ131075:EHK196608 ERF131075:ERG196608 FBB131075:FBC196608 FKX131075:FKY196608 FUT131075:FUU196608 GEP131075:GEQ196608 GOL131075:GOM196608 GYH131075:GYI196608 HID131075:HIE196608 HRZ131075:HSA196608 IBV131075:IBW196608 ILR131075:ILS196608 IVN131075:IVO196608 JFJ131075:JFK196608 JPF131075:JPG196608 JZB131075:JZC196608 KIX131075:KIY196608 KST131075:KSU196608 LCP131075:LCQ196608 LML131075:LMM196608 LWH131075:LWI196608 MGD131075:MGE196608 MPZ131075:MQA196608 MZV131075:MZW196608 NJR131075:NJS196608 NTN131075:NTO196608 ODJ131075:ODK196608 ONF131075:ONG196608 OXB131075:OXC196608 PGX131075:PGY196608 PQT131075:PQU196608 QAP131075:QAQ196608 QKL131075:QKM196608 QUH131075:QUI196608 RED131075:REE196608 RNZ131075:ROA196608 RXV131075:RXW196608 SHR131075:SHS196608 SRN131075:SRO196608 TBJ131075:TBK196608 TLF131075:TLG196608 TVB131075:TVC196608 UEX131075:UEY196608 UOT131075:UOU196608 UYP131075:UYQ196608 VIL131075:VIM196608 VSH131075:VSI196608 WCD131075:WCE196608 WLZ131075:WMA196608 WVV131075:WVW196608 N196611:O262144 JJ196611:JK262144 TF196611:TG262144 ADB196611:ADC262144 AMX196611:AMY262144 AWT196611:AWU262144 BGP196611:BGQ262144 BQL196611:BQM262144 CAH196611:CAI262144 CKD196611:CKE262144 CTZ196611:CUA262144 DDV196611:DDW262144 DNR196611:DNS262144 DXN196611:DXO262144 EHJ196611:EHK262144 ERF196611:ERG262144 FBB196611:FBC262144 FKX196611:FKY262144 FUT196611:FUU262144 GEP196611:GEQ262144 GOL196611:GOM262144 GYH196611:GYI262144 HID196611:HIE262144 HRZ196611:HSA262144 IBV196611:IBW262144 ILR196611:ILS262144 IVN196611:IVO262144 JFJ196611:JFK262144 JPF196611:JPG262144 JZB196611:JZC262144 KIX196611:KIY262144 KST196611:KSU262144 LCP196611:LCQ262144 LML196611:LMM262144 LWH196611:LWI262144 MGD196611:MGE262144 MPZ196611:MQA262144 MZV196611:MZW262144 NJR196611:NJS262144 NTN196611:NTO262144 ODJ196611:ODK262144 ONF196611:ONG262144 OXB196611:OXC262144 PGX196611:PGY262144 PQT196611:PQU262144 QAP196611:QAQ262144 QKL196611:QKM262144 QUH196611:QUI262144 RED196611:REE262144 RNZ196611:ROA262144 RXV196611:RXW262144 SHR196611:SHS262144 SRN196611:SRO262144 TBJ196611:TBK262144 TLF196611:TLG262144 TVB196611:TVC262144 UEX196611:UEY262144 UOT196611:UOU262144 UYP196611:UYQ262144 VIL196611:VIM262144 VSH196611:VSI262144 WCD196611:WCE262144 WLZ196611:WMA262144 WVV196611:WVW262144 N262147:O327680 JJ262147:JK327680 TF262147:TG327680 ADB262147:ADC327680 AMX262147:AMY327680 AWT262147:AWU327680 BGP262147:BGQ327680 BQL262147:BQM327680 CAH262147:CAI327680 CKD262147:CKE327680 CTZ262147:CUA327680 DDV262147:DDW327680 DNR262147:DNS327680 DXN262147:DXO327680 EHJ262147:EHK327680 ERF262147:ERG327680 FBB262147:FBC327680 FKX262147:FKY327680 FUT262147:FUU327680 GEP262147:GEQ327680 GOL262147:GOM327680 GYH262147:GYI327680 HID262147:HIE327680 HRZ262147:HSA327680 IBV262147:IBW327680 ILR262147:ILS327680 IVN262147:IVO327680 JFJ262147:JFK327680 JPF262147:JPG327680 JZB262147:JZC327680 KIX262147:KIY327680 KST262147:KSU327680 LCP262147:LCQ327680 LML262147:LMM327680 LWH262147:LWI327680 MGD262147:MGE327680 MPZ262147:MQA327680 MZV262147:MZW327680 NJR262147:NJS327680 NTN262147:NTO327680 ODJ262147:ODK327680 ONF262147:ONG327680 OXB262147:OXC327680 PGX262147:PGY327680 PQT262147:PQU327680 QAP262147:QAQ327680 QKL262147:QKM327680 QUH262147:QUI327680 RED262147:REE327680 RNZ262147:ROA327680 RXV262147:RXW327680 SHR262147:SHS327680 SRN262147:SRO327680 TBJ262147:TBK327680 TLF262147:TLG327680 TVB262147:TVC327680 UEX262147:UEY327680 UOT262147:UOU327680 UYP262147:UYQ327680 VIL262147:VIM327680 VSH262147:VSI327680 WCD262147:WCE327680 WLZ262147:WMA327680 WVV262147:WVW327680 N327683:O393216 JJ327683:JK393216 TF327683:TG393216 ADB327683:ADC393216 AMX327683:AMY393216 AWT327683:AWU393216 BGP327683:BGQ393216 BQL327683:BQM393216 CAH327683:CAI393216 CKD327683:CKE393216 CTZ327683:CUA393216 DDV327683:DDW393216 DNR327683:DNS393216 DXN327683:DXO393216 EHJ327683:EHK393216 ERF327683:ERG393216 FBB327683:FBC393216 FKX327683:FKY393216 FUT327683:FUU393216 GEP327683:GEQ393216 GOL327683:GOM393216 GYH327683:GYI393216 HID327683:HIE393216 HRZ327683:HSA393216 IBV327683:IBW393216 ILR327683:ILS393216 IVN327683:IVO393216 JFJ327683:JFK393216 JPF327683:JPG393216 JZB327683:JZC393216 KIX327683:KIY393216 KST327683:KSU393216 LCP327683:LCQ393216 LML327683:LMM393216 LWH327683:LWI393216 MGD327683:MGE393216 MPZ327683:MQA393216 MZV327683:MZW393216 NJR327683:NJS393216 NTN327683:NTO393216 ODJ327683:ODK393216 ONF327683:ONG393216 OXB327683:OXC393216 PGX327683:PGY393216 PQT327683:PQU393216 QAP327683:QAQ393216 QKL327683:QKM393216 QUH327683:QUI393216 RED327683:REE393216 RNZ327683:ROA393216 RXV327683:RXW393216 SHR327683:SHS393216 SRN327683:SRO393216 TBJ327683:TBK393216 TLF327683:TLG393216 TVB327683:TVC393216 UEX327683:UEY393216 UOT327683:UOU393216 UYP327683:UYQ393216 VIL327683:VIM393216 VSH327683:VSI393216 WCD327683:WCE393216 WLZ327683:WMA393216 WVV327683:WVW393216 N393219:O458752 JJ393219:JK458752 TF393219:TG458752 ADB393219:ADC458752 AMX393219:AMY458752 AWT393219:AWU458752 BGP393219:BGQ458752 BQL393219:BQM458752 CAH393219:CAI458752 CKD393219:CKE458752 CTZ393219:CUA458752 DDV393219:DDW458752 DNR393219:DNS458752 DXN393219:DXO458752 EHJ393219:EHK458752 ERF393219:ERG458752 FBB393219:FBC458752 FKX393219:FKY458752 FUT393219:FUU458752 GEP393219:GEQ458752 GOL393219:GOM458752 GYH393219:GYI458752 HID393219:HIE458752 HRZ393219:HSA458752 IBV393219:IBW458752 ILR393219:ILS458752 IVN393219:IVO458752 JFJ393219:JFK458752 JPF393219:JPG458752 JZB393219:JZC458752 KIX393219:KIY458752 KST393219:KSU458752 LCP393219:LCQ458752 LML393219:LMM458752 LWH393219:LWI458752 MGD393219:MGE458752 MPZ393219:MQA458752 MZV393219:MZW458752 NJR393219:NJS458752 NTN393219:NTO458752 ODJ393219:ODK458752 ONF393219:ONG458752 OXB393219:OXC458752 PGX393219:PGY458752 PQT393219:PQU458752 QAP393219:QAQ458752 QKL393219:QKM458752 QUH393219:QUI458752 RED393219:REE458752 RNZ393219:ROA458752 RXV393219:RXW458752 SHR393219:SHS458752 SRN393219:SRO458752 TBJ393219:TBK458752 TLF393219:TLG458752 TVB393219:TVC458752 UEX393219:UEY458752 UOT393219:UOU458752 UYP393219:UYQ458752 VIL393219:VIM458752 VSH393219:VSI458752 WCD393219:WCE458752 WLZ393219:WMA458752 WVV393219:WVW458752 N458755:O524288 JJ458755:JK524288 TF458755:TG524288 ADB458755:ADC524288 AMX458755:AMY524288 AWT458755:AWU524288 BGP458755:BGQ524288 BQL458755:BQM524288 CAH458755:CAI524288 CKD458755:CKE524288 CTZ458755:CUA524288 DDV458755:DDW524288 DNR458755:DNS524288 DXN458755:DXO524288 EHJ458755:EHK524288 ERF458755:ERG524288 FBB458755:FBC524288 FKX458755:FKY524288 FUT458755:FUU524288 GEP458755:GEQ524288 GOL458755:GOM524288 GYH458755:GYI524288 HID458755:HIE524288 HRZ458755:HSA524288 IBV458755:IBW524288 ILR458755:ILS524288 IVN458755:IVO524288 JFJ458755:JFK524288 JPF458755:JPG524288 JZB458755:JZC524288 KIX458755:KIY524288 KST458755:KSU524288 LCP458755:LCQ524288 LML458755:LMM524288 LWH458755:LWI524288 MGD458755:MGE524288 MPZ458755:MQA524288 MZV458755:MZW524288 NJR458755:NJS524288 NTN458755:NTO524288 ODJ458755:ODK524288 ONF458755:ONG524288 OXB458755:OXC524288 PGX458755:PGY524288 PQT458755:PQU524288 QAP458755:QAQ524288 QKL458755:QKM524288 QUH458755:QUI524288 RED458755:REE524288 RNZ458755:ROA524288 RXV458755:RXW524288 SHR458755:SHS524288 SRN458755:SRO524288 TBJ458755:TBK524288 TLF458755:TLG524288 TVB458755:TVC524288 UEX458755:UEY524288 UOT458755:UOU524288 UYP458755:UYQ524288 VIL458755:VIM524288 VSH458755:VSI524288 WCD458755:WCE524288 WLZ458755:WMA524288 WVV458755:WVW524288 N524291:O589824 JJ524291:JK589824 TF524291:TG589824 ADB524291:ADC589824 AMX524291:AMY589824 AWT524291:AWU589824 BGP524291:BGQ589824 BQL524291:BQM589824 CAH524291:CAI589824 CKD524291:CKE589824 CTZ524291:CUA589824 DDV524291:DDW589824 DNR524291:DNS589824 DXN524291:DXO589824 EHJ524291:EHK589824 ERF524291:ERG589824 FBB524291:FBC589824 FKX524291:FKY589824 FUT524291:FUU589824 GEP524291:GEQ589824 GOL524291:GOM589824 GYH524291:GYI589824 HID524291:HIE589824 HRZ524291:HSA589824 IBV524291:IBW589824 ILR524291:ILS589824 IVN524291:IVO589824 JFJ524291:JFK589824 JPF524291:JPG589824 JZB524291:JZC589824 KIX524291:KIY589824 KST524291:KSU589824 LCP524291:LCQ589824 LML524291:LMM589824 LWH524291:LWI589824 MGD524291:MGE589824 MPZ524291:MQA589824 MZV524291:MZW589824 NJR524291:NJS589824 NTN524291:NTO589824 ODJ524291:ODK589824 ONF524291:ONG589824 OXB524291:OXC589824 PGX524291:PGY589824 PQT524291:PQU589824 QAP524291:QAQ589824 QKL524291:QKM589824 QUH524291:QUI589824 RED524291:REE589824 RNZ524291:ROA589824 RXV524291:RXW589824 SHR524291:SHS589824 SRN524291:SRO589824 TBJ524291:TBK589824 TLF524291:TLG589824 TVB524291:TVC589824 UEX524291:UEY589824 UOT524291:UOU589824 UYP524291:UYQ589824 VIL524291:VIM589824 VSH524291:VSI589824 WCD524291:WCE589824 WLZ524291:WMA589824 WVV524291:WVW589824 N589827:O655360 JJ589827:JK655360 TF589827:TG655360 ADB589827:ADC655360 AMX589827:AMY655360 AWT589827:AWU655360 BGP589827:BGQ655360 BQL589827:BQM655360 CAH589827:CAI655360 CKD589827:CKE655360 CTZ589827:CUA655360 DDV589827:DDW655360 DNR589827:DNS655360 DXN589827:DXO655360 EHJ589827:EHK655360 ERF589827:ERG655360 FBB589827:FBC655360 FKX589827:FKY655360 FUT589827:FUU655360 GEP589827:GEQ655360 GOL589827:GOM655360 GYH589827:GYI655360 HID589827:HIE655360 HRZ589827:HSA655360 IBV589827:IBW655360 ILR589827:ILS655360 IVN589827:IVO655360 JFJ589827:JFK655360 JPF589827:JPG655360 JZB589827:JZC655360 KIX589827:KIY655360 KST589827:KSU655360 LCP589827:LCQ655360 LML589827:LMM655360 LWH589827:LWI655360 MGD589827:MGE655360 MPZ589827:MQA655360 MZV589827:MZW655360 NJR589827:NJS655360 NTN589827:NTO655360 ODJ589827:ODK655360 ONF589827:ONG655360 OXB589827:OXC655360 PGX589827:PGY655360 PQT589827:PQU655360 QAP589827:QAQ655360 QKL589827:QKM655360 QUH589827:QUI655360 RED589827:REE655360 RNZ589827:ROA655360 RXV589827:RXW655360 SHR589827:SHS655360 SRN589827:SRO655360 TBJ589827:TBK655360 TLF589827:TLG655360 TVB589827:TVC655360 UEX589827:UEY655360 UOT589827:UOU655360 UYP589827:UYQ655360 VIL589827:VIM655360 VSH589827:VSI655360 WCD589827:WCE655360 WLZ589827:WMA655360 WVV589827:WVW655360 N655363:O720896 JJ655363:JK720896 TF655363:TG720896 ADB655363:ADC720896 AMX655363:AMY720896 AWT655363:AWU720896 BGP655363:BGQ720896 BQL655363:BQM720896 CAH655363:CAI720896 CKD655363:CKE720896 CTZ655363:CUA720896 DDV655363:DDW720896 DNR655363:DNS720896 DXN655363:DXO720896 EHJ655363:EHK720896 ERF655363:ERG720896 FBB655363:FBC720896 FKX655363:FKY720896 FUT655363:FUU720896 GEP655363:GEQ720896 GOL655363:GOM720896 GYH655363:GYI720896 HID655363:HIE720896 HRZ655363:HSA720896 IBV655363:IBW720896 ILR655363:ILS720896 IVN655363:IVO720896 JFJ655363:JFK720896 JPF655363:JPG720896 JZB655363:JZC720896 KIX655363:KIY720896 KST655363:KSU720896 LCP655363:LCQ720896 LML655363:LMM720896 LWH655363:LWI720896 MGD655363:MGE720896 MPZ655363:MQA720896 MZV655363:MZW720896 NJR655363:NJS720896 NTN655363:NTO720896 ODJ655363:ODK720896 ONF655363:ONG720896 OXB655363:OXC720896 PGX655363:PGY720896 PQT655363:PQU720896 QAP655363:QAQ720896 QKL655363:QKM720896 QUH655363:QUI720896 RED655363:REE720896 RNZ655363:ROA720896 RXV655363:RXW720896 SHR655363:SHS720896 SRN655363:SRO720896 TBJ655363:TBK720896 TLF655363:TLG720896 TVB655363:TVC720896 UEX655363:UEY720896 UOT655363:UOU720896 UYP655363:UYQ720896 VIL655363:VIM720896 VSH655363:VSI720896 WCD655363:WCE720896 WLZ655363:WMA720896 WVV655363:WVW720896 N720899:O786432 JJ720899:JK786432 TF720899:TG786432 ADB720899:ADC786432 AMX720899:AMY786432 AWT720899:AWU786432 BGP720899:BGQ786432 BQL720899:BQM786432 CAH720899:CAI786432 CKD720899:CKE786432 CTZ720899:CUA786432 DDV720899:DDW786432 DNR720899:DNS786432 DXN720899:DXO786432 EHJ720899:EHK786432 ERF720899:ERG786432 FBB720899:FBC786432 FKX720899:FKY786432 FUT720899:FUU786432 GEP720899:GEQ786432 GOL720899:GOM786432 GYH720899:GYI786432 HID720899:HIE786432 HRZ720899:HSA786432 IBV720899:IBW786432 ILR720899:ILS786432 IVN720899:IVO786432 JFJ720899:JFK786432 JPF720899:JPG786432 JZB720899:JZC786432 KIX720899:KIY786432 KST720899:KSU786432 LCP720899:LCQ786432 LML720899:LMM786432 LWH720899:LWI786432 MGD720899:MGE786432 MPZ720899:MQA786432 MZV720899:MZW786432 NJR720899:NJS786432 NTN720899:NTO786432 ODJ720899:ODK786432 ONF720899:ONG786432 OXB720899:OXC786432 PGX720899:PGY786432 PQT720899:PQU786432 QAP720899:QAQ786432 QKL720899:QKM786432 QUH720899:QUI786432 RED720899:REE786432 RNZ720899:ROA786432 RXV720899:RXW786432 SHR720899:SHS786432 SRN720899:SRO786432 TBJ720899:TBK786432 TLF720899:TLG786432 TVB720899:TVC786432 UEX720899:UEY786432 UOT720899:UOU786432 UYP720899:UYQ786432 VIL720899:VIM786432 VSH720899:VSI786432 WCD720899:WCE786432 WLZ720899:WMA786432 WVV720899:WVW786432 N786435:O851968 JJ786435:JK851968 TF786435:TG851968 ADB786435:ADC851968 AMX786435:AMY851968 AWT786435:AWU851968 BGP786435:BGQ851968 BQL786435:BQM851968 CAH786435:CAI851968 CKD786435:CKE851968 CTZ786435:CUA851968 DDV786435:DDW851968 DNR786435:DNS851968 DXN786435:DXO851968 EHJ786435:EHK851968 ERF786435:ERG851968 FBB786435:FBC851968 FKX786435:FKY851968 FUT786435:FUU851968 GEP786435:GEQ851968 GOL786435:GOM851968 GYH786435:GYI851968 HID786435:HIE851968 HRZ786435:HSA851968 IBV786435:IBW851968 ILR786435:ILS851968 IVN786435:IVO851968 JFJ786435:JFK851968 JPF786435:JPG851968 JZB786435:JZC851968 KIX786435:KIY851968 KST786435:KSU851968 LCP786435:LCQ851968 LML786435:LMM851968 LWH786435:LWI851968 MGD786435:MGE851968 MPZ786435:MQA851968 MZV786435:MZW851968 NJR786435:NJS851968 NTN786435:NTO851968 ODJ786435:ODK851968 ONF786435:ONG851968 OXB786435:OXC851968 PGX786435:PGY851968 PQT786435:PQU851968 QAP786435:QAQ851968 QKL786435:QKM851968 QUH786435:QUI851968 RED786435:REE851968 RNZ786435:ROA851968 RXV786435:RXW851968 SHR786435:SHS851968 SRN786435:SRO851968 TBJ786435:TBK851968 TLF786435:TLG851968 TVB786435:TVC851968 UEX786435:UEY851968 UOT786435:UOU851968 UYP786435:UYQ851968 VIL786435:VIM851968 VSH786435:VSI851968 WCD786435:WCE851968 WLZ786435:WMA851968 WVV786435:WVW851968 N851971:O917504 JJ851971:JK917504 TF851971:TG917504 ADB851971:ADC917504 AMX851971:AMY917504 AWT851971:AWU917504 BGP851971:BGQ917504 BQL851971:BQM917504 CAH851971:CAI917504 CKD851971:CKE917504 CTZ851971:CUA917504 DDV851971:DDW917504 DNR851971:DNS917504 DXN851971:DXO917504 EHJ851971:EHK917504 ERF851971:ERG917504 FBB851971:FBC917504 FKX851971:FKY917504 FUT851971:FUU917504 GEP851971:GEQ917504 GOL851971:GOM917504 GYH851971:GYI917504 HID851971:HIE917504 HRZ851971:HSA917504 IBV851971:IBW917504 ILR851971:ILS917504 IVN851971:IVO917504 JFJ851971:JFK917504 JPF851971:JPG917504 JZB851971:JZC917504 KIX851971:KIY917504 KST851971:KSU917504 LCP851971:LCQ917504 LML851971:LMM917504 LWH851971:LWI917504 MGD851971:MGE917504 MPZ851971:MQA917504 MZV851971:MZW917504 NJR851971:NJS917504 NTN851971:NTO917504 ODJ851971:ODK917504 ONF851971:ONG917504 OXB851971:OXC917504 PGX851971:PGY917504 PQT851971:PQU917504 QAP851971:QAQ917504 QKL851971:QKM917504 QUH851971:QUI917504 RED851971:REE917504 RNZ851971:ROA917504 RXV851971:RXW917504 SHR851971:SHS917504 SRN851971:SRO917504 TBJ851971:TBK917504 TLF851971:TLG917504 TVB851971:TVC917504 UEX851971:UEY917504 UOT851971:UOU917504 UYP851971:UYQ917504 VIL851971:VIM917504 VSH851971:VSI917504 WCD851971:WCE917504 WLZ851971:WMA917504 WVV851971:WVW917504 N917507:O983040 JJ917507:JK983040 TF917507:TG983040 ADB917507:ADC983040 AMX917507:AMY983040 AWT917507:AWU983040 BGP917507:BGQ983040 BQL917507:BQM983040 CAH917507:CAI983040 CKD917507:CKE983040 CTZ917507:CUA983040 DDV917507:DDW983040 DNR917507:DNS983040 DXN917507:DXO983040 EHJ917507:EHK983040 ERF917507:ERG983040 FBB917507:FBC983040 FKX917507:FKY983040 FUT917507:FUU983040 GEP917507:GEQ983040 GOL917507:GOM983040 GYH917507:GYI983040 HID917507:HIE983040 HRZ917507:HSA983040 IBV917507:IBW983040 ILR917507:ILS983040 IVN917507:IVO983040 JFJ917507:JFK983040 JPF917507:JPG983040 JZB917507:JZC983040 KIX917507:KIY983040 KST917507:KSU983040 LCP917507:LCQ983040 LML917507:LMM983040 LWH917507:LWI983040 MGD917507:MGE983040 MPZ917507:MQA983040 MZV917507:MZW983040 NJR917507:NJS983040 NTN917507:NTO983040 ODJ917507:ODK983040 ONF917507:ONG983040 OXB917507:OXC983040 PGX917507:PGY983040 PQT917507:PQU983040 QAP917507:QAQ983040 QKL917507:QKM983040 QUH917507:QUI983040 RED917507:REE983040 RNZ917507:ROA983040 RXV917507:RXW983040 SHR917507:SHS983040 SRN917507:SRO983040 TBJ917507:TBK983040 TLF917507:TLG983040 TVB917507:TVC983040 UEX917507:UEY983040 UOT917507:UOU983040 UYP917507:UYQ983040 VIL917507:VIM983040 VSH917507:VSI983040 WCD917507:WCE983040 WLZ917507:WMA983040 WVV917507:WVW983040 N983043:O1048576 JJ983043:JK1048576 TF983043:TG1048576 ADB983043:ADC1048576 AMX983043:AMY1048576 AWT983043:AWU1048576 BGP983043:BGQ1048576 BQL983043:BQM1048576 CAH983043:CAI1048576 CKD983043:CKE1048576 CTZ983043:CUA1048576 DDV983043:DDW1048576 DNR983043:DNS1048576 DXN983043:DXO1048576 EHJ983043:EHK1048576 ERF983043:ERG1048576 FBB983043:FBC1048576 FKX983043:FKY1048576 FUT983043:FUU1048576 GEP983043:GEQ1048576 GOL983043:GOM1048576 GYH983043:GYI1048576 HID983043:HIE1048576 HRZ983043:HSA1048576 IBV983043:IBW1048576 ILR983043:ILS1048576 IVN983043:IVO1048576 JFJ983043:JFK1048576 JPF983043:JPG1048576 JZB983043:JZC1048576 KIX983043:KIY1048576 KST983043:KSU1048576 LCP983043:LCQ1048576 LML983043:LMM1048576 LWH983043:LWI1048576 MGD983043:MGE1048576 MPZ983043:MQA1048576 MZV983043:MZW1048576 NJR983043:NJS1048576 NTN983043:NTO1048576 ODJ983043:ODK1048576 ONF983043:ONG1048576 OXB983043:OXC1048576 PGX983043:PGY1048576 PQT983043:PQU1048576 QAP983043:QAQ1048576 QKL983043:QKM1048576 QUH983043:QUI1048576 RED983043:REE1048576 RNZ983043:ROA1048576 RXV983043:RXW1048576 SHR983043:SHS1048576 SRN983043:SRO1048576 TBJ983043:TBK1048576 TLF983043:TLG1048576 TVB983043:TVC1048576 UEX983043:UEY1048576 UOT983043:UOU1048576 UYP983043:UYQ1048576 VIL983043:VIM1048576 VSH983043:VSI1048576 WCD983043:WCE1048576 WLZ983043:WMA1048576 WVV983043:WVW1048576 WVS983043:WVT1048576 JG3:JH65536 TC3:TD65536 ACY3:ACZ65536 AMU3:AMV65536 AWQ3:AWR65536 BGM3:BGN65536 BQI3:BQJ65536 CAE3:CAF65536 CKA3:CKB65536 CTW3:CTX65536 DDS3:DDT65536 DNO3:DNP65536 DXK3:DXL65536 EHG3:EHH65536 ERC3:ERD65536 FAY3:FAZ65536 FKU3:FKV65536 FUQ3:FUR65536 GEM3:GEN65536 GOI3:GOJ65536 GYE3:GYF65536 HIA3:HIB65536 HRW3:HRX65536 IBS3:IBT65536 ILO3:ILP65536 IVK3:IVL65536 JFG3:JFH65536 JPC3:JPD65536 JYY3:JYZ65536 KIU3:KIV65536 KSQ3:KSR65536 LCM3:LCN65536 LMI3:LMJ65536 LWE3:LWF65536 MGA3:MGB65536 MPW3:MPX65536 MZS3:MZT65536 NJO3:NJP65536 NTK3:NTL65536 ODG3:ODH65536 ONC3:OND65536 OWY3:OWZ65536 PGU3:PGV65536 PQQ3:PQR65536 QAM3:QAN65536 QKI3:QKJ65536 QUE3:QUF65536 REA3:REB65536 RNW3:RNX65536 RXS3:RXT65536 SHO3:SHP65536 SRK3:SRL65536 TBG3:TBH65536 TLC3:TLD65536 TUY3:TUZ65536 UEU3:UEV65536 UOQ3:UOR65536 UYM3:UYN65536 VII3:VIJ65536 VSE3:VSF65536 WCA3:WCB65536 WLW3:WLX65536 WVS3:WVT65536 K65539:L131072 JG65539:JH131072 TC65539:TD131072 ACY65539:ACZ131072 AMU65539:AMV131072 AWQ65539:AWR131072 BGM65539:BGN131072 BQI65539:BQJ131072 CAE65539:CAF131072 CKA65539:CKB131072 CTW65539:CTX131072 DDS65539:DDT131072 DNO65539:DNP131072 DXK65539:DXL131072 EHG65539:EHH131072 ERC65539:ERD131072 FAY65539:FAZ131072 FKU65539:FKV131072 FUQ65539:FUR131072 GEM65539:GEN131072 GOI65539:GOJ131072 GYE65539:GYF131072 HIA65539:HIB131072 HRW65539:HRX131072 IBS65539:IBT131072 ILO65539:ILP131072 IVK65539:IVL131072 JFG65539:JFH131072 JPC65539:JPD131072 JYY65539:JYZ131072 KIU65539:KIV131072 KSQ65539:KSR131072 LCM65539:LCN131072 LMI65539:LMJ131072 LWE65539:LWF131072 MGA65539:MGB131072 MPW65539:MPX131072 MZS65539:MZT131072 NJO65539:NJP131072 NTK65539:NTL131072 ODG65539:ODH131072 ONC65539:OND131072 OWY65539:OWZ131072 PGU65539:PGV131072 PQQ65539:PQR131072 QAM65539:QAN131072 QKI65539:QKJ131072 QUE65539:QUF131072 REA65539:REB131072 RNW65539:RNX131072 RXS65539:RXT131072 SHO65539:SHP131072 SRK65539:SRL131072 TBG65539:TBH131072 TLC65539:TLD131072 TUY65539:TUZ131072 UEU65539:UEV131072 UOQ65539:UOR131072 UYM65539:UYN131072 VII65539:VIJ131072 VSE65539:VSF131072 WCA65539:WCB131072 WLW65539:WLX131072 WVS65539:WVT131072 K131075:L196608 JG131075:JH196608 TC131075:TD196608 ACY131075:ACZ196608 AMU131075:AMV196608 AWQ131075:AWR196608 BGM131075:BGN196608 BQI131075:BQJ196608 CAE131075:CAF196608 CKA131075:CKB196608 CTW131075:CTX196608 DDS131075:DDT196608 DNO131075:DNP196608 DXK131075:DXL196608 EHG131075:EHH196608 ERC131075:ERD196608 FAY131075:FAZ196608 FKU131075:FKV196608 FUQ131075:FUR196608 GEM131075:GEN196608 GOI131075:GOJ196608 GYE131075:GYF196608 HIA131075:HIB196608 HRW131075:HRX196608 IBS131075:IBT196608 ILO131075:ILP196608 IVK131075:IVL196608 JFG131075:JFH196608 JPC131075:JPD196608 JYY131075:JYZ196608 KIU131075:KIV196608 KSQ131075:KSR196608 LCM131075:LCN196608 LMI131075:LMJ196608 LWE131075:LWF196608 MGA131075:MGB196608 MPW131075:MPX196608 MZS131075:MZT196608 NJO131075:NJP196608 NTK131075:NTL196608 ODG131075:ODH196608 ONC131075:OND196608 OWY131075:OWZ196608 PGU131075:PGV196608 PQQ131075:PQR196608 QAM131075:QAN196608 QKI131075:QKJ196608 QUE131075:QUF196608 REA131075:REB196608 RNW131075:RNX196608 RXS131075:RXT196608 SHO131075:SHP196608 SRK131075:SRL196608 TBG131075:TBH196608 TLC131075:TLD196608 TUY131075:TUZ196608 UEU131075:UEV196608 UOQ131075:UOR196608 UYM131075:UYN196608 VII131075:VIJ196608 VSE131075:VSF196608 WCA131075:WCB196608 WLW131075:WLX196608 WVS131075:WVT196608 K196611:L262144 JG196611:JH262144 TC196611:TD262144 ACY196611:ACZ262144 AMU196611:AMV262144 AWQ196611:AWR262144 BGM196611:BGN262144 BQI196611:BQJ262144 CAE196611:CAF262144 CKA196611:CKB262144 CTW196611:CTX262144 DDS196611:DDT262144 DNO196611:DNP262144 DXK196611:DXL262144 EHG196611:EHH262144 ERC196611:ERD262144 FAY196611:FAZ262144 FKU196611:FKV262144 FUQ196611:FUR262144 GEM196611:GEN262144 GOI196611:GOJ262144 GYE196611:GYF262144 HIA196611:HIB262144 HRW196611:HRX262144 IBS196611:IBT262144 ILO196611:ILP262144 IVK196611:IVL262144 JFG196611:JFH262144 JPC196611:JPD262144 JYY196611:JYZ262144 KIU196611:KIV262144 KSQ196611:KSR262144 LCM196611:LCN262144 LMI196611:LMJ262144 LWE196611:LWF262144 MGA196611:MGB262144 MPW196611:MPX262144 MZS196611:MZT262144 NJO196611:NJP262144 NTK196611:NTL262144 ODG196611:ODH262144 ONC196611:OND262144 OWY196611:OWZ262144 PGU196611:PGV262144 PQQ196611:PQR262144 QAM196611:QAN262144 QKI196611:QKJ262144 QUE196611:QUF262144 REA196611:REB262144 RNW196611:RNX262144 RXS196611:RXT262144 SHO196611:SHP262144 SRK196611:SRL262144 TBG196611:TBH262144 TLC196611:TLD262144 TUY196611:TUZ262144 UEU196611:UEV262144 UOQ196611:UOR262144 UYM196611:UYN262144 VII196611:VIJ262144 VSE196611:VSF262144 WCA196611:WCB262144 WLW196611:WLX262144 WVS196611:WVT262144 K262147:L327680 JG262147:JH327680 TC262147:TD327680 ACY262147:ACZ327680 AMU262147:AMV327680 AWQ262147:AWR327680 BGM262147:BGN327680 BQI262147:BQJ327680 CAE262147:CAF327680 CKA262147:CKB327680 CTW262147:CTX327680 DDS262147:DDT327680 DNO262147:DNP327680 DXK262147:DXL327680 EHG262147:EHH327680 ERC262147:ERD327680 FAY262147:FAZ327680 FKU262147:FKV327680 FUQ262147:FUR327680 GEM262147:GEN327680 GOI262147:GOJ327680 GYE262147:GYF327680 HIA262147:HIB327680 HRW262147:HRX327680 IBS262147:IBT327680 ILO262147:ILP327680 IVK262147:IVL327680 JFG262147:JFH327680 JPC262147:JPD327680 JYY262147:JYZ327680 KIU262147:KIV327680 KSQ262147:KSR327680 LCM262147:LCN327680 LMI262147:LMJ327680 LWE262147:LWF327680 MGA262147:MGB327680 MPW262147:MPX327680 MZS262147:MZT327680 NJO262147:NJP327680 NTK262147:NTL327680 ODG262147:ODH327680 ONC262147:OND327680 OWY262147:OWZ327680 PGU262147:PGV327680 PQQ262147:PQR327680 QAM262147:QAN327680 QKI262147:QKJ327680 QUE262147:QUF327680 REA262147:REB327680 RNW262147:RNX327680 RXS262147:RXT327680 SHO262147:SHP327680 SRK262147:SRL327680 TBG262147:TBH327680 TLC262147:TLD327680 TUY262147:TUZ327680 UEU262147:UEV327680 UOQ262147:UOR327680 UYM262147:UYN327680 VII262147:VIJ327680 VSE262147:VSF327680 WCA262147:WCB327680 WLW262147:WLX327680 WVS262147:WVT327680 K327683:L393216 JG327683:JH393216 TC327683:TD393216 ACY327683:ACZ393216 AMU327683:AMV393216 AWQ327683:AWR393216 BGM327683:BGN393216 BQI327683:BQJ393216 CAE327683:CAF393216 CKA327683:CKB393216 CTW327683:CTX393216 DDS327683:DDT393216 DNO327683:DNP393216 DXK327683:DXL393216 EHG327683:EHH393216 ERC327683:ERD393216 FAY327683:FAZ393216 FKU327683:FKV393216 FUQ327683:FUR393216 GEM327683:GEN393216 GOI327683:GOJ393216 GYE327683:GYF393216 HIA327683:HIB393216 HRW327683:HRX393216 IBS327683:IBT393216 ILO327683:ILP393216 IVK327683:IVL393216 JFG327683:JFH393216 JPC327683:JPD393216 JYY327683:JYZ393216 KIU327683:KIV393216 KSQ327683:KSR393216 LCM327683:LCN393216 LMI327683:LMJ393216 LWE327683:LWF393216 MGA327683:MGB393216 MPW327683:MPX393216 MZS327683:MZT393216 NJO327683:NJP393216 NTK327683:NTL393216 ODG327683:ODH393216 ONC327683:OND393216 OWY327683:OWZ393216 PGU327683:PGV393216 PQQ327683:PQR393216 QAM327683:QAN393216 QKI327683:QKJ393216 QUE327683:QUF393216 REA327683:REB393216 RNW327683:RNX393216 RXS327683:RXT393216 SHO327683:SHP393216 SRK327683:SRL393216 TBG327683:TBH393216 TLC327683:TLD393216 TUY327683:TUZ393216 UEU327683:UEV393216 UOQ327683:UOR393216 UYM327683:UYN393216 VII327683:VIJ393216 VSE327683:VSF393216 WCA327683:WCB393216 WLW327683:WLX393216 WVS327683:WVT393216 K393219:L458752 JG393219:JH458752 TC393219:TD458752 ACY393219:ACZ458752 AMU393219:AMV458752 AWQ393219:AWR458752 BGM393219:BGN458752 BQI393219:BQJ458752 CAE393219:CAF458752 CKA393219:CKB458752 CTW393219:CTX458752 DDS393219:DDT458752 DNO393219:DNP458752 DXK393219:DXL458752 EHG393219:EHH458752 ERC393219:ERD458752 FAY393219:FAZ458752 FKU393219:FKV458752 FUQ393219:FUR458752 GEM393219:GEN458752 GOI393219:GOJ458752 GYE393219:GYF458752 HIA393219:HIB458752 HRW393219:HRX458752 IBS393219:IBT458752 ILO393219:ILP458752 IVK393219:IVL458752 JFG393219:JFH458752 JPC393219:JPD458752 JYY393219:JYZ458752 KIU393219:KIV458752 KSQ393219:KSR458752 LCM393219:LCN458752 LMI393219:LMJ458752 LWE393219:LWF458752 MGA393219:MGB458752 MPW393219:MPX458752 MZS393219:MZT458752 NJO393219:NJP458752 NTK393219:NTL458752 ODG393219:ODH458752 ONC393219:OND458752 OWY393219:OWZ458752 PGU393219:PGV458752 PQQ393219:PQR458752 QAM393219:QAN458752 QKI393219:QKJ458752 QUE393219:QUF458752 REA393219:REB458752 RNW393219:RNX458752 RXS393219:RXT458752 SHO393219:SHP458752 SRK393219:SRL458752 TBG393219:TBH458752 TLC393219:TLD458752 TUY393219:TUZ458752 UEU393219:UEV458752 UOQ393219:UOR458752 UYM393219:UYN458752 VII393219:VIJ458752 VSE393219:VSF458752 WCA393219:WCB458752 WLW393219:WLX458752 WVS393219:WVT458752 K458755:L524288 JG458755:JH524288 TC458755:TD524288 ACY458755:ACZ524288 AMU458755:AMV524288 AWQ458755:AWR524288 BGM458755:BGN524288 BQI458755:BQJ524288 CAE458755:CAF524288 CKA458755:CKB524288 CTW458755:CTX524288 DDS458755:DDT524288 DNO458755:DNP524288 DXK458755:DXL524288 EHG458755:EHH524288 ERC458755:ERD524288 FAY458755:FAZ524288 FKU458755:FKV524288 FUQ458755:FUR524288 GEM458755:GEN524288 GOI458755:GOJ524288 GYE458755:GYF524288 HIA458755:HIB524288 HRW458755:HRX524288 IBS458755:IBT524288 ILO458755:ILP524288 IVK458755:IVL524288 JFG458755:JFH524288 JPC458755:JPD524288 JYY458755:JYZ524288 KIU458755:KIV524288 KSQ458755:KSR524288 LCM458755:LCN524288 LMI458755:LMJ524288 LWE458755:LWF524288 MGA458755:MGB524288 MPW458755:MPX524288 MZS458755:MZT524288 NJO458755:NJP524288 NTK458755:NTL524288 ODG458755:ODH524288 ONC458755:OND524288 OWY458755:OWZ524288 PGU458755:PGV524288 PQQ458755:PQR524288 QAM458755:QAN524288 QKI458755:QKJ524288 QUE458755:QUF524288 REA458755:REB524288 RNW458755:RNX524288 RXS458755:RXT524288 SHO458755:SHP524288 SRK458755:SRL524288 TBG458755:TBH524288 TLC458755:TLD524288 TUY458755:TUZ524288 UEU458755:UEV524288 UOQ458755:UOR524288 UYM458755:UYN524288 VII458755:VIJ524288 VSE458755:VSF524288 WCA458755:WCB524288 WLW458755:WLX524288 WVS458755:WVT524288 K524291:L589824 JG524291:JH589824 TC524291:TD589824 ACY524291:ACZ589824 AMU524291:AMV589824 AWQ524291:AWR589824 BGM524291:BGN589824 BQI524291:BQJ589824 CAE524291:CAF589824 CKA524291:CKB589824 CTW524291:CTX589824 DDS524291:DDT589824 DNO524291:DNP589824 DXK524291:DXL589824 EHG524291:EHH589824 ERC524291:ERD589824 FAY524291:FAZ589824 FKU524291:FKV589824 FUQ524291:FUR589824 GEM524291:GEN589824 GOI524291:GOJ589824 GYE524291:GYF589824 HIA524291:HIB589824 HRW524291:HRX589824 IBS524291:IBT589824 ILO524291:ILP589824 IVK524291:IVL589824 JFG524291:JFH589824 JPC524291:JPD589824 JYY524291:JYZ589824 KIU524291:KIV589824 KSQ524291:KSR589824 LCM524291:LCN589824 LMI524291:LMJ589824 LWE524291:LWF589824 MGA524291:MGB589824 MPW524291:MPX589824 MZS524291:MZT589824 NJO524291:NJP589824 NTK524291:NTL589824 ODG524291:ODH589824 ONC524291:OND589824 OWY524291:OWZ589824 PGU524291:PGV589824 PQQ524291:PQR589824 QAM524291:QAN589824 QKI524291:QKJ589824 QUE524291:QUF589824 REA524291:REB589824 RNW524291:RNX589824 RXS524291:RXT589824 SHO524291:SHP589824 SRK524291:SRL589824 TBG524291:TBH589824 TLC524291:TLD589824 TUY524291:TUZ589824 UEU524291:UEV589824 UOQ524291:UOR589824 UYM524291:UYN589824 VII524291:VIJ589824 VSE524291:VSF589824 WCA524291:WCB589824 WLW524291:WLX589824 WVS524291:WVT589824 K589827:L655360 JG589827:JH655360 TC589827:TD655360 ACY589827:ACZ655360 AMU589827:AMV655360 AWQ589827:AWR655360 BGM589827:BGN655360 BQI589827:BQJ655360 CAE589827:CAF655360 CKA589827:CKB655360 CTW589827:CTX655360 DDS589827:DDT655360 DNO589827:DNP655360 DXK589827:DXL655360 EHG589827:EHH655360 ERC589827:ERD655360 FAY589827:FAZ655360 FKU589827:FKV655360 FUQ589827:FUR655360 GEM589827:GEN655360 GOI589827:GOJ655360 GYE589827:GYF655360 HIA589827:HIB655360 HRW589827:HRX655360 IBS589827:IBT655360 ILO589827:ILP655360 IVK589827:IVL655360 JFG589827:JFH655360 JPC589827:JPD655360 JYY589827:JYZ655360 KIU589827:KIV655360 KSQ589827:KSR655360 LCM589827:LCN655360 LMI589827:LMJ655360 LWE589827:LWF655360 MGA589827:MGB655360 MPW589827:MPX655360 MZS589827:MZT655360 NJO589827:NJP655360 NTK589827:NTL655360 ODG589827:ODH655360 ONC589827:OND655360 OWY589827:OWZ655360 PGU589827:PGV655360 PQQ589827:PQR655360 QAM589827:QAN655360 QKI589827:QKJ655360 QUE589827:QUF655360 REA589827:REB655360 RNW589827:RNX655360 RXS589827:RXT655360 SHO589827:SHP655360 SRK589827:SRL655360 TBG589827:TBH655360 TLC589827:TLD655360 TUY589827:TUZ655360 UEU589827:UEV655360 UOQ589827:UOR655360 UYM589827:UYN655360 VII589827:VIJ655360 VSE589827:VSF655360 WCA589827:WCB655360 WLW589827:WLX655360 WVS589827:WVT655360 K655363:L720896 JG655363:JH720896 TC655363:TD720896 ACY655363:ACZ720896 AMU655363:AMV720896 AWQ655363:AWR720896 BGM655363:BGN720896 BQI655363:BQJ720896 CAE655363:CAF720896 CKA655363:CKB720896 CTW655363:CTX720896 DDS655363:DDT720896 DNO655363:DNP720896 DXK655363:DXL720896 EHG655363:EHH720896 ERC655363:ERD720896 FAY655363:FAZ720896 FKU655363:FKV720896 FUQ655363:FUR720896 GEM655363:GEN720896 GOI655363:GOJ720896 GYE655363:GYF720896 HIA655363:HIB720896 HRW655363:HRX720896 IBS655363:IBT720896 ILO655363:ILP720896 IVK655363:IVL720896 JFG655363:JFH720896 JPC655363:JPD720896 JYY655363:JYZ720896 KIU655363:KIV720896 KSQ655363:KSR720896 LCM655363:LCN720896 LMI655363:LMJ720896 LWE655363:LWF720896 MGA655363:MGB720896 MPW655363:MPX720896 MZS655363:MZT720896 NJO655363:NJP720896 NTK655363:NTL720896 ODG655363:ODH720896 ONC655363:OND720896 OWY655363:OWZ720896 PGU655363:PGV720896 PQQ655363:PQR720896 QAM655363:QAN720896 QKI655363:QKJ720896 QUE655363:QUF720896 REA655363:REB720896 RNW655363:RNX720896 RXS655363:RXT720896 SHO655363:SHP720896 SRK655363:SRL720896 TBG655363:TBH720896 TLC655363:TLD720896 TUY655363:TUZ720896 UEU655363:UEV720896 UOQ655363:UOR720896 UYM655363:UYN720896 VII655363:VIJ720896 VSE655363:VSF720896 WCA655363:WCB720896 WLW655363:WLX720896 WVS655363:WVT720896 K720899:L786432 JG720899:JH786432 TC720899:TD786432 ACY720899:ACZ786432 AMU720899:AMV786432 AWQ720899:AWR786432 BGM720899:BGN786432 BQI720899:BQJ786432 CAE720899:CAF786432 CKA720899:CKB786432 CTW720899:CTX786432 DDS720899:DDT786432 DNO720899:DNP786432 DXK720899:DXL786432 EHG720899:EHH786432 ERC720899:ERD786432 FAY720899:FAZ786432 FKU720899:FKV786432 FUQ720899:FUR786432 GEM720899:GEN786432 GOI720899:GOJ786432 GYE720899:GYF786432 HIA720899:HIB786432 HRW720899:HRX786432 IBS720899:IBT786432 ILO720899:ILP786432 IVK720899:IVL786432 JFG720899:JFH786432 JPC720899:JPD786432 JYY720899:JYZ786432 KIU720899:KIV786432 KSQ720899:KSR786432 LCM720899:LCN786432 LMI720899:LMJ786432 LWE720899:LWF786432 MGA720899:MGB786432 MPW720899:MPX786432 MZS720899:MZT786432 NJO720899:NJP786432 NTK720899:NTL786432 ODG720899:ODH786432 ONC720899:OND786432 OWY720899:OWZ786432 PGU720899:PGV786432 PQQ720899:PQR786432 QAM720899:QAN786432 QKI720899:QKJ786432 QUE720899:QUF786432 REA720899:REB786432 RNW720899:RNX786432 RXS720899:RXT786432 SHO720899:SHP786432 SRK720899:SRL786432 TBG720899:TBH786432 TLC720899:TLD786432 TUY720899:TUZ786432 UEU720899:UEV786432 UOQ720899:UOR786432 UYM720899:UYN786432 VII720899:VIJ786432 VSE720899:VSF786432 WCA720899:WCB786432 WLW720899:WLX786432 WVS720899:WVT786432 K786435:L851968 JG786435:JH851968 TC786435:TD851968 ACY786435:ACZ851968 AMU786435:AMV851968 AWQ786435:AWR851968 BGM786435:BGN851968 BQI786435:BQJ851968 CAE786435:CAF851968 CKA786435:CKB851968 CTW786435:CTX851968 DDS786435:DDT851968 DNO786435:DNP851968 DXK786435:DXL851968 EHG786435:EHH851968 ERC786435:ERD851968 FAY786435:FAZ851968 FKU786435:FKV851968 FUQ786435:FUR851968 GEM786435:GEN851968 GOI786435:GOJ851968 GYE786435:GYF851968 HIA786435:HIB851968 HRW786435:HRX851968 IBS786435:IBT851968 ILO786435:ILP851968 IVK786435:IVL851968 JFG786435:JFH851968 JPC786435:JPD851968 JYY786435:JYZ851968 KIU786435:KIV851968 KSQ786435:KSR851968 LCM786435:LCN851968 LMI786435:LMJ851968 LWE786435:LWF851968 MGA786435:MGB851968 MPW786435:MPX851968 MZS786435:MZT851968 NJO786435:NJP851968 NTK786435:NTL851968 ODG786435:ODH851968 ONC786435:OND851968 OWY786435:OWZ851968 PGU786435:PGV851968 PQQ786435:PQR851968 QAM786435:QAN851968 QKI786435:QKJ851968 QUE786435:QUF851968 REA786435:REB851968 RNW786435:RNX851968 RXS786435:RXT851968 SHO786435:SHP851968 SRK786435:SRL851968 TBG786435:TBH851968 TLC786435:TLD851968 TUY786435:TUZ851968 UEU786435:UEV851968 UOQ786435:UOR851968 UYM786435:UYN851968 VII786435:VIJ851968 VSE786435:VSF851968 WCA786435:WCB851968 WLW786435:WLX851968 WVS786435:WVT851968 K851971:L917504 JG851971:JH917504 TC851971:TD917504 ACY851971:ACZ917504 AMU851971:AMV917504 AWQ851971:AWR917504 BGM851971:BGN917504 BQI851971:BQJ917504 CAE851971:CAF917504 CKA851971:CKB917504 CTW851971:CTX917504 DDS851971:DDT917504 DNO851971:DNP917504 DXK851971:DXL917504 EHG851971:EHH917504 ERC851971:ERD917504 FAY851971:FAZ917504 FKU851971:FKV917504 FUQ851971:FUR917504 GEM851971:GEN917504 GOI851971:GOJ917504 GYE851971:GYF917504 HIA851971:HIB917504 HRW851971:HRX917504 IBS851971:IBT917504 ILO851971:ILP917504 IVK851971:IVL917504 JFG851971:JFH917504 JPC851971:JPD917504 JYY851971:JYZ917504 KIU851971:KIV917504 KSQ851971:KSR917504 LCM851971:LCN917504 LMI851971:LMJ917504 LWE851971:LWF917504 MGA851971:MGB917504 MPW851971:MPX917504 MZS851971:MZT917504 NJO851971:NJP917504 NTK851971:NTL917504 ODG851971:ODH917504 ONC851971:OND917504 OWY851971:OWZ917504 PGU851971:PGV917504 PQQ851971:PQR917504 QAM851971:QAN917504 QKI851971:QKJ917504 QUE851971:QUF917504 REA851971:REB917504 RNW851971:RNX917504 RXS851971:RXT917504 SHO851971:SHP917504 SRK851971:SRL917504 TBG851971:TBH917504 TLC851971:TLD917504 TUY851971:TUZ917504 UEU851971:UEV917504 UOQ851971:UOR917504 UYM851971:UYN917504 VII851971:VIJ917504 VSE851971:VSF917504 WCA851971:WCB917504 WLW851971:WLX917504 WVS851971:WVT917504 K917507:L983040 JG917507:JH983040 TC917507:TD983040 ACY917507:ACZ983040 AMU917507:AMV983040 AWQ917507:AWR983040 BGM917507:BGN983040 BQI917507:BQJ983040 CAE917507:CAF983040 CKA917507:CKB983040 CTW917507:CTX983040 DDS917507:DDT983040 DNO917507:DNP983040 DXK917507:DXL983040 EHG917507:EHH983040 ERC917507:ERD983040 FAY917507:FAZ983040 FKU917507:FKV983040 FUQ917507:FUR983040 GEM917507:GEN983040 GOI917507:GOJ983040 GYE917507:GYF983040 HIA917507:HIB983040 HRW917507:HRX983040 IBS917507:IBT983040 ILO917507:ILP983040 IVK917507:IVL983040 JFG917507:JFH983040 JPC917507:JPD983040 JYY917507:JYZ983040 KIU917507:KIV983040 KSQ917507:KSR983040 LCM917507:LCN983040 LMI917507:LMJ983040 LWE917507:LWF983040 MGA917507:MGB983040 MPW917507:MPX983040 MZS917507:MZT983040 NJO917507:NJP983040 NTK917507:NTL983040 ODG917507:ODH983040 ONC917507:OND983040 OWY917507:OWZ983040 PGU917507:PGV983040 PQQ917507:PQR983040 QAM917507:QAN983040 QKI917507:QKJ983040 QUE917507:QUF983040 REA917507:REB983040 RNW917507:RNX983040 RXS917507:RXT983040 SHO917507:SHP983040 SRK917507:SRL983040 TBG917507:TBH983040 TLC917507:TLD983040 TUY917507:TUZ983040 UEU917507:UEV983040 UOQ917507:UOR983040 UYM917507:UYN983040 VII917507:VIJ983040 VSE917507:VSF983040 WCA917507:WCB983040 WLW917507:WLX983040 WVS917507:WVT983040 K983043:L1048576 JG983043:JH1048576 TC983043:TD1048576 ACY983043:ACZ1048576 AMU983043:AMV1048576 AWQ983043:AWR1048576 BGM983043:BGN1048576 BQI983043:BQJ1048576 CAE983043:CAF1048576 CKA983043:CKB1048576 CTW983043:CTX1048576 DDS983043:DDT1048576 DNO983043:DNP1048576 DXK983043:DXL1048576 EHG983043:EHH1048576 ERC983043:ERD1048576 FAY983043:FAZ1048576 FKU983043:FKV1048576 FUQ983043:FUR1048576 GEM983043:GEN1048576 GOI983043:GOJ1048576 GYE983043:GYF1048576 HIA983043:HIB1048576 HRW983043:HRX1048576 IBS983043:IBT1048576 ILO983043:ILP1048576 IVK983043:IVL1048576 JFG983043:JFH1048576 JPC983043:JPD1048576 JYY983043:JYZ1048576 KIU983043:KIV1048576 KSQ983043:KSR1048576 LCM983043:LCN1048576 LMI983043:LMJ1048576 LWE983043:LWF1048576 MGA983043:MGB1048576 MPW983043:MPX1048576 MZS983043:MZT1048576 NJO983043:NJP1048576 NTK983043:NTL1048576 ODG983043:ODH1048576 ONC983043:OND1048576 OWY983043:OWZ1048576 PGU983043:PGV1048576 PQQ983043:PQR1048576 QAM983043:QAN1048576 QKI983043:QKJ1048576 QUE983043:QUF1048576 REA983043:REB1048576 RNW983043:RNX1048576 RXS983043:RXT1048576 SHO983043:SHP1048576 SRK983043:SRL1048576 TBG983043:TBH1048576 TLC983043:TLD1048576 TUY983043:TUZ1048576 UEU983043:UEV1048576 UOQ983043:UOR1048576 UYM983043:UYN1048576 VII983043:VIJ1048576 VSE983043:VSF1048576 WCA983043:WCB1048576 WLW983043:WLX1048576 L3:L65536 K17:K65536" xr:uid="{CADD36A4-566A-4F1E-974D-411408183D6F}">
      <formula1>0</formula1>
      <formula2>1000000</formula2>
    </dataValidation>
    <dataValidation type="whole" allowBlank="1" showInputMessage="1" showErrorMessage="1" sqref="T3:T65536 JP3:JP65536 TL3:TL65536 ADH3:ADH65536 AND3:AND65536 AWZ3:AWZ65536 BGV3:BGV65536 BQR3:BQR65536 CAN3:CAN65536 CKJ3:CKJ65536 CUF3:CUF65536 DEB3:DEB65536 DNX3:DNX65536 DXT3:DXT65536 EHP3:EHP65536 ERL3:ERL65536 FBH3:FBH65536 FLD3:FLD65536 FUZ3:FUZ65536 GEV3:GEV65536 GOR3:GOR65536 GYN3:GYN65536 HIJ3:HIJ65536 HSF3:HSF65536 ICB3:ICB65536 ILX3:ILX65536 IVT3:IVT65536 JFP3:JFP65536 JPL3:JPL65536 JZH3:JZH65536 KJD3:KJD65536 KSZ3:KSZ65536 LCV3:LCV65536 LMR3:LMR65536 LWN3:LWN65536 MGJ3:MGJ65536 MQF3:MQF65536 NAB3:NAB65536 NJX3:NJX65536 NTT3:NTT65536 ODP3:ODP65536 ONL3:ONL65536 OXH3:OXH65536 PHD3:PHD65536 PQZ3:PQZ65536 QAV3:QAV65536 QKR3:QKR65536 QUN3:QUN65536 REJ3:REJ65536 ROF3:ROF65536 RYB3:RYB65536 SHX3:SHX65536 SRT3:SRT65536 TBP3:TBP65536 TLL3:TLL65536 TVH3:TVH65536 UFD3:UFD65536 UOZ3:UOZ65536 UYV3:UYV65536 VIR3:VIR65536 VSN3:VSN65536 WCJ3:WCJ65536 WMF3:WMF65536 WWB3:WWB65536 T65539:T131072 JP65539:JP131072 TL65539:TL131072 ADH65539:ADH131072 AND65539:AND131072 AWZ65539:AWZ131072 BGV65539:BGV131072 BQR65539:BQR131072 CAN65539:CAN131072 CKJ65539:CKJ131072 CUF65539:CUF131072 DEB65539:DEB131072 DNX65539:DNX131072 DXT65539:DXT131072 EHP65539:EHP131072 ERL65539:ERL131072 FBH65539:FBH131072 FLD65539:FLD131072 FUZ65539:FUZ131072 GEV65539:GEV131072 GOR65539:GOR131072 GYN65539:GYN131072 HIJ65539:HIJ131072 HSF65539:HSF131072 ICB65539:ICB131072 ILX65539:ILX131072 IVT65539:IVT131072 JFP65539:JFP131072 JPL65539:JPL131072 JZH65539:JZH131072 KJD65539:KJD131072 KSZ65539:KSZ131072 LCV65539:LCV131072 LMR65539:LMR131072 LWN65539:LWN131072 MGJ65539:MGJ131072 MQF65539:MQF131072 NAB65539:NAB131072 NJX65539:NJX131072 NTT65539:NTT131072 ODP65539:ODP131072 ONL65539:ONL131072 OXH65539:OXH131072 PHD65539:PHD131072 PQZ65539:PQZ131072 QAV65539:QAV131072 QKR65539:QKR131072 QUN65539:QUN131072 REJ65539:REJ131072 ROF65539:ROF131072 RYB65539:RYB131072 SHX65539:SHX131072 SRT65539:SRT131072 TBP65539:TBP131072 TLL65539:TLL131072 TVH65539:TVH131072 UFD65539:UFD131072 UOZ65539:UOZ131072 UYV65539:UYV131072 VIR65539:VIR131072 VSN65539:VSN131072 WCJ65539:WCJ131072 WMF65539:WMF131072 WWB65539:WWB131072 T131075:T196608 JP131075:JP196608 TL131075:TL196608 ADH131075:ADH196608 AND131075:AND196608 AWZ131075:AWZ196608 BGV131075:BGV196608 BQR131075:BQR196608 CAN131075:CAN196608 CKJ131075:CKJ196608 CUF131075:CUF196608 DEB131075:DEB196608 DNX131075:DNX196608 DXT131075:DXT196608 EHP131075:EHP196608 ERL131075:ERL196608 FBH131075:FBH196608 FLD131075:FLD196608 FUZ131075:FUZ196608 GEV131075:GEV196608 GOR131075:GOR196608 GYN131075:GYN196608 HIJ131075:HIJ196608 HSF131075:HSF196608 ICB131075:ICB196608 ILX131075:ILX196608 IVT131075:IVT196608 JFP131075:JFP196608 JPL131075:JPL196608 JZH131075:JZH196608 KJD131075:KJD196608 KSZ131075:KSZ196608 LCV131075:LCV196608 LMR131075:LMR196608 LWN131075:LWN196608 MGJ131075:MGJ196608 MQF131075:MQF196608 NAB131075:NAB196608 NJX131075:NJX196608 NTT131075:NTT196608 ODP131075:ODP196608 ONL131075:ONL196608 OXH131075:OXH196608 PHD131075:PHD196608 PQZ131075:PQZ196608 QAV131075:QAV196608 QKR131075:QKR196608 QUN131075:QUN196608 REJ131075:REJ196608 ROF131075:ROF196608 RYB131075:RYB196608 SHX131075:SHX196608 SRT131075:SRT196608 TBP131075:TBP196608 TLL131075:TLL196608 TVH131075:TVH196608 UFD131075:UFD196608 UOZ131075:UOZ196608 UYV131075:UYV196608 VIR131075:VIR196608 VSN131075:VSN196608 WCJ131075:WCJ196608 WMF131075:WMF196608 WWB131075:WWB196608 T196611:T262144 JP196611:JP262144 TL196611:TL262144 ADH196611:ADH262144 AND196611:AND262144 AWZ196611:AWZ262144 BGV196611:BGV262144 BQR196611:BQR262144 CAN196611:CAN262144 CKJ196611:CKJ262144 CUF196611:CUF262144 DEB196611:DEB262144 DNX196611:DNX262144 DXT196611:DXT262144 EHP196611:EHP262144 ERL196611:ERL262144 FBH196611:FBH262144 FLD196611:FLD262144 FUZ196611:FUZ262144 GEV196611:GEV262144 GOR196611:GOR262144 GYN196611:GYN262144 HIJ196611:HIJ262144 HSF196611:HSF262144 ICB196611:ICB262144 ILX196611:ILX262144 IVT196611:IVT262144 JFP196611:JFP262144 JPL196611:JPL262144 JZH196611:JZH262144 KJD196611:KJD262144 KSZ196611:KSZ262144 LCV196611:LCV262144 LMR196611:LMR262144 LWN196611:LWN262144 MGJ196611:MGJ262144 MQF196611:MQF262144 NAB196611:NAB262144 NJX196611:NJX262144 NTT196611:NTT262144 ODP196611:ODP262144 ONL196611:ONL262144 OXH196611:OXH262144 PHD196611:PHD262144 PQZ196611:PQZ262144 QAV196611:QAV262144 QKR196611:QKR262144 QUN196611:QUN262144 REJ196611:REJ262144 ROF196611:ROF262144 RYB196611:RYB262144 SHX196611:SHX262144 SRT196611:SRT262144 TBP196611:TBP262144 TLL196611:TLL262144 TVH196611:TVH262144 UFD196611:UFD262144 UOZ196611:UOZ262144 UYV196611:UYV262144 VIR196611:VIR262144 VSN196611:VSN262144 WCJ196611:WCJ262144 WMF196611:WMF262144 WWB196611:WWB262144 T262147:T327680 JP262147:JP327680 TL262147:TL327680 ADH262147:ADH327680 AND262147:AND327680 AWZ262147:AWZ327680 BGV262147:BGV327680 BQR262147:BQR327680 CAN262147:CAN327680 CKJ262147:CKJ327680 CUF262147:CUF327680 DEB262147:DEB327680 DNX262147:DNX327680 DXT262147:DXT327680 EHP262147:EHP327680 ERL262147:ERL327680 FBH262147:FBH327680 FLD262147:FLD327680 FUZ262147:FUZ327680 GEV262147:GEV327680 GOR262147:GOR327680 GYN262147:GYN327680 HIJ262147:HIJ327680 HSF262147:HSF327680 ICB262147:ICB327680 ILX262147:ILX327680 IVT262147:IVT327680 JFP262147:JFP327680 JPL262147:JPL327680 JZH262147:JZH327680 KJD262147:KJD327680 KSZ262147:KSZ327680 LCV262147:LCV327680 LMR262147:LMR327680 LWN262147:LWN327680 MGJ262147:MGJ327680 MQF262147:MQF327680 NAB262147:NAB327680 NJX262147:NJX327680 NTT262147:NTT327680 ODP262147:ODP327680 ONL262147:ONL327680 OXH262147:OXH327680 PHD262147:PHD327680 PQZ262147:PQZ327680 QAV262147:QAV327680 QKR262147:QKR327680 QUN262147:QUN327680 REJ262147:REJ327680 ROF262147:ROF327680 RYB262147:RYB327680 SHX262147:SHX327680 SRT262147:SRT327680 TBP262147:TBP327680 TLL262147:TLL327680 TVH262147:TVH327680 UFD262147:UFD327680 UOZ262147:UOZ327680 UYV262147:UYV327680 VIR262147:VIR327680 VSN262147:VSN327680 WCJ262147:WCJ327680 WMF262147:WMF327680 WWB262147:WWB327680 T327683:T393216 JP327683:JP393216 TL327683:TL393216 ADH327683:ADH393216 AND327683:AND393216 AWZ327683:AWZ393216 BGV327683:BGV393216 BQR327683:BQR393216 CAN327683:CAN393216 CKJ327683:CKJ393216 CUF327683:CUF393216 DEB327683:DEB393216 DNX327683:DNX393216 DXT327683:DXT393216 EHP327683:EHP393216 ERL327683:ERL393216 FBH327683:FBH393216 FLD327683:FLD393216 FUZ327683:FUZ393216 GEV327683:GEV393216 GOR327683:GOR393216 GYN327683:GYN393216 HIJ327683:HIJ393216 HSF327683:HSF393216 ICB327683:ICB393216 ILX327683:ILX393216 IVT327683:IVT393216 JFP327683:JFP393216 JPL327683:JPL393216 JZH327683:JZH393216 KJD327683:KJD393216 KSZ327683:KSZ393216 LCV327683:LCV393216 LMR327683:LMR393216 LWN327683:LWN393216 MGJ327683:MGJ393216 MQF327683:MQF393216 NAB327683:NAB393216 NJX327683:NJX393216 NTT327683:NTT393216 ODP327683:ODP393216 ONL327683:ONL393216 OXH327683:OXH393216 PHD327683:PHD393216 PQZ327683:PQZ393216 QAV327683:QAV393216 QKR327683:QKR393216 QUN327683:QUN393216 REJ327683:REJ393216 ROF327683:ROF393216 RYB327683:RYB393216 SHX327683:SHX393216 SRT327683:SRT393216 TBP327683:TBP393216 TLL327683:TLL393216 TVH327683:TVH393216 UFD327683:UFD393216 UOZ327683:UOZ393216 UYV327683:UYV393216 VIR327683:VIR393216 VSN327683:VSN393216 WCJ327683:WCJ393216 WMF327683:WMF393216 WWB327683:WWB393216 T393219:T458752 JP393219:JP458752 TL393219:TL458752 ADH393219:ADH458752 AND393219:AND458752 AWZ393219:AWZ458752 BGV393219:BGV458752 BQR393219:BQR458752 CAN393219:CAN458752 CKJ393219:CKJ458752 CUF393219:CUF458752 DEB393219:DEB458752 DNX393219:DNX458752 DXT393219:DXT458752 EHP393219:EHP458752 ERL393219:ERL458752 FBH393219:FBH458752 FLD393219:FLD458752 FUZ393219:FUZ458752 GEV393219:GEV458752 GOR393219:GOR458752 GYN393219:GYN458752 HIJ393219:HIJ458752 HSF393219:HSF458752 ICB393219:ICB458752 ILX393219:ILX458752 IVT393219:IVT458752 JFP393219:JFP458752 JPL393219:JPL458752 JZH393219:JZH458752 KJD393219:KJD458752 KSZ393219:KSZ458752 LCV393219:LCV458752 LMR393219:LMR458752 LWN393219:LWN458752 MGJ393219:MGJ458752 MQF393219:MQF458752 NAB393219:NAB458752 NJX393219:NJX458752 NTT393219:NTT458752 ODP393219:ODP458752 ONL393219:ONL458752 OXH393219:OXH458752 PHD393219:PHD458752 PQZ393219:PQZ458752 QAV393219:QAV458752 QKR393219:QKR458752 QUN393219:QUN458752 REJ393219:REJ458752 ROF393219:ROF458752 RYB393219:RYB458752 SHX393219:SHX458752 SRT393219:SRT458752 TBP393219:TBP458752 TLL393219:TLL458752 TVH393219:TVH458752 UFD393219:UFD458752 UOZ393219:UOZ458752 UYV393219:UYV458752 VIR393219:VIR458752 VSN393219:VSN458752 WCJ393219:WCJ458752 WMF393219:WMF458752 WWB393219:WWB458752 T458755:T524288 JP458755:JP524288 TL458755:TL524288 ADH458755:ADH524288 AND458755:AND524288 AWZ458755:AWZ524288 BGV458755:BGV524288 BQR458755:BQR524288 CAN458755:CAN524288 CKJ458755:CKJ524288 CUF458755:CUF524288 DEB458755:DEB524288 DNX458755:DNX524288 DXT458755:DXT524288 EHP458755:EHP524288 ERL458755:ERL524288 FBH458755:FBH524288 FLD458755:FLD524288 FUZ458755:FUZ524288 GEV458755:GEV524288 GOR458755:GOR524288 GYN458755:GYN524288 HIJ458755:HIJ524288 HSF458755:HSF524288 ICB458755:ICB524288 ILX458755:ILX524288 IVT458755:IVT524288 JFP458755:JFP524288 JPL458755:JPL524288 JZH458755:JZH524288 KJD458755:KJD524288 KSZ458755:KSZ524288 LCV458755:LCV524288 LMR458755:LMR524288 LWN458755:LWN524288 MGJ458755:MGJ524288 MQF458755:MQF524288 NAB458755:NAB524288 NJX458755:NJX524288 NTT458755:NTT524288 ODP458755:ODP524288 ONL458755:ONL524288 OXH458755:OXH524288 PHD458755:PHD524288 PQZ458755:PQZ524288 QAV458755:QAV524288 QKR458755:QKR524288 QUN458755:QUN524288 REJ458755:REJ524288 ROF458755:ROF524288 RYB458755:RYB524288 SHX458755:SHX524288 SRT458755:SRT524288 TBP458755:TBP524288 TLL458755:TLL524288 TVH458755:TVH524288 UFD458755:UFD524288 UOZ458755:UOZ524288 UYV458755:UYV524288 VIR458755:VIR524288 VSN458755:VSN524288 WCJ458755:WCJ524288 WMF458755:WMF524288 WWB458755:WWB524288 T524291:T589824 JP524291:JP589824 TL524291:TL589824 ADH524291:ADH589824 AND524291:AND589824 AWZ524291:AWZ589824 BGV524291:BGV589824 BQR524291:BQR589824 CAN524291:CAN589824 CKJ524291:CKJ589824 CUF524291:CUF589824 DEB524291:DEB589824 DNX524291:DNX589824 DXT524291:DXT589824 EHP524291:EHP589824 ERL524291:ERL589824 FBH524291:FBH589824 FLD524291:FLD589824 FUZ524291:FUZ589824 GEV524291:GEV589824 GOR524291:GOR589824 GYN524291:GYN589824 HIJ524291:HIJ589824 HSF524291:HSF589824 ICB524291:ICB589824 ILX524291:ILX589824 IVT524291:IVT589824 JFP524291:JFP589824 JPL524291:JPL589824 JZH524291:JZH589824 KJD524291:KJD589824 KSZ524291:KSZ589824 LCV524291:LCV589824 LMR524291:LMR589824 LWN524291:LWN589824 MGJ524291:MGJ589824 MQF524291:MQF589824 NAB524291:NAB589824 NJX524291:NJX589824 NTT524291:NTT589824 ODP524291:ODP589824 ONL524291:ONL589824 OXH524291:OXH589824 PHD524291:PHD589824 PQZ524291:PQZ589824 QAV524291:QAV589824 QKR524291:QKR589824 QUN524291:QUN589824 REJ524291:REJ589824 ROF524291:ROF589824 RYB524291:RYB589824 SHX524291:SHX589824 SRT524291:SRT589824 TBP524291:TBP589824 TLL524291:TLL589824 TVH524291:TVH589824 UFD524291:UFD589824 UOZ524291:UOZ589824 UYV524291:UYV589824 VIR524291:VIR589824 VSN524291:VSN589824 WCJ524291:WCJ589824 WMF524291:WMF589824 WWB524291:WWB589824 T589827:T655360 JP589827:JP655360 TL589827:TL655360 ADH589827:ADH655360 AND589827:AND655360 AWZ589827:AWZ655360 BGV589827:BGV655360 BQR589827:BQR655360 CAN589827:CAN655360 CKJ589827:CKJ655360 CUF589827:CUF655360 DEB589827:DEB655360 DNX589827:DNX655360 DXT589827:DXT655360 EHP589827:EHP655360 ERL589827:ERL655360 FBH589827:FBH655360 FLD589827:FLD655360 FUZ589827:FUZ655360 GEV589827:GEV655360 GOR589827:GOR655360 GYN589827:GYN655360 HIJ589827:HIJ655360 HSF589827:HSF655360 ICB589827:ICB655360 ILX589827:ILX655360 IVT589827:IVT655360 JFP589827:JFP655360 JPL589827:JPL655360 JZH589827:JZH655360 KJD589827:KJD655360 KSZ589827:KSZ655360 LCV589827:LCV655360 LMR589827:LMR655360 LWN589827:LWN655360 MGJ589827:MGJ655360 MQF589827:MQF655360 NAB589827:NAB655360 NJX589827:NJX655360 NTT589827:NTT655360 ODP589827:ODP655360 ONL589827:ONL655360 OXH589827:OXH655360 PHD589827:PHD655360 PQZ589827:PQZ655360 QAV589827:QAV655360 QKR589827:QKR655360 QUN589827:QUN655360 REJ589827:REJ655360 ROF589827:ROF655360 RYB589827:RYB655360 SHX589827:SHX655360 SRT589827:SRT655360 TBP589827:TBP655360 TLL589827:TLL655360 TVH589827:TVH655360 UFD589827:UFD655360 UOZ589827:UOZ655360 UYV589827:UYV655360 VIR589827:VIR655360 VSN589827:VSN655360 WCJ589827:WCJ655360 WMF589827:WMF655360 WWB589827:WWB655360 T655363:T720896 JP655363:JP720896 TL655363:TL720896 ADH655363:ADH720896 AND655363:AND720896 AWZ655363:AWZ720896 BGV655363:BGV720896 BQR655363:BQR720896 CAN655363:CAN720896 CKJ655363:CKJ720896 CUF655363:CUF720896 DEB655363:DEB720896 DNX655363:DNX720896 DXT655363:DXT720896 EHP655363:EHP720896 ERL655363:ERL720896 FBH655363:FBH720896 FLD655363:FLD720896 FUZ655363:FUZ720896 GEV655363:GEV720896 GOR655363:GOR720896 GYN655363:GYN720896 HIJ655363:HIJ720896 HSF655363:HSF720896 ICB655363:ICB720896 ILX655363:ILX720896 IVT655363:IVT720896 JFP655363:JFP720896 JPL655363:JPL720896 JZH655363:JZH720896 KJD655363:KJD720896 KSZ655363:KSZ720896 LCV655363:LCV720896 LMR655363:LMR720896 LWN655363:LWN720896 MGJ655363:MGJ720896 MQF655363:MQF720896 NAB655363:NAB720896 NJX655363:NJX720896 NTT655363:NTT720896 ODP655363:ODP720896 ONL655363:ONL720896 OXH655363:OXH720896 PHD655363:PHD720896 PQZ655363:PQZ720896 QAV655363:QAV720896 QKR655363:QKR720896 QUN655363:QUN720896 REJ655363:REJ720896 ROF655363:ROF720896 RYB655363:RYB720896 SHX655363:SHX720896 SRT655363:SRT720896 TBP655363:TBP720896 TLL655363:TLL720896 TVH655363:TVH720896 UFD655363:UFD720896 UOZ655363:UOZ720896 UYV655363:UYV720896 VIR655363:VIR720896 VSN655363:VSN720896 WCJ655363:WCJ720896 WMF655363:WMF720896 WWB655363:WWB720896 T720899:T786432 JP720899:JP786432 TL720899:TL786432 ADH720899:ADH786432 AND720899:AND786432 AWZ720899:AWZ786432 BGV720899:BGV786432 BQR720899:BQR786432 CAN720899:CAN786432 CKJ720899:CKJ786432 CUF720899:CUF786432 DEB720899:DEB786432 DNX720899:DNX786432 DXT720899:DXT786432 EHP720899:EHP786432 ERL720899:ERL786432 FBH720899:FBH786432 FLD720899:FLD786432 FUZ720899:FUZ786432 GEV720899:GEV786432 GOR720899:GOR786432 GYN720899:GYN786432 HIJ720899:HIJ786432 HSF720899:HSF786432 ICB720899:ICB786432 ILX720899:ILX786432 IVT720899:IVT786432 JFP720899:JFP786432 JPL720899:JPL786432 JZH720899:JZH786432 KJD720899:KJD786432 KSZ720899:KSZ786432 LCV720899:LCV786432 LMR720899:LMR786432 LWN720899:LWN786432 MGJ720899:MGJ786432 MQF720899:MQF786432 NAB720899:NAB786432 NJX720899:NJX786432 NTT720899:NTT786432 ODP720899:ODP786432 ONL720899:ONL786432 OXH720899:OXH786432 PHD720899:PHD786432 PQZ720899:PQZ786432 QAV720899:QAV786432 QKR720899:QKR786432 QUN720899:QUN786432 REJ720899:REJ786432 ROF720899:ROF786432 RYB720899:RYB786432 SHX720899:SHX786432 SRT720899:SRT786432 TBP720899:TBP786432 TLL720899:TLL786432 TVH720899:TVH786432 UFD720899:UFD786432 UOZ720899:UOZ786432 UYV720899:UYV786432 VIR720899:VIR786432 VSN720899:VSN786432 WCJ720899:WCJ786432 WMF720899:WMF786432 WWB720899:WWB786432 T786435:T851968 JP786435:JP851968 TL786435:TL851968 ADH786435:ADH851968 AND786435:AND851968 AWZ786435:AWZ851968 BGV786435:BGV851968 BQR786435:BQR851968 CAN786435:CAN851968 CKJ786435:CKJ851968 CUF786435:CUF851968 DEB786435:DEB851968 DNX786435:DNX851968 DXT786435:DXT851968 EHP786435:EHP851968 ERL786435:ERL851968 FBH786435:FBH851968 FLD786435:FLD851968 FUZ786435:FUZ851968 GEV786435:GEV851968 GOR786435:GOR851968 GYN786435:GYN851968 HIJ786435:HIJ851968 HSF786435:HSF851968 ICB786435:ICB851968 ILX786435:ILX851968 IVT786435:IVT851968 JFP786435:JFP851968 JPL786435:JPL851968 JZH786435:JZH851968 KJD786435:KJD851968 KSZ786435:KSZ851968 LCV786435:LCV851968 LMR786435:LMR851968 LWN786435:LWN851968 MGJ786435:MGJ851968 MQF786435:MQF851968 NAB786435:NAB851968 NJX786435:NJX851968 NTT786435:NTT851968 ODP786435:ODP851968 ONL786435:ONL851968 OXH786435:OXH851968 PHD786435:PHD851968 PQZ786435:PQZ851968 QAV786435:QAV851968 QKR786435:QKR851968 QUN786435:QUN851968 REJ786435:REJ851968 ROF786435:ROF851968 RYB786435:RYB851968 SHX786435:SHX851968 SRT786435:SRT851968 TBP786435:TBP851968 TLL786435:TLL851968 TVH786435:TVH851968 UFD786435:UFD851968 UOZ786435:UOZ851968 UYV786435:UYV851968 VIR786435:VIR851968 VSN786435:VSN851968 WCJ786435:WCJ851968 WMF786435:WMF851968 WWB786435:WWB851968 T851971:T917504 JP851971:JP917504 TL851971:TL917504 ADH851971:ADH917504 AND851971:AND917504 AWZ851971:AWZ917504 BGV851971:BGV917504 BQR851971:BQR917504 CAN851971:CAN917504 CKJ851971:CKJ917504 CUF851971:CUF917504 DEB851971:DEB917504 DNX851971:DNX917504 DXT851971:DXT917504 EHP851971:EHP917504 ERL851971:ERL917504 FBH851971:FBH917504 FLD851971:FLD917504 FUZ851971:FUZ917504 GEV851971:GEV917504 GOR851971:GOR917504 GYN851971:GYN917504 HIJ851971:HIJ917504 HSF851971:HSF917504 ICB851971:ICB917504 ILX851971:ILX917504 IVT851971:IVT917504 JFP851971:JFP917504 JPL851971:JPL917504 JZH851971:JZH917504 KJD851971:KJD917504 KSZ851971:KSZ917504 LCV851971:LCV917504 LMR851971:LMR917504 LWN851971:LWN917504 MGJ851971:MGJ917504 MQF851971:MQF917504 NAB851971:NAB917504 NJX851971:NJX917504 NTT851971:NTT917504 ODP851971:ODP917504 ONL851971:ONL917504 OXH851971:OXH917504 PHD851971:PHD917504 PQZ851971:PQZ917504 QAV851971:QAV917504 QKR851971:QKR917504 QUN851971:QUN917504 REJ851971:REJ917504 ROF851971:ROF917504 RYB851971:RYB917504 SHX851971:SHX917504 SRT851971:SRT917504 TBP851971:TBP917504 TLL851971:TLL917504 TVH851971:TVH917504 UFD851971:UFD917504 UOZ851971:UOZ917504 UYV851971:UYV917504 VIR851971:VIR917504 VSN851971:VSN917504 WCJ851971:WCJ917504 WMF851971:WMF917504 WWB851971:WWB917504 T917507:T983040 JP917507:JP983040 TL917507:TL983040 ADH917507:ADH983040 AND917507:AND983040 AWZ917507:AWZ983040 BGV917507:BGV983040 BQR917507:BQR983040 CAN917507:CAN983040 CKJ917507:CKJ983040 CUF917507:CUF983040 DEB917507:DEB983040 DNX917507:DNX983040 DXT917507:DXT983040 EHP917507:EHP983040 ERL917507:ERL983040 FBH917507:FBH983040 FLD917507:FLD983040 FUZ917507:FUZ983040 GEV917507:GEV983040 GOR917507:GOR983040 GYN917507:GYN983040 HIJ917507:HIJ983040 HSF917507:HSF983040 ICB917507:ICB983040 ILX917507:ILX983040 IVT917507:IVT983040 JFP917507:JFP983040 JPL917507:JPL983040 JZH917507:JZH983040 KJD917507:KJD983040 KSZ917507:KSZ983040 LCV917507:LCV983040 LMR917507:LMR983040 LWN917507:LWN983040 MGJ917507:MGJ983040 MQF917507:MQF983040 NAB917507:NAB983040 NJX917507:NJX983040 NTT917507:NTT983040 ODP917507:ODP983040 ONL917507:ONL983040 OXH917507:OXH983040 PHD917507:PHD983040 PQZ917507:PQZ983040 QAV917507:QAV983040 QKR917507:QKR983040 QUN917507:QUN983040 REJ917507:REJ983040 ROF917507:ROF983040 RYB917507:RYB983040 SHX917507:SHX983040 SRT917507:SRT983040 TBP917507:TBP983040 TLL917507:TLL983040 TVH917507:TVH983040 UFD917507:UFD983040 UOZ917507:UOZ983040 UYV917507:UYV983040 VIR917507:VIR983040 VSN917507:VSN983040 WCJ917507:WCJ983040 WMF917507:WMF983040 WWB917507:WWB983040 T983043:T1048576 JP983043:JP1048576 TL983043:TL1048576 ADH983043:ADH1048576 AND983043:AND1048576 AWZ983043:AWZ1048576 BGV983043:BGV1048576 BQR983043:BQR1048576 CAN983043:CAN1048576 CKJ983043:CKJ1048576 CUF983043:CUF1048576 DEB983043:DEB1048576 DNX983043:DNX1048576 DXT983043:DXT1048576 EHP983043:EHP1048576 ERL983043:ERL1048576 FBH983043:FBH1048576 FLD983043:FLD1048576 FUZ983043:FUZ1048576 GEV983043:GEV1048576 GOR983043:GOR1048576 GYN983043:GYN1048576 HIJ983043:HIJ1048576 HSF983043:HSF1048576 ICB983043:ICB1048576 ILX983043:ILX1048576 IVT983043:IVT1048576 JFP983043:JFP1048576 JPL983043:JPL1048576 JZH983043:JZH1048576 KJD983043:KJD1048576 KSZ983043:KSZ1048576 LCV983043:LCV1048576 LMR983043:LMR1048576 LWN983043:LWN1048576 MGJ983043:MGJ1048576 MQF983043:MQF1048576 NAB983043:NAB1048576 NJX983043:NJX1048576 NTT983043:NTT1048576 ODP983043:ODP1048576 ONL983043:ONL1048576 OXH983043:OXH1048576 PHD983043:PHD1048576 PQZ983043:PQZ1048576 QAV983043:QAV1048576 QKR983043:QKR1048576 QUN983043:QUN1048576 REJ983043:REJ1048576 ROF983043:ROF1048576 RYB983043:RYB1048576 SHX983043:SHX1048576 SRT983043:SRT1048576 TBP983043:TBP1048576 TLL983043:TLL1048576 TVH983043:TVH1048576 UFD983043:UFD1048576 UOZ983043:UOZ1048576 UYV983043:UYV1048576 VIR983043:VIR1048576 VSN983043:VSN1048576 WCJ983043:WCJ1048576 WMF983043:WMF1048576 WWB983043:WWB1048576 R3:R65536 JN3:JN65536 TJ3:TJ65536 ADF3:ADF65536 ANB3:ANB65536 AWX3:AWX65536 BGT3:BGT65536 BQP3:BQP65536 CAL3:CAL65536 CKH3:CKH65536 CUD3:CUD65536 DDZ3:DDZ65536 DNV3:DNV65536 DXR3:DXR65536 EHN3:EHN65536 ERJ3:ERJ65536 FBF3:FBF65536 FLB3:FLB65536 FUX3:FUX65536 GET3:GET65536 GOP3:GOP65536 GYL3:GYL65536 HIH3:HIH65536 HSD3:HSD65536 IBZ3:IBZ65536 ILV3:ILV65536 IVR3:IVR65536 JFN3:JFN65536 JPJ3:JPJ65536 JZF3:JZF65536 KJB3:KJB65536 KSX3:KSX65536 LCT3:LCT65536 LMP3:LMP65536 LWL3:LWL65536 MGH3:MGH65536 MQD3:MQD65536 MZZ3:MZZ65536 NJV3:NJV65536 NTR3:NTR65536 ODN3:ODN65536 ONJ3:ONJ65536 OXF3:OXF65536 PHB3:PHB65536 PQX3:PQX65536 QAT3:QAT65536 QKP3:QKP65536 QUL3:QUL65536 REH3:REH65536 ROD3:ROD65536 RXZ3:RXZ65536 SHV3:SHV65536 SRR3:SRR65536 TBN3:TBN65536 TLJ3:TLJ65536 TVF3:TVF65536 UFB3:UFB65536 UOX3:UOX65536 UYT3:UYT65536 VIP3:VIP65536 VSL3:VSL65536 WCH3:WCH65536 WMD3:WMD65536 WVZ3:WVZ65536 R65539:R131072 JN65539:JN131072 TJ65539:TJ131072 ADF65539:ADF131072 ANB65539:ANB131072 AWX65539:AWX131072 BGT65539:BGT131072 BQP65539:BQP131072 CAL65539:CAL131072 CKH65539:CKH131072 CUD65539:CUD131072 DDZ65539:DDZ131072 DNV65539:DNV131072 DXR65539:DXR131072 EHN65539:EHN131072 ERJ65539:ERJ131072 FBF65539:FBF131072 FLB65539:FLB131072 FUX65539:FUX131072 GET65539:GET131072 GOP65539:GOP131072 GYL65539:GYL131072 HIH65539:HIH131072 HSD65539:HSD131072 IBZ65539:IBZ131072 ILV65539:ILV131072 IVR65539:IVR131072 JFN65539:JFN131072 JPJ65539:JPJ131072 JZF65539:JZF131072 KJB65539:KJB131072 KSX65539:KSX131072 LCT65539:LCT131072 LMP65539:LMP131072 LWL65539:LWL131072 MGH65539:MGH131072 MQD65539:MQD131072 MZZ65539:MZZ131072 NJV65539:NJV131072 NTR65539:NTR131072 ODN65539:ODN131072 ONJ65539:ONJ131072 OXF65539:OXF131072 PHB65539:PHB131072 PQX65539:PQX131072 QAT65539:QAT131072 QKP65539:QKP131072 QUL65539:QUL131072 REH65539:REH131072 ROD65539:ROD131072 RXZ65539:RXZ131072 SHV65539:SHV131072 SRR65539:SRR131072 TBN65539:TBN131072 TLJ65539:TLJ131072 TVF65539:TVF131072 UFB65539:UFB131072 UOX65539:UOX131072 UYT65539:UYT131072 VIP65539:VIP131072 VSL65539:VSL131072 WCH65539:WCH131072 WMD65539:WMD131072 WVZ65539:WVZ131072 R131075:R196608 JN131075:JN196608 TJ131075:TJ196608 ADF131075:ADF196608 ANB131075:ANB196608 AWX131075:AWX196608 BGT131075:BGT196608 BQP131075:BQP196608 CAL131075:CAL196608 CKH131075:CKH196608 CUD131075:CUD196608 DDZ131075:DDZ196608 DNV131075:DNV196608 DXR131075:DXR196608 EHN131075:EHN196608 ERJ131075:ERJ196608 FBF131075:FBF196608 FLB131075:FLB196608 FUX131075:FUX196608 GET131075:GET196608 GOP131075:GOP196608 GYL131075:GYL196608 HIH131075:HIH196608 HSD131075:HSD196608 IBZ131075:IBZ196608 ILV131075:ILV196608 IVR131075:IVR196608 JFN131075:JFN196608 JPJ131075:JPJ196608 JZF131075:JZF196608 KJB131075:KJB196608 KSX131075:KSX196608 LCT131075:LCT196608 LMP131075:LMP196608 LWL131075:LWL196608 MGH131075:MGH196608 MQD131075:MQD196608 MZZ131075:MZZ196608 NJV131075:NJV196608 NTR131075:NTR196608 ODN131075:ODN196608 ONJ131075:ONJ196608 OXF131075:OXF196608 PHB131075:PHB196608 PQX131075:PQX196608 QAT131075:QAT196608 QKP131075:QKP196608 QUL131075:QUL196608 REH131075:REH196608 ROD131075:ROD196608 RXZ131075:RXZ196608 SHV131075:SHV196608 SRR131075:SRR196608 TBN131075:TBN196608 TLJ131075:TLJ196608 TVF131075:TVF196608 UFB131075:UFB196608 UOX131075:UOX196608 UYT131075:UYT196608 VIP131075:VIP196608 VSL131075:VSL196608 WCH131075:WCH196608 WMD131075:WMD196608 WVZ131075:WVZ196608 R196611:R262144 JN196611:JN262144 TJ196611:TJ262144 ADF196611:ADF262144 ANB196611:ANB262144 AWX196611:AWX262144 BGT196611:BGT262144 BQP196611:BQP262144 CAL196611:CAL262144 CKH196611:CKH262144 CUD196611:CUD262144 DDZ196611:DDZ262144 DNV196611:DNV262144 DXR196611:DXR262144 EHN196611:EHN262144 ERJ196611:ERJ262144 FBF196611:FBF262144 FLB196611:FLB262144 FUX196611:FUX262144 GET196611:GET262144 GOP196611:GOP262144 GYL196611:GYL262144 HIH196611:HIH262144 HSD196611:HSD262144 IBZ196611:IBZ262144 ILV196611:ILV262144 IVR196611:IVR262144 JFN196611:JFN262144 JPJ196611:JPJ262144 JZF196611:JZF262144 KJB196611:KJB262144 KSX196611:KSX262144 LCT196611:LCT262144 LMP196611:LMP262144 LWL196611:LWL262144 MGH196611:MGH262144 MQD196611:MQD262144 MZZ196611:MZZ262144 NJV196611:NJV262144 NTR196611:NTR262144 ODN196611:ODN262144 ONJ196611:ONJ262144 OXF196611:OXF262144 PHB196611:PHB262144 PQX196611:PQX262144 QAT196611:QAT262144 QKP196611:QKP262144 QUL196611:QUL262144 REH196611:REH262144 ROD196611:ROD262144 RXZ196611:RXZ262144 SHV196611:SHV262144 SRR196611:SRR262144 TBN196611:TBN262144 TLJ196611:TLJ262144 TVF196611:TVF262144 UFB196611:UFB262144 UOX196611:UOX262144 UYT196611:UYT262144 VIP196611:VIP262144 VSL196611:VSL262144 WCH196611:WCH262144 WMD196611:WMD262144 WVZ196611:WVZ262144 R262147:R327680 JN262147:JN327680 TJ262147:TJ327680 ADF262147:ADF327680 ANB262147:ANB327680 AWX262147:AWX327680 BGT262147:BGT327680 BQP262147:BQP327680 CAL262147:CAL327680 CKH262147:CKH327680 CUD262147:CUD327680 DDZ262147:DDZ327680 DNV262147:DNV327680 DXR262147:DXR327680 EHN262147:EHN327680 ERJ262147:ERJ327680 FBF262147:FBF327680 FLB262147:FLB327680 FUX262147:FUX327680 GET262147:GET327680 GOP262147:GOP327680 GYL262147:GYL327680 HIH262147:HIH327680 HSD262147:HSD327680 IBZ262147:IBZ327680 ILV262147:ILV327680 IVR262147:IVR327680 JFN262147:JFN327680 JPJ262147:JPJ327680 JZF262147:JZF327680 KJB262147:KJB327680 KSX262147:KSX327680 LCT262147:LCT327680 LMP262147:LMP327680 LWL262147:LWL327680 MGH262147:MGH327680 MQD262147:MQD327680 MZZ262147:MZZ327680 NJV262147:NJV327680 NTR262147:NTR327680 ODN262147:ODN327680 ONJ262147:ONJ327680 OXF262147:OXF327680 PHB262147:PHB327680 PQX262147:PQX327680 QAT262147:QAT327680 QKP262147:QKP327680 QUL262147:QUL327680 REH262147:REH327680 ROD262147:ROD327680 RXZ262147:RXZ327680 SHV262147:SHV327680 SRR262147:SRR327680 TBN262147:TBN327680 TLJ262147:TLJ327680 TVF262147:TVF327680 UFB262147:UFB327680 UOX262147:UOX327680 UYT262147:UYT327680 VIP262147:VIP327680 VSL262147:VSL327680 WCH262147:WCH327680 WMD262147:WMD327680 WVZ262147:WVZ327680 R327683:R393216 JN327683:JN393216 TJ327683:TJ393216 ADF327683:ADF393216 ANB327683:ANB393216 AWX327683:AWX393216 BGT327683:BGT393216 BQP327683:BQP393216 CAL327683:CAL393216 CKH327683:CKH393216 CUD327683:CUD393216 DDZ327683:DDZ393216 DNV327683:DNV393216 DXR327683:DXR393216 EHN327683:EHN393216 ERJ327683:ERJ393216 FBF327683:FBF393216 FLB327683:FLB393216 FUX327683:FUX393216 GET327683:GET393216 GOP327683:GOP393216 GYL327683:GYL393216 HIH327683:HIH393216 HSD327683:HSD393216 IBZ327683:IBZ393216 ILV327683:ILV393216 IVR327683:IVR393216 JFN327683:JFN393216 JPJ327683:JPJ393216 JZF327683:JZF393216 KJB327683:KJB393216 KSX327683:KSX393216 LCT327683:LCT393216 LMP327683:LMP393216 LWL327683:LWL393216 MGH327683:MGH393216 MQD327683:MQD393216 MZZ327683:MZZ393216 NJV327683:NJV393216 NTR327683:NTR393216 ODN327683:ODN393216 ONJ327683:ONJ393216 OXF327683:OXF393216 PHB327683:PHB393216 PQX327683:PQX393216 QAT327683:QAT393216 QKP327683:QKP393216 QUL327683:QUL393216 REH327683:REH393216 ROD327683:ROD393216 RXZ327683:RXZ393216 SHV327683:SHV393216 SRR327683:SRR393216 TBN327683:TBN393216 TLJ327683:TLJ393216 TVF327683:TVF393216 UFB327683:UFB393216 UOX327683:UOX393216 UYT327683:UYT393216 VIP327683:VIP393216 VSL327683:VSL393216 WCH327683:WCH393216 WMD327683:WMD393216 WVZ327683:WVZ393216 R393219:R458752 JN393219:JN458752 TJ393219:TJ458752 ADF393219:ADF458752 ANB393219:ANB458752 AWX393219:AWX458752 BGT393219:BGT458752 BQP393219:BQP458752 CAL393219:CAL458752 CKH393219:CKH458752 CUD393219:CUD458752 DDZ393219:DDZ458752 DNV393219:DNV458752 DXR393219:DXR458752 EHN393219:EHN458752 ERJ393219:ERJ458752 FBF393219:FBF458752 FLB393219:FLB458752 FUX393219:FUX458752 GET393219:GET458752 GOP393219:GOP458752 GYL393219:GYL458752 HIH393219:HIH458752 HSD393219:HSD458752 IBZ393219:IBZ458752 ILV393219:ILV458752 IVR393219:IVR458752 JFN393219:JFN458752 JPJ393219:JPJ458752 JZF393219:JZF458752 KJB393219:KJB458752 KSX393219:KSX458752 LCT393219:LCT458752 LMP393219:LMP458752 LWL393219:LWL458752 MGH393219:MGH458752 MQD393219:MQD458752 MZZ393219:MZZ458752 NJV393219:NJV458752 NTR393219:NTR458752 ODN393219:ODN458752 ONJ393219:ONJ458752 OXF393219:OXF458752 PHB393219:PHB458752 PQX393219:PQX458752 QAT393219:QAT458752 QKP393219:QKP458752 QUL393219:QUL458752 REH393219:REH458752 ROD393219:ROD458752 RXZ393219:RXZ458752 SHV393219:SHV458752 SRR393219:SRR458752 TBN393219:TBN458752 TLJ393219:TLJ458752 TVF393219:TVF458752 UFB393219:UFB458752 UOX393219:UOX458752 UYT393219:UYT458752 VIP393219:VIP458752 VSL393219:VSL458752 WCH393219:WCH458752 WMD393219:WMD458752 WVZ393219:WVZ458752 R458755:R524288 JN458755:JN524288 TJ458755:TJ524288 ADF458755:ADF524288 ANB458755:ANB524288 AWX458755:AWX524288 BGT458755:BGT524288 BQP458755:BQP524288 CAL458755:CAL524288 CKH458755:CKH524288 CUD458755:CUD524288 DDZ458755:DDZ524288 DNV458755:DNV524288 DXR458755:DXR524288 EHN458755:EHN524288 ERJ458755:ERJ524288 FBF458755:FBF524288 FLB458755:FLB524288 FUX458755:FUX524288 GET458755:GET524288 GOP458755:GOP524288 GYL458755:GYL524288 HIH458755:HIH524288 HSD458755:HSD524288 IBZ458755:IBZ524288 ILV458755:ILV524288 IVR458755:IVR524288 JFN458755:JFN524288 JPJ458755:JPJ524288 JZF458755:JZF524288 KJB458755:KJB524288 KSX458755:KSX524288 LCT458755:LCT524288 LMP458755:LMP524288 LWL458755:LWL524288 MGH458755:MGH524288 MQD458755:MQD524288 MZZ458755:MZZ524288 NJV458755:NJV524288 NTR458755:NTR524288 ODN458755:ODN524288 ONJ458755:ONJ524288 OXF458755:OXF524288 PHB458755:PHB524288 PQX458755:PQX524288 QAT458755:QAT524288 QKP458755:QKP524288 QUL458755:QUL524288 REH458755:REH524288 ROD458755:ROD524288 RXZ458755:RXZ524288 SHV458755:SHV524288 SRR458755:SRR524288 TBN458755:TBN524288 TLJ458755:TLJ524288 TVF458755:TVF524288 UFB458755:UFB524288 UOX458755:UOX524288 UYT458755:UYT524288 VIP458755:VIP524288 VSL458755:VSL524288 WCH458755:WCH524288 WMD458755:WMD524288 WVZ458755:WVZ524288 R524291:R589824 JN524291:JN589824 TJ524291:TJ589824 ADF524291:ADF589824 ANB524291:ANB589824 AWX524291:AWX589824 BGT524291:BGT589824 BQP524291:BQP589824 CAL524291:CAL589824 CKH524291:CKH589824 CUD524291:CUD589824 DDZ524291:DDZ589824 DNV524291:DNV589824 DXR524291:DXR589824 EHN524291:EHN589824 ERJ524291:ERJ589824 FBF524291:FBF589824 FLB524291:FLB589824 FUX524291:FUX589824 GET524291:GET589824 GOP524291:GOP589824 GYL524291:GYL589824 HIH524291:HIH589824 HSD524291:HSD589824 IBZ524291:IBZ589824 ILV524291:ILV589824 IVR524291:IVR589824 JFN524291:JFN589824 JPJ524291:JPJ589824 JZF524291:JZF589824 KJB524291:KJB589824 KSX524291:KSX589824 LCT524291:LCT589824 LMP524291:LMP589824 LWL524291:LWL589824 MGH524291:MGH589824 MQD524291:MQD589824 MZZ524291:MZZ589824 NJV524291:NJV589824 NTR524291:NTR589824 ODN524291:ODN589824 ONJ524291:ONJ589824 OXF524291:OXF589824 PHB524291:PHB589824 PQX524291:PQX589824 QAT524291:QAT589824 QKP524291:QKP589824 QUL524291:QUL589824 REH524291:REH589824 ROD524291:ROD589824 RXZ524291:RXZ589824 SHV524291:SHV589824 SRR524291:SRR589824 TBN524291:TBN589824 TLJ524291:TLJ589824 TVF524291:TVF589824 UFB524291:UFB589824 UOX524291:UOX589824 UYT524291:UYT589824 VIP524291:VIP589824 VSL524291:VSL589824 WCH524291:WCH589824 WMD524291:WMD589824 WVZ524291:WVZ589824 R589827:R655360 JN589827:JN655360 TJ589827:TJ655360 ADF589827:ADF655360 ANB589827:ANB655360 AWX589827:AWX655360 BGT589827:BGT655360 BQP589827:BQP655360 CAL589827:CAL655360 CKH589827:CKH655360 CUD589827:CUD655360 DDZ589827:DDZ655360 DNV589827:DNV655360 DXR589827:DXR655360 EHN589827:EHN655360 ERJ589827:ERJ655360 FBF589827:FBF655360 FLB589827:FLB655360 FUX589827:FUX655360 GET589827:GET655360 GOP589827:GOP655360 GYL589827:GYL655360 HIH589827:HIH655360 HSD589827:HSD655360 IBZ589827:IBZ655360 ILV589827:ILV655360 IVR589827:IVR655360 JFN589827:JFN655360 JPJ589827:JPJ655360 JZF589827:JZF655360 KJB589827:KJB655360 KSX589827:KSX655360 LCT589827:LCT655360 LMP589827:LMP655360 LWL589827:LWL655360 MGH589827:MGH655360 MQD589827:MQD655360 MZZ589827:MZZ655360 NJV589827:NJV655360 NTR589827:NTR655360 ODN589827:ODN655360 ONJ589827:ONJ655360 OXF589827:OXF655360 PHB589827:PHB655360 PQX589827:PQX655360 QAT589827:QAT655360 QKP589827:QKP655360 QUL589827:QUL655360 REH589827:REH655360 ROD589827:ROD655360 RXZ589827:RXZ655360 SHV589827:SHV655360 SRR589827:SRR655360 TBN589827:TBN655360 TLJ589827:TLJ655360 TVF589827:TVF655360 UFB589827:UFB655360 UOX589827:UOX655360 UYT589827:UYT655360 VIP589827:VIP655360 VSL589827:VSL655360 WCH589827:WCH655360 WMD589827:WMD655360 WVZ589827:WVZ655360 R655363:R720896 JN655363:JN720896 TJ655363:TJ720896 ADF655363:ADF720896 ANB655363:ANB720896 AWX655363:AWX720896 BGT655363:BGT720896 BQP655363:BQP720896 CAL655363:CAL720896 CKH655363:CKH720896 CUD655363:CUD720896 DDZ655363:DDZ720896 DNV655363:DNV720896 DXR655363:DXR720896 EHN655363:EHN720896 ERJ655363:ERJ720896 FBF655363:FBF720896 FLB655363:FLB720896 FUX655363:FUX720896 GET655363:GET720896 GOP655363:GOP720896 GYL655363:GYL720896 HIH655363:HIH720896 HSD655363:HSD720896 IBZ655363:IBZ720896 ILV655363:ILV720896 IVR655363:IVR720896 JFN655363:JFN720896 JPJ655363:JPJ720896 JZF655363:JZF720896 KJB655363:KJB720896 KSX655363:KSX720896 LCT655363:LCT720896 LMP655363:LMP720896 LWL655363:LWL720896 MGH655363:MGH720896 MQD655363:MQD720896 MZZ655363:MZZ720896 NJV655363:NJV720896 NTR655363:NTR720896 ODN655363:ODN720896 ONJ655363:ONJ720896 OXF655363:OXF720896 PHB655363:PHB720896 PQX655363:PQX720896 QAT655363:QAT720896 QKP655363:QKP720896 QUL655363:QUL720896 REH655363:REH720896 ROD655363:ROD720896 RXZ655363:RXZ720896 SHV655363:SHV720896 SRR655363:SRR720896 TBN655363:TBN720896 TLJ655363:TLJ720896 TVF655363:TVF720896 UFB655363:UFB720896 UOX655363:UOX720896 UYT655363:UYT720896 VIP655363:VIP720896 VSL655363:VSL720896 WCH655363:WCH720896 WMD655363:WMD720896 WVZ655363:WVZ720896 R720899:R786432 JN720899:JN786432 TJ720899:TJ786432 ADF720899:ADF786432 ANB720899:ANB786432 AWX720899:AWX786432 BGT720899:BGT786432 BQP720899:BQP786432 CAL720899:CAL786432 CKH720899:CKH786432 CUD720899:CUD786432 DDZ720899:DDZ786432 DNV720899:DNV786432 DXR720899:DXR786432 EHN720899:EHN786432 ERJ720899:ERJ786432 FBF720899:FBF786432 FLB720899:FLB786432 FUX720899:FUX786432 GET720899:GET786432 GOP720899:GOP786432 GYL720899:GYL786432 HIH720899:HIH786432 HSD720899:HSD786432 IBZ720899:IBZ786432 ILV720899:ILV786432 IVR720899:IVR786432 JFN720899:JFN786432 JPJ720899:JPJ786432 JZF720899:JZF786432 KJB720899:KJB786432 KSX720899:KSX786432 LCT720899:LCT786432 LMP720899:LMP786432 LWL720899:LWL786432 MGH720899:MGH786432 MQD720899:MQD786432 MZZ720899:MZZ786432 NJV720899:NJV786432 NTR720899:NTR786432 ODN720899:ODN786432 ONJ720899:ONJ786432 OXF720899:OXF786432 PHB720899:PHB786432 PQX720899:PQX786432 QAT720899:QAT786432 QKP720899:QKP786432 QUL720899:QUL786432 REH720899:REH786432 ROD720899:ROD786432 RXZ720899:RXZ786432 SHV720899:SHV786432 SRR720899:SRR786432 TBN720899:TBN786432 TLJ720899:TLJ786432 TVF720899:TVF786432 UFB720899:UFB786432 UOX720899:UOX786432 UYT720899:UYT786432 VIP720899:VIP786432 VSL720899:VSL786432 WCH720899:WCH786432 WMD720899:WMD786432 WVZ720899:WVZ786432 R786435:R851968 JN786435:JN851968 TJ786435:TJ851968 ADF786435:ADF851968 ANB786435:ANB851968 AWX786435:AWX851968 BGT786435:BGT851968 BQP786435:BQP851968 CAL786435:CAL851968 CKH786435:CKH851968 CUD786435:CUD851968 DDZ786435:DDZ851968 DNV786435:DNV851968 DXR786435:DXR851968 EHN786435:EHN851968 ERJ786435:ERJ851968 FBF786435:FBF851968 FLB786435:FLB851968 FUX786435:FUX851968 GET786435:GET851968 GOP786435:GOP851968 GYL786435:GYL851968 HIH786435:HIH851968 HSD786435:HSD851968 IBZ786435:IBZ851968 ILV786435:ILV851968 IVR786435:IVR851968 JFN786435:JFN851968 JPJ786435:JPJ851968 JZF786435:JZF851968 KJB786435:KJB851968 KSX786435:KSX851968 LCT786435:LCT851968 LMP786435:LMP851968 LWL786435:LWL851968 MGH786435:MGH851968 MQD786435:MQD851968 MZZ786435:MZZ851968 NJV786435:NJV851968 NTR786435:NTR851968 ODN786435:ODN851968 ONJ786435:ONJ851968 OXF786435:OXF851968 PHB786435:PHB851968 PQX786435:PQX851968 QAT786435:QAT851968 QKP786435:QKP851968 QUL786435:QUL851968 REH786435:REH851968 ROD786435:ROD851968 RXZ786435:RXZ851968 SHV786435:SHV851968 SRR786435:SRR851968 TBN786435:TBN851968 TLJ786435:TLJ851968 TVF786435:TVF851968 UFB786435:UFB851968 UOX786435:UOX851968 UYT786435:UYT851968 VIP786435:VIP851968 VSL786435:VSL851968 WCH786435:WCH851968 WMD786435:WMD851968 WVZ786435:WVZ851968 R851971:R917504 JN851971:JN917504 TJ851971:TJ917504 ADF851971:ADF917504 ANB851971:ANB917504 AWX851971:AWX917504 BGT851971:BGT917504 BQP851971:BQP917504 CAL851971:CAL917504 CKH851971:CKH917504 CUD851971:CUD917504 DDZ851971:DDZ917504 DNV851971:DNV917504 DXR851971:DXR917504 EHN851971:EHN917504 ERJ851971:ERJ917504 FBF851971:FBF917504 FLB851971:FLB917504 FUX851971:FUX917504 GET851971:GET917504 GOP851971:GOP917504 GYL851971:GYL917504 HIH851971:HIH917504 HSD851971:HSD917504 IBZ851971:IBZ917504 ILV851971:ILV917504 IVR851971:IVR917504 JFN851971:JFN917504 JPJ851971:JPJ917504 JZF851971:JZF917504 KJB851971:KJB917504 KSX851971:KSX917504 LCT851971:LCT917504 LMP851971:LMP917504 LWL851971:LWL917504 MGH851971:MGH917504 MQD851971:MQD917504 MZZ851971:MZZ917504 NJV851971:NJV917504 NTR851971:NTR917504 ODN851971:ODN917504 ONJ851971:ONJ917504 OXF851971:OXF917504 PHB851971:PHB917504 PQX851971:PQX917504 QAT851971:QAT917504 QKP851971:QKP917504 QUL851971:QUL917504 REH851971:REH917504 ROD851971:ROD917504 RXZ851971:RXZ917504 SHV851971:SHV917504 SRR851971:SRR917504 TBN851971:TBN917504 TLJ851971:TLJ917504 TVF851971:TVF917504 UFB851971:UFB917504 UOX851971:UOX917504 UYT851971:UYT917504 VIP851971:VIP917504 VSL851971:VSL917504 WCH851971:WCH917504 WMD851971:WMD917504 WVZ851971:WVZ917504 R917507:R983040 JN917507:JN983040 TJ917507:TJ983040 ADF917507:ADF983040 ANB917507:ANB983040 AWX917507:AWX983040 BGT917507:BGT983040 BQP917507:BQP983040 CAL917507:CAL983040 CKH917507:CKH983040 CUD917507:CUD983040 DDZ917507:DDZ983040 DNV917507:DNV983040 DXR917507:DXR983040 EHN917507:EHN983040 ERJ917507:ERJ983040 FBF917507:FBF983040 FLB917507:FLB983040 FUX917507:FUX983040 GET917507:GET983040 GOP917507:GOP983040 GYL917507:GYL983040 HIH917507:HIH983040 HSD917507:HSD983040 IBZ917507:IBZ983040 ILV917507:ILV983040 IVR917507:IVR983040 JFN917507:JFN983040 JPJ917507:JPJ983040 JZF917507:JZF983040 KJB917507:KJB983040 KSX917507:KSX983040 LCT917507:LCT983040 LMP917507:LMP983040 LWL917507:LWL983040 MGH917507:MGH983040 MQD917507:MQD983040 MZZ917507:MZZ983040 NJV917507:NJV983040 NTR917507:NTR983040 ODN917507:ODN983040 ONJ917507:ONJ983040 OXF917507:OXF983040 PHB917507:PHB983040 PQX917507:PQX983040 QAT917507:QAT983040 QKP917507:QKP983040 QUL917507:QUL983040 REH917507:REH983040 ROD917507:ROD983040 RXZ917507:RXZ983040 SHV917507:SHV983040 SRR917507:SRR983040 TBN917507:TBN983040 TLJ917507:TLJ983040 TVF917507:TVF983040 UFB917507:UFB983040 UOX917507:UOX983040 UYT917507:UYT983040 VIP917507:VIP983040 VSL917507:VSL983040 WCH917507:WCH983040 WMD917507:WMD983040 WVZ917507:WVZ983040 R983043:R1048576 JN983043:JN1048576 TJ983043:TJ1048576 ADF983043:ADF1048576 ANB983043:ANB1048576 AWX983043:AWX1048576 BGT983043:BGT1048576 BQP983043:BQP1048576 CAL983043:CAL1048576 CKH983043:CKH1048576 CUD983043:CUD1048576 DDZ983043:DDZ1048576 DNV983043:DNV1048576 DXR983043:DXR1048576 EHN983043:EHN1048576 ERJ983043:ERJ1048576 FBF983043:FBF1048576 FLB983043:FLB1048576 FUX983043:FUX1048576 GET983043:GET1048576 GOP983043:GOP1048576 GYL983043:GYL1048576 HIH983043:HIH1048576 HSD983043:HSD1048576 IBZ983043:IBZ1048576 ILV983043:ILV1048576 IVR983043:IVR1048576 JFN983043:JFN1048576 JPJ983043:JPJ1048576 JZF983043:JZF1048576 KJB983043:KJB1048576 KSX983043:KSX1048576 LCT983043:LCT1048576 LMP983043:LMP1048576 LWL983043:LWL1048576 MGH983043:MGH1048576 MQD983043:MQD1048576 MZZ983043:MZZ1048576 NJV983043:NJV1048576 NTR983043:NTR1048576 ODN983043:ODN1048576 ONJ983043:ONJ1048576 OXF983043:OXF1048576 PHB983043:PHB1048576 PQX983043:PQX1048576 QAT983043:QAT1048576 QKP983043:QKP1048576 QUL983043:QUL1048576 REH983043:REH1048576 ROD983043:ROD1048576 RXZ983043:RXZ1048576 SHV983043:SHV1048576 SRR983043:SRR1048576 TBN983043:TBN1048576 TLJ983043:TLJ1048576 TVF983043:TVF1048576 UFB983043:UFB1048576 UOX983043:UOX1048576 UYT983043:UYT1048576 VIP983043:VIP1048576 VSL983043:VSL1048576 WCH983043:WCH1048576 WMD983043:WMD1048576 WVZ983043:WVZ1048576 WVO983043:WVO1048576 JC3:JC65536 SY3:SY65536 ACU3:ACU65536 AMQ3:AMQ65536 AWM3:AWM65536 BGI3:BGI65536 BQE3:BQE65536 CAA3:CAA65536 CJW3:CJW65536 CTS3:CTS65536 DDO3:DDO65536 DNK3:DNK65536 DXG3:DXG65536 EHC3:EHC65536 EQY3:EQY65536 FAU3:FAU65536 FKQ3:FKQ65536 FUM3:FUM65536 GEI3:GEI65536 GOE3:GOE65536 GYA3:GYA65536 HHW3:HHW65536 HRS3:HRS65536 IBO3:IBO65536 ILK3:ILK65536 IVG3:IVG65536 JFC3:JFC65536 JOY3:JOY65536 JYU3:JYU65536 KIQ3:KIQ65536 KSM3:KSM65536 LCI3:LCI65536 LME3:LME65536 LWA3:LWA65536 MFW3:MFW65536 MPS3:MPS65536 MZO3:MZO65536 NJK3:NJK65536 NTG3:NTG65536 ODC3:ODC65536 OMY3:OMY65536 OWU3:OWU65536 PGQ3:PGQ65536 PQM3:PQM65536 QAI3:QAI65536 QKE3:QKE65536 QUA3:QUA65536 RDW3:RDW65536 RNS3:RNS65536 RXO3:RXO65536 SHK3:SHK65536 SRG3:SRG65536 TBC3:TBC65536 TKY3:TKY65536 TUU3:TUU65536 UEQ3:UEQ65536 UOM3:UOM65536 UYI3:UYI65536 VIE3:VIE65536 VSA3:VSA65536 WBW3:WBW65536 WLS3:WLS65536 WVO3:WVO65536 G65539:G131072 JC65539:JC131072 SY65539:SY131072 ACU65539:ACU131072 AMQ65539:AMQ131072 AWM65539:AWM131072 BGI65539:BGI131072 BQE65539:BQE131072 CAA65539:CAA131072 CJW65539:CJW131072 CTS65539:CTS131072 DDO65539:DDO131072 DNK65539:DNK131072 DXG65539:DXG131072 EHC65539:EHC131072 EQY65539:EQY131072 FAU65539:FAU131072 FKQ65539:FKQ131072 FUM65539:FUM131072 GEI65539:GEI131072 GOE65539:GOE131072 GYA65539:GYA131072 HHW65539:HHW131072 HRS65539:HRS131072 IBO65539:IBO131072 ILK65539:ILK131072 IVG65539:IVG131072 JFC65539:JFC131072 JOY65539:JOY131072 JYU65539:JYU131072 KIQ65539:KIQ131072 KSM65539:KSM131072 LCI65539:LCI131072 LME65539:LME131072 LWA65539:LWA131072 MFW65539:MFW131072 MPS65539:MPS131072 MZO65539:MZO131072 NJK65539:NJK131072 NTG65539:NTG131072 ODC65539:ODC131072 OMY65539:OMY131072 OWU65539:OWU131072 PGQ65539:PGQ131072 PQM65539:PQM131072 QAI65539:QAI131072 QKE65539:QKE131072 QUA65539:QUA131072 RDW65539:RDW131072 RNS65539:RNS131072 RXO65539:RXO131072 SHK65539:SHK131072 SRG65539:SRG131072 TBC65539:TBC131072 TKY65539:TKY131072 TUU65539:TUU131072 UEQ65539:UEQ131072 UOM65539:UOM131072 UYI65539:UYI131072 VIE65539:VIE131072 VSA65539:VSA131072 WBW65539:WBW131072 WLS65539:WLS131072 WVO65539:WVO131072 G131075:G196608 JC131075:JC196608 SY131075:SY196608 ACU131075:ACU196608 AMQ131075:AMQ196608 AWM131075:AWM196608 BGI131075:BGI196608 BQE131075:BQE196608 CAA131075:CAA196608 CJW131075:CJW196608 CTS131075:CTS196608 DDO131075:DDO196608 DNK131075:DNK196608 DXG131075:DXG196608 EHC131075:EHC196608 EQY131075:EQY196608 FAU131075:FAU196608 FKQ131075:FKQ196608 FUM131075:FUM196608 GEI131075:GEI196608 GOE131075:GOE196608 GYA131075:GYA196608 HHW131075:HHW196608 HRS131075:HRS196608 IBO131075:IBO196608 ILK131075:ILK196608 IVG131075:IVG196608 JFC131075:JFC196608 JOY131075:JOY196608 JYU131075:JYU196608 KIQ131075:KIQ196608 KSM131075:KSM196608 LCI131075:LCI196608 LME131075:LME196608 LWA131075:LWA196608 MFW131075:MFW196608 MPS131075:MPS196608 MZO131075:MZO196608 NJK131075:NJK196608 NTG131075:NTG196608 ODC131075:ODC196608 OMY131075:OMY196608 OWU131075:OWU196608 PGQ131075:PGQ196608 PQM131075:PQM196608 QAI131075:QAI196608 QKE131075:QKE196608 QUA131075:QUA196608 RDW131075:RDW196608 RNS131075:RNS196608 RXO131075:RXO196608 SHK131075:SHK196608 SRG131075:SRG196608 TBC131075:TBC196608 TKY131075:TKY196608 TUU131075:TUU196608 UEQ131075:UEQ196608 UOM131075:UOM196608 UYI131075:UYI196608 VIE131075:VIE196608 VSA131075:VSA196608 WBW131075:WBW196608 WLS131075:WLS196608 WVO131075:WVO196608 G196611:G262144 JC196611:JC262144 SY196611:SY262144 ACU196611:ACU262144 AMQ196611:AMQ262144 AWM196611:AWM262144 BGI196611:BGI262144 BQE196611:BQE262144 CAA196611:CAA262144 CJW196611:CJW262144 CTS196611:CTS262144 DDO196611:DDO262144 DNK196611:DNK262144 DXG196611:DXG262144 EHC196611:EHC262144 EQY196611:EQY262144 FAU196611:FAU262144 FKQ196611:FKQ262144 FUM196611:FUM262144 GEI196611:GEI262144 GOE196611:GOE262144 GYA196611:GYA262144 HHW196611:HHW262144 HRS196611:HRS262144 IBO196611:IBO262144 ILK196611:ILK262144 IVG196611:IVG262144 JFC196611:JFC262144 JOY196611:JOY262144 JYU196611:JYU262144 KIQ196611:KIQ262144 KSM196611:KSM262144 LCI196611:LCI262144 LME196611:LME262144 LWA196611:LWA262144 MFW196611:MFW262144 MPS196611:MPS262144 MZO196611:MZO262144 NJK196611:NJK262144 NTG196611:NTG262144 ODC196611:ODC262144 OMY196611:OMY262144 OWU196611:OWU262144 PGQ196611:PGQ262144 PQM196611:PQM262144 QAI196611:QAI262144 QKE196611:QKE262144 QUA196611:QUA262144 RDW196611:RDW262144 RNS196611:RNS262144 RXO196611:RXO262144 SHK196611:SHK262144 SRG196611:SRG262144 TBC196611:TBC262144 TKY196611:TKY262144 TUU196611:TUU262144 UEQ196611:UEQ262144 UOM196611:UOM262144 UYI196611:UYI262144 VIE196611:VIE262144 VSA196611:VSA262144 WBW196611:WBW262144 WLS196611:WLS262144 WVO196611:WVO262144 G262147:G327680 JC262147:JC327680 SY262147:SY327680 ACU262147:ACU327680 AMQ262147:AMQ327680 AWM262147:AWM327680 BGI262147:BGI327680 BQE262147:BQE327680 CAA262147:CAA327680 CJW262147:CJW327680 CTS262147:CTS327680 DDO262147:DDO327680 DNK262147:DNK327680 DXG262147:DXG327680 EHC262147:EHC327680 EQY262147:EQY327680 FAU262147:FAU327680 FKQ262147:FKQ327680 FUM262147:FUM327680 GEI262147:GEI327680 GOE262147:GOE327680 GYA262147:GYA327680 HHW262147:HHW327680 HRS262147:HRS327680 IBO262147:IBO327680 ILK262147:ILK327680 IVG262147:IVG327680 JFC262147:JFC327680 JOY262147:JOY327680 JYU262147:JYU327680 KIQ262147:KIQ327680 KSM262147:KSM327680 LCI262147:LCI327680 LME262147:LME327680 LWA262147:LWA327680 MFW262147:MFW327680 MPS262147:MPS327680 MZO262147:MZO327680 NJK262147:NJK327680 NTG262147:NTG327680 ODC262147:ODC327680 OMY262147:OMY327680 OWU262147:OWU327680 PGQ262147:PGQ327680 PQM262147:PQM327680 QAI262147:QAI327680 QKE262147:QKE327680 QUA262147:QUA327680 RDW262147:RDW327680 RNS262147:RNS327680 RXO262147:RXO327680 SHK262147:SHK327680 SRG262147:SRG327680 TBC262147:TBC327680 TKY262147:TKY327680 TUU262147:TUU327680 UEQ262147:UEQ327680 UOM262147:UOM327680 UYI262147:UYI327680 VIE262147:VIE327680 VSA262147:VSA327680 WBW262147:WBW327680 WLS262147:WLS327680 WVO262147:WVO327680 G327683:G393216 JC327683:JC393216 SY327683:SY393216 ACU327683:ACU393216 AMQ327683:AMQ393216 AWM327683:AWM393216 BGI327683:BGI393216 BQE327683:BQE393216 CAA327683:CAA393216 CJW327683:CJW393216 CTS327683:CTS393216 DDO327683:DDO393216 DNK327683:DNK393216 DXG327683:DXG393216 EHC327683:EHC393216 EQY327683:EQY393216 FAU327683:FAU393216 FKQ327683:FKQ393216 FUM327683:FUM393216 GEI327683:GEI393216 GOE327683:GOE393216 GYA327683:GYA393216 HHW327683:HHW393216 HRS327683:HRS393216 IBO327683:IBO393216 ILK327683:ILK393216 IVG327683:IVG393216 JFC327683:JFC393216 JOY327683:JOY393216 JYU327683:JYU393216 KIQ327683:KIQ393216 KSM327683:KSM393216 LCI327683:LCI393216 LME327683:LME393216 LWA327683:LWA393216 MFW327683:MFW393216 MPS327683:MPS393216 MZO327683:MZO393216 NJK327683:NJK393216 NTG327683:NTG393216 ODC327683:ODC393216 OMY327683:OMY393216 OWU327683:OWU393216 PGQ327683:PGQ393216 PQM327683:PQM393216 QAI327683:QAI393216 QKE327683:QKE393216 QUA327683:QUA393216 RDW327683:RDW393216 RNS327683:RNS393216 RXO327683:RXO393216 SHK327683:SHK393216 SRG327683:SRG393216 TBC327683:TBC393216 TKY327683:TKY393216 TUU327683:TUU393216 UEQ327683:UEQ393216 UOM327683:UOM393216 UYI327683:UYI393216 VIE327683:VIE393216 VSA327683:VSA393216 WBW327683:WBW393216 WLS327683:WLS393216 WVO327683:WVO393216 G393219:G458752 JC393219:JC458752 SY393219:SY458752 ACU393219:ACU458752 AMQ393219:AMQ458752 AWM393219:AWM458752 BGI393219:BGI458752 BQE393219:BQE458752 CAA393219:CAA458752 CJW393219:CJW458752 CTS393219:CTS458752 DDO393219:DDO458752 DNK393219:DNK458752 DXG393219:DXG458752 EHC393219:EHC458752 EQY393219:EQY458752 FAU393219:FAU458752 FKQ393219:FKQ458752 FUM393219:FUM458752 GEI393219:GEI458752 GOE393219:GOE458752 GYA393219:GYA458752 HHW393219:HHW458752 HRS393219:HRS458752 IBO393219:IBO458752 ILK393219:ILK458752 IVG393219:IVG458752 JFC393219:JFC458752 JOY393219:JOY458752 JYU393219:JYU458752 KIQ393219:KIQ458752 KSM393219:KSM458752 LCI393219:LCI458752 LME393219:LME458752 LWA393219:LWA458752 MFW393219:MFW458752 MPS393219:MPS458752 MZO393219:MZO458752 NJK393219:NJK458752 NTG393219:NTG458752 ODC393219:ODC458752 OMY393219:OMY458752 OWU393219:OWU458752 PGQ393219:PGQ458752 PQM393219:PQM458752 QAI393219:QAI458752 QKE393219:QKE458752 QUA393219:QUA458752 RDW393219:RDW458752 RNS393219:RNS458752 RXO393219:RXO458752 SHK393219:SHK458752 SRG393219:SRG458752 TBC393219:TBC458752 TKY393219:TKY458752 TUU393219:TUU458752 UEQ393219:UEQ458752 UOM393219:UOM458752 UYI393219:UYI458752 VIE393219:VIE458752 VSA393219:VSA458752 WBW393219:WBW458752 WLS393219:WLS458752 WVO393219:WVO458752 G458755:G524288 JC458755:JC524288 SY458755:SY524288 ACU458755:ACU524288 AMQ458755:AMQ524288 AWM458755:AWM524288 BGI458755:BGI524288 BQE458755:BQE524288 CAA458755:CAA524288 CJW458755:CJW524288 CTS458755:CTS524288 DDO458755:DDO524288 DNK458755:DNK524288 DXG458755:DXG524288 EHC458755:EHC524288 EQY458755:EQY524288 FAU458755:FAU524288 FKQ458755:FKQ524288 FUM458755:FUM524288 GEI458755:GEI524288 GOE458755:GOE524288 GYA458755:GYA524288 HHW458755:HHW524288 HRS458755:HRS524288 IBO458755:IBO524288 ILK458755:ILK524288 IVG458755:IVG524288 JFC458755:JFC524288 JOY458755:JOY524288 JYU458755:JYU524288 KIQ458755:KIQ524288 KSM458755:KSM524288 LCI458755:LCI524288 LME458755:LME524288 LWA458755:LWA524288 MFW458755:MFW524288 MPS458755:MPS524288 MZO458755:MZO524288 NJK458755:NJK524288 NTG458755:NTG524288 ODC458755:ODC524288 OMY458755:OMY524288 OWU458755:OWU524288 PGQ458755:PGQ524288 PQM458755:PQM524288 QAI458755:QAI524288 QKE458755:QKE524288 QUA458755:QUA524288 RDW458755:RDW524288 RNS458755:RNS524288 RXO458755:RXO524288 SHK458755:SHK524288 SRG458755:SRG524288 TBC458755:TBC524288 TKY458755:TKY524288 TUU458755:TUU524288 UEQ458755:UEQ524288 UOM458755:UOM524288 UYI458755:UYI524288 VIE458755:VIE524288 VSA458755:VSA524288 WBW458755:WBW524288 WLS458755:WLS524288 WVO458755:WVO524288 G524291:G589824 JC524291:JC589824 SY524291:SY589824 ACU524291:ACU589824 AMQ524291:AMQ589824 AWM524291:AWM589824 BGI524291:BGI589824 BQE524291:BQE589824 CAA524291:CAA589824 CJW524291:CJW589824 CTS524291:CTS589824 DDO524291:DDO589824 DNK524291:DNK589824 DXG524291:DXG589824 EHC524291:EHC589824 EQY524291:EQY589824 FAU524291:FAU589824 FKQ524291:FKQ589824 FUM524291:FUM589824 GEI524291:GEI589824 GOE524291:GOE589824 GYA524291:GYA589824 HHW524291:HHW589824 HRS524291:HRS589824 IBO524291:IBO589824 ILK524291:ILK589824 IVG524291:IVG589824 JFC524291:JFC589824 JOY524291:JOY589824 JYU524291:JYU589824 KIQ524291:KIQ589824 KSM524291:KSM589824 LCI524291:LCI589824 LME524291:LME589824 LWA524291:LWA589824 MFW524291:MFW589824 MPS524291:MPS589824 MZO524291:MZO589824 NJK524291:NJK589824 NTG524291:NTG589824 ODC524291:ODC589824 OMY524291:OMY589824 OWU524291:OWU589824 PGQ524291:PGQ589824 PQM524291:PQM589824 QAI524291:QAI589824 QKE524291:QKE589824 QUA524291:QUA589824 RDW524291:RDW589824 RNS524291:RNS589824 RXO524291:RXO589824 SHK524291:SHK589824 SRG524291:SRG589824 TBC524291:TBC589824 TKY524291:TKY589824 TUU524291:TUU589824 UEQ524291:UEQ589824 UOM524291:UOM589824 UYI524291:UYI589824 VIE524291:VIE589824 VSA524291:VSA589824 WBW524291:WBW589824 WLS524291:WLS589824 WVO524291:WVO589824 G589827:G655360 JC589827:JC655360 SY589827:SY655360 ACU589827:ACU655360 AMQ589827:AMQ655360 AWM589827:AWM655360 BGI589827:BGI655360 BQE589827:BQE655360 CAA589827:CAA655360 CJW589827:CJW655360 CTS589827:CTS655360 DDO589827:DDO655360 DNK589827:DNK655360 DXG589827:DXG655360 EHC589827:EHC655360 EQY589827:EQY655360 FAU589827:FAU655360 FKQ589827:FKQ655360 FUM589827:FUM655360 GEI589827:GEI655360 GOE589827:GOE655360 GYA589827:GYA655360 HHW589827:HHW655360 HRS589827:HRS655360 IBO589827:IBO655360 ILK589827:ILK655360 IVG589827:IVG655360 JFC589827:JFC655360 JOY589827:JOY655360 JYU589827:JYU655360 KIQ589827:KIQ655360 KSM589827:KSM655360 LCI589827:LCI655360 LME589827:LME655360 LWA589827:LWA655360 MFW589827:MFW655360 MPS589827:MPS655360 MZO589827:MZO655360 NJK589827:NJK655360 NTG589827:NTG655360 ODC589827:ODC655360 OMY589827:OMY655360 OWU589827:OWU655360 PGQ589827:PGQ655360 PQM589827:PQM655360 QAI589827:QAI655360 QKE589827:QKE655360 QUA589827:QUA655360 RDW589827:RDW655360 RNS589827:RNS655360 RXO589827:RXO655360 SHK589827:SHK655360 SRG589827:SRG655360 TBC589827:TBC655360 TKY589827:TKY655360 TUU589827:TUU655360 UEQ589827:UEQ655360 UOM589827:UOM655360 UYI589827:UYI655360 VIE589827:VIE655360 VSA589827:VSA655360 WBW589827:WBW655360 WLS589827:WLS655360 WVO589827:WVO655360 G655363:G720896 JC655363:JC720896 SY655363:SY720896 ACU655363:ACU720896 AMQ655363:AMQ720896 AWM655363:AWM720896 BGI655363:BGI720896 BQE655363:BQE720896 CAA655363:CAA720896 CJW655363:CJW720896 CTS655363:CTS720896 DDO655363:DDO720896 DNK655363:DNK720896 DXG655363:DXG720896 EHC655363:EHC720896 EQY655363:EQY720896 FAU655363:FAU720896 FKQ655363:FKQ720896 FUM655363:FUM720896 GEI655363:GEI720896 GOE655363:GOE720896 GYA655363:GYA720896 HHW655363:HHW720896 HRS655363:HRS720896 IBO655363:IBO720896 ILK655363:ILK720896 IVG655363:IVG720896 JFC655363:JFC720896 JOY655363:JOY720896 JYU655363:JYU720896 KIQ655363:KIQ720896 KSM655363:KSM720896 LCI655363:LCI720896 LME655363:LME720896 LWA655363:LWA720896 MFW655363:MFW720896 MPS655363:MPS720896 MZO655363:MZO720896 NJK655363:NJK720896 NTG655363:NTG720896 ODC655363:ODC720896 OMY655363:OMY720896 OWU655363:OWU720896 PGQ655363:PGQ720896 PQM655363:PQM720896 QAI655363:QAI720896 QKE655363:QKE720896 QUA655363:QUA720896 RDW655363:RDW720896 RNS655363:RNS720896 RXO655363:RXO720896 SHK655363:SHK720896 SRG655363:SRG720896 TBC655363:TBC720896 TKY655363:TKY720896 TUU655363:TUU720896 UEQ655363:UEQ720896 UOM655363:UOM720896 UYI655363:UYI720896 VIE655363:VIE720896 VSA655363:VSA720896 WBW655363:WBW720896 WLS655363:WLS720896 WVO655363:WVO720896 G720899:G786432 JC720899:JC786432 SY720899:SY786432 ACU720899:ACU786432 AMQ720899:AMQ786432 AWM720899:AWM786432 BGI720899:BGI786432 BQE720899:BQE786432 CAA720899:CAA786432 CJW720899:CJW786432 CTS720899:CTS786432 DDO720899:DDO786432 DNK720899:DNK786432 DXG720899:DXG786432 EHC720899:EHC786432 EQY720899:EQY786432 FAU720899:FAU786432 FKQ720899:FKQ786432 FUM720899:FUM786432 GEI720899:GEI786432 GOE720899:GOE786432 GYA720899:GYA786432 HHW720899:HHW786432 HRS720899:HRS786432 IBO720899:IBO786432 ILK720899:ILK786432 IVG720899:IVG786432 JFC720899:JFC786432 JOY720899:JOY786432 JYU720899:JYU786432 KIQ720899:KIQ786432 KSM720899:KSM786432 LCI720899:LCI786432 LME720899:LME786432 LWA720899:LWA786432 MFW720899:MFW786432 MPS720899:MPS786432 MZO720899:MZO786432 NJK720899:NJK786432 NTG720899:NTG786432 ODC720899:ODC786432 OMY720899:OMY786432 OWU720899:OWU786432 PGQ720899:PGQ786432 PQM720899:PQM786432 QAI720899:QAI786432 QKE720899:QKE786432 QUA720899:QUA786432 RDW720899:RDW786432 RNS720899:RNS786432 RXO720899:RXO786432 SHK720899:SHK786432 SRG720899:SRG786432 TBC720899:TBC786432 TKY720899:TKY786432 TUU720899:TUU786432 UEQ720899:UEQ786432 UOM720899:UOM786432 UYI720899:UYI786432 VIE720899:VIE786432 VSA720899:VSA786432 WBW720899:WBW786432 WLS720899:WLS786432 WVO720899:WVO786432 G786435:G851968 JC786435:JC851968 SY786435:SY851968 ACU786435:ACU851968 AMQ786435:AMQ851968 AWM786435:AWM851968 BGI786435:BGI851968 BQE786435:BQE851968 CAA786435:CAA851968 CJW786435:CJW851968 CTS786435:CTS851968 DDO786435:DDO851968 DNK786435:DNK851968 DXG786435:DXG851968 EHC786435:EHC851968 EQY786435:EQY851968 FAU786435:FAU851968 FKQ786435:FKQ851968 FUM786435:FUM851968 GEI786435:GEI851968 GOE786435:GOE851968 GYA786435:GYA851968 HHW786435:HHW851968 HRS786435:HRS851968 IBO786435:IBO851968 ILK786435:ILK851968 IVG786435:IVG851968 JFC786435:JFC851968 JOY786435:JOY851968 JYU786435:JYU851968 KIQ786435:KIQ851968 KSM786435:KSM851968 LCI786435:LCI851968 LME786435:LME851968 LWA786435:LWA851968 MFW786435:MFW851968 MPS786435:MPS851968 MZO786435:MZO851968 NJK786435:NJK851968 NTG786435:NTG851968 ODC786435:ODC851968 OMY786435:OMY851968 OWU786435:OWU851968 PGQ786435:PGQ851968 PQM786435:PQM851968 QAI786435:QAI851968 QKE786435:QKE851968 QUA786435:QUA851968 RDW786435:RDW851968 RNS786435:RNS851968 RXO786435:RXO851968 SHK786435:SHK851968 SRG786435:SRG851968 TBC786435:TBC851968 TKY786435:TKY851968 TUU786435:TUU851968 UEQ786435:UEQ851968 UOM786435:UOM851968 UYI786435:UYI851968 VIE786435:VIE851968 VSA786435:VSA851968 WBW786435:WBW851968 WLS786435:WLS851968 WVO786435:WVO851968 G851971:G917504 JC851971:JC917504 SY851971:SY917504 ACU851971:ACU917504 AMQ851971:AMQ917504 AWM851971:AWM917504 BGI851971:BGI917504 BQE851971:BQE917504 CAA851971:CAA917504 CJW851971:CJW917504 CTS851971:CTS917504 DDO851971:DDO917504 DNK851971:DNK917504 DXG851971:DXG917504 EHC851971:EHC917504 EQY851971:EQY917504 FAU851971:FAU917504 FKQ851971:FKQ917504 FUM851971:FUM917504 GEI851971:GEI917504 GOE851971:GOE917504 GYA851971:GYA917504 HHW851971:HHW917504 HRS851971:HRS917504 IBO851971:IBO917504 ILK851971:ILK917504 IVG851971:IVG917504 JFC851971:JFC917504 JOY851971:JOY917504 JYU851971:JYU917504 KIQ851971:KIQ917504 KSM851971:KSM917504 LCI851971:LCI917504 LME851971:LME917504 LWA851971:LWA917504 MFW851971:MFW917504 MPS851971:MPS917504 MZO851971:MZO917504 NJK851971:NJK917504 NTG851971:NTG917504 ODC851971:ODC917504 OMY851971:OMY917504 OWU851971:OWU917504 PGQ851971:PGQ917504 PQM851971:PQM917504 QAI851971:QAI917504 QKE851971:QKE917504 QUA851971:QUA917504 RDW851971:RDW917504 RNS851971:RNS917504 RXO851971:RXO917504 SHK851971:SHK917504 SRG851971:SRG917504 TBC851971:TBC917504 TKY851971:TKY917504 TUU851971:TUU917504 UEQ851971:UEQ917504 UOM851971:UOM917504 UYI851971:UYI917504 VIE851971:VIE917504 VSA851971:VSA917504 WBW851971:WBW917504 WLS851971:WLS917504 WVO851971:WVO917504 G917507:G983040 JC917507:JC983040 SY917507:SY983040 ACU917507:ACU983040 AMQ917507:AMQ983040 AWM917507:AWM983040 BGI917507:BGI983040 BQE917507:BQE983040 CAA917507:CAA983040 CJW917507:CJW983040 CTS917507:CTS983040 DDO917507:DDO983040 DNK917507:DNK983040 DXG917507:DXG983040 EHC917507:EHC983040 EQY917507:EQY983040 FAU917507:FAU983040 FKQ917507:FKQ983040 FUM917507:FUM983040 GEI917507:GEI983040 GOE917507:GOE983040 GYA917507:GYA983040 HHW917507:HHW983040 HRS917507:HRS983040 IBO917507:IBO983040 ILK917507:ILK983040 IVG917507:IVG983040 JFC917507:JFC983040 JOY917507:JOY983040 JYU917507:JYU983040 KIQ917507:KIQ983040 KSM917507:KSM983040 LCI917507:LCI983040 LME917507:LME983040 LWA917507:LWA983040 MFW917507:MFW983040 MPS917507:MPS983040 MZO917507:MZO983040 NJK917507:NJK983040 NTG917507:NTG983040 ODC917507:ODC983040 OMY917507:OMY983040 OWU917507:OWU983040 PGQ917507:PGQ983040 PQM917507:PQM983040 QAI917507:QAI983040 QKE917507:QKE983040 QUA917507:QUA983040 RDW917507:RDW983040 RNS917507:RNS983040 RXO917507:RXO983040 SHK917507:SHK983040 SRG917507:SRG983040 TBC917507:TBC983040 TKY917507:TKY983040 TUU917507:TUU983040 UEQ917507:UEQ983040 UOM917507:UOM983040 UYI917507:UYI983040 VIE917507:VIE983040 VSA917507:VSA983040 WBW917507:WBW983040 WLS917507:WLS983040 WVO917507:WVO983040 G983043:G1048576 JC983043:JC1048576 SY983043:SY1048576 ACU983043:ACU1048576 AMQ983043:AMQ1048576 AWM983043:AWM1048576 BGI983043:BGI1048576 BQE983043:BQE1048576 CAA983043:CAA1048576 CJW983043:CJW1048576 CTS983043:CTS1048576 DDO983043:DDO1048576 DNK983043:DNK1048576 DXG983043:DXG1048576 EHC983043:EHC1048576 EQY983043:EQY1048576 FAU983043:FAU1048576 FKQ983043:FKQ1048576 FUM983043:FUM1048576 GEI983043:GEI1048576 GOE983043:GOE1048576 GYA983043:GYA1048576 HHW983043:HHW1048576 HRS983043:HRS1048576 IBO983043:IBO1048576 ILK983043:ILK1048576 IVG983043:IVG1048576 JFC983043:JFC1048576 JOY983043:JOY1048576 JYU983043:JYU1048576 KIQ983043:KIQ1048576 KSM983043:KSM1048576 LCI983043:LCI1048576 LME983043:LME1048576 LWA983043:LWA1048576 MFW983043:MFW1048576 MPS983043:MPS1048576 MZO983043:MZO1048576 NJK983043:NJK1048576 NTG983043:NTG1048576 ODC983043:ODC1048576 OMY983043:OMY1048576 OWU983043:OWU1048576 PGQ983043:PGQ1048576 PQM983043:PQM1048576 QAI983043:QAI1048576 QKE983043:QKE1048576 QUA983043:QUA1048576 RDW983043:RDW1048576 RNS983043:RNS1048576 RXO983043:RXO1048576 SHK983043:SHK1048576 SRG983043:SRG1048576 TBC983043:TBC1048576 TKY983043:TKY1048576 TUU983043:TUU1048576 UEQ983043:UEQ1048576 UOM983043:UOM1048576 UYI983043:UYI1048576 VIE983043:VIE1048576 VSA983043:VSA1048576 WBW983043:WBW1048576 WLS983043:WLS1048576 G17:G65536" xr:uid="{2680A0E2-B2CC-403C-971A-D10BE6CF0A25}">
      <formula1>0</formula1>
      <formula2>200</formula2>
    </dataValidation>
    <dataValidation type="decimal" allowBlank="1" showInputMessage="1" showErrorMessage="1" sqref="WVN983043:WVN1048576 JB3:JB65536 SX3:SX65536 ACT3:ACT65536 AMP3:AMP65536 AWL3:AWL65536 BGH3:BGH65536 BQD3:BQD65536 BZZ3:BZZ65536 CJV3:CJV65536 CTR3:CTR65536 DDN3:DDN65536 DNJ3:DNJ65536 DXF3:DXF65536 EHB3:EHB65536 EQX3:EQX65536 FAT3:FAT65536 FKP3:FKP65536 FUL3:FUL65536 GEH3:GEH65536 GOD3:GOD65536 GXZ3:GXZ65536 HHV3:HHV65536 HRR3:HRR65536 IBN3:IBN65536 ILJ3:ILJ65536 IVF3:IVF65536 JFB3:JFB65536 JOX3:JOX65536 JYT3:JYT65536 KIP3:KIP65536 KSL3:KSL65536 LCH3:LCH65536 LMD3:LMD65536 LVZ3:LVZ65536 MFV3:MFV65536 MPR3:MPR65536 MZN3:MZN65536 NJJ3:NJJ65536 NTF3:NTF65536 ODB3:ODB65536 OMX3:OMX65536 OWT3:OWT65536 PGP3:PGP65536 PQL3:PQL65536 QAH3:QAH65536 QKD3:QKD65536 QTZ3:QTZ65536 RDV3:RDV65536 RNR3:RNR65536 RXN3:RXN65536 SHJ3:SHJ65536 SRF3:SRF65536 TBB3:TBB65536 TKX3:TKX65536 TUT3:TUT65536 UEP3:UEP65536 UOL3:UOL65536 UYH3:UYH65536 VID3:VID65536 VRZ3:VRZ65536 WBV3:WBV65536 WLR3:WLR65536 WVN3:WVN65536 F65539:F131072 JB65539:JB131072 SX65539:SX131072 ACT65539:ACT131072 AMP65539:AMP131072 AWL65539:AWL131072 BGH65539:BGH131072 BQD65539:BQD131072 BZZ65539:BZZ131072 CJV65539:CJV131072 CTR65539:CTR131072 DDN65539:DDN131072 DNJ65539:DNJ131072 DXF65539:DXF131072 EHB65539:EHB131072 EQX65539:EQX131072 FAT65539:FAT131072 FKP65539:FKP131072 FUL65539:FUL131072 GEH65539:GEH131072 GOD65539:GOD131072 GXZ65539:GXZ131072 HHV65539:HHV131072 HRR65539:HRR131072 IBN65539:IBN131072 ILJ65539:ILJ131072 IVF65539:IVF131072 JFB65539:JFB131072 JOX65539:JOX131072 JYT65539:JYT131072 KIP65539:KIP131072 KSL65539:KSL131072 LCH65539:LCH131072 LMD65539:LMD131072 LVZ65539:LVZ131072 MFV65539:MFV131072 MPR65539:MPR131072 MZN65539:MZN131072 NJJ65539:NJJ131072 NTF65539:NTF131072 ODB65539:ODB131072 OMX65539:OMX131072 OWT65539:OWT131072 PGP65539:PGP131072 PQL65539:PQL131072 QAH65539:QAH131072 QKD65539:QKD131072 QTZ65539:QTZ131072 RDV65539:RDV131072 RNR65539:RNR131072 RXN65539:RXN131072 SHJ65539:SHJ131072 SRF65539:SRF131072 TBB65539:TBB131072 TKX65539:TKX131072 TUT65539:TUT131072 UEP65539:UEP131072 UOL65539:UOL131072 UYH65539:UYH131072 VID65539:VID131072 VRZ65539:VRZ131072 WBV65539:WBV131072 WLR65539:WLR131072 WVN65539:WVN131072 F131075:F196608 JB131075:JB196608 SX131075:SX196608 ACT131075:ACT196608 AMP131075:AMP196608 AWL131075:AWL196608 BGH131075:BGH196608 BQD131075:BQD196608 BZZ131075:BZZ196608 CJV131075:CJV196608 CTR131075:CTR196608 DDN131075:DDN196608 DNJ131075:DNJ196608 DXF131075:DXF196608 EHB131075:EHB196608 EQX131075:EQX196608 FAT131075:FAT196608 FKP131075:FKP196608 FUL131075:FUL196608 GEH131075:GEH196608 GOD131075:GOD196608 GXZ131075:GXZ196608 HHV131075:HHV196608 HRR131075:HRR196608 IBN131075:IBN196608 ILJ131075:ILJ196608 IVF131075:IVF196608 JFB131075:JFB196608 JOX131075:JOX196608 JYT131075:JYT196608 KIP131075:KIP196608 KSL131075:KSL196608 LCH131075:LCH196608 LMD131075:LMD196608 LVZ131075:LVZ196608 MFV131075:MFV196608 MPR131075:MPR196608 MZN131075:MZN196608 NJJ131075:NJJ196608 NTF131075:NTF196608 ODB131075:ODB196608 OMX131075:OMX196608 OWT131075:OWT196608 PGP131075:PGP196608 PQL131075:PQL196608 QAH131075:QAH196608 QKD131075:QKD196608 QTZ131075:QTZ196608 RDV131075:RDV196608 RNR131075:RNR196608 RXN131075:RXN196608 SHJ131075:SHJ196608 SRF131075:SRF196608 TBB131075:TBB196608 TKX131075:TKX196608 TUT131075:TUT196608 UEP131075:UEP196608 UOL131075:UOL196608 UYH131075:UYH196608 VID131075:VID196608 VRZ131075:VRZ196608 WBV131075:WBV196608 WLR131075:WLR196608 WVN131075:WVN196608 F196611:F262144 JB196611:JB262144 SX196611:SX262144 ACT196611:ACT262144 AMP196611:AMP262144 AWL196611:AWL262144 BGH196611:BGH262144 BQD196611:BQD262144 BZZ196611:BZZ262144 CJV196611:CJV262144 CTR196611:CTR262144 DDN196611:DDN262144 DNJ196611:DNJ262144 DXF196611:DXF262144 EHB196611:EHB262144 EQX196611:EQX262144 FAT196611:FAT262144 FKP196611:FKP262144 FUL196611:FUL262144 GEH196611:GEH262144 GOD196611:GOD262144 GXZ196611:GXZ262144 HHV196611:HHV262144 HRR196611:HRR262144 IBN196611:IBN262144 ILJ196611:ILJ262144 IVF196611:IVF262144 JFB196611:JFB262144 JOX196611:JOX262144 JYT196611:JYT262144 KIP196611:KIP262144 KSL196611:KSL262144 LCH196611:LCH262144 LMD196611:LMD262144 LVZ196611:LVZ262144 MFV196611:MFV262144 MPR196611:MPR262144 MZN196611:MZN262144 NJJ196611:NJJ262144 NTF196611:NTF262144 ODB196611:ODB262144 OMX196611:OMX262144 OWT196611:OWT262144 PGP196611:PGP262144 PQL196611:PQL262144 QAH196611:QAH262144 QKD196611:QKD262144 QTZ196611:QTZ262144 RDV196611:RDV262144 RNR196611:RNR262144 RXN196611:RXN262144 SHJ196611:SHJ262144 SRF196611:SRF262144 TBB196611:TBB262144 TKX196611:TKX262144 TUT196611:TUT262144 UEP196611:UEP262144 UOL196611:UOL262144 UYH196611:UYH262144 VID196611:VID262144 VRZ196611:VRZ262144 WBV196611:WBV262144 WLR196611:WLR262144 WVN196611:WVN262144 F262147:F327680 JB262147:JB327680 SX262147:SX327680 ACT262147:ACT327680 AMP262147:AMP327680 AWL262147:AWL327680 BGH262147:BGH327680 BQD262147:BQD327680 BZZ262147:BZZ327680 CJV262147:CJV327680 CTR262147:CTR327680 DDN262147:DDN327680 DNJ262147:DNJ327680 DXF262147:DXF327680 EHB262147:EHB327680 EQX262147:EQX327680 FAT262147:FAT327680 FKP262147:FKP327680 FUL262147:FUL327680 GEH262147:GEH327680 GOD262147:GOD327680 GXZ262147:GXZ327680 HHV262147:HHV327680 HRR262147:HRR327680 IBN262147:IBN327680 ILJ262147:ILJ327680 IVF262147:IVF327680 JFB262147:JFB327680 JOX262147:JOX327680 JYT262147:JYT327680 KIP262147:KIP327680 KSL262147:KSL327680 LCH262147:LCH327680 LMD262147:LMD327680 LVZ262147:LVZ327680 MFV262147:MFV327680 MPR262147:MPR327680 MZN262147:MZN327680 NJJ262147:NJJ327680 NTF262147:NTF327680 ODB262147:ODB327680 OMX262147:OMX327680 OWT262147:OWT327680 PGP262147:PGP327680 PQL262147:PQL327680 QAH262147:QAH327680 QKD262147:QKD327680 QTZ262147:QTZ327680 RDV262147:RDV327680 RNR262147:RNR327680 RXN262147:RXN327680 SHJ262147:SHJ327680 SRF262147:SRF327680 TBB262147:TBB327680 TKX262147:TKX327680 TUT262147:TUT327680 UEP262147:UEP327680 UOL262147:UOL327680 UYH262147:UYH327680 VID262147:VID327680 VRZ262147:VRZ327680 WBV262147:WBV327680 WLR262147:WLR327680 WVN262147:WVN327680 F327683:F393216 JB327683:JB393216 SX327683:SX393216 ACT327683:ACT393216 AMP327683:AMP393216 AWL327683:AWL393216 BGH327683:BGH393216 BQD327683:BQD393216 BZZ327683:BZZ393216 CJV327683:CJV393216 CTR327683:CTR393216 DDN327683:DDN393216 DNJ327683:DNJ393216 DXF327683:DXF393216 EHB327683:EHB393216 EQX327683:EQX393216 FAT327683:FAT393216 FKP327683:FKP393216 FUL327683:FUL393216 GEH327683:GEH393216 GOD327683:GOD393216 GXZ327683:GXZ393216 HHV327683:HHV393216 HRR327683:HRR393216 IBN327683:IBN393216 ILJ327683:ILJ393216 IVF327683:IVF393216 JFB327683:JFB393216 JOX327683:JOX393216 JYT327683:JYT393216 KIP327683:KIP393216 KSL327683:KSL393216 LCH327683:LCH393216 LMD327683:LMD393216 LVZ327683:LVZ393216 MFV327683:MFV393216 MPR327683:MPR393216 MZN327683:MZN393216 NJJ327683:NJJ393216 NTF327683:NTF393216 ODB327683:ODB393216 OMX327683:OMX393216 OWT327683:OWT393216 PGP327683:PGP393216 PQL327683:PQL393216 QAH327683:QAH393216 QKD327683:QKD393216 QTZ327683:QTZ393216 RDV327683:RDV393216 RNR327683:RNR393216 RXN327683:RXN393216 SHJ327683:SHJ393216 SRF327683:SRF393216 TBB327683:TBB393216 TKX327683:TKX393216 TUT327683:TUT393216 UEP327683:UEP393216 UOL327683:UOL393216 UYH327683:UYH393216 VID327683:VID393216 VRZ327683:VRZ393216 WBV327683:WBV393216 WLR327683:WLR393216 WVN327683:WVN393216 F393219:F458752 JB393219:JB458752 SX393219:SX458752 ACT393219:ACT458752 AMP393219:AMP458752 AWL393219:AWL458752 BGH393219:BGH458752 BQD393219:BQD458752 BZZ393219:BZZ458752 CJV393219:CJV458752 CTR393219:CTR458752 DDN393219:DDN458752 DNJ393219:DNJ458752 DXF393219:DXF458752 EHB393219:EHB458752 EQX393219:EQX458752 FAT393219:FAT458752 FKP393219:FKP458752 FUL393219:FUL458752 GEH393219:GEH458752 GOD393219:GOD458752 GXZ393219:GXZ458752 HHV393219:HHV458752 HRR393219:HRR458752 IBN393219:IBN458752 ILJ393219:ILJ458752 IVF393219:IVF458752 JFB393219:JFB458752 JOX393219:JOX458752 JYT393219:JYT458752 KIP393219:KIP458752 KSL393219:KSL458752 LCH393219:LCH458752 LMD393219:LMD458752 LVZ393219:LVZ458752 MFV393219:MFV458752 MPR393219:MPR458752 MZN393219:MZN458752 NJJ393219:NJJ458752 NTF393219:NTF458752 ODB393219:ODB458752 OMX393219:OMX458752 OWT393219:OWT458752 PGP393219:PGP458752 PQL393219:PQL458752 QAH393219:QAH458752 QKD393219:QKD458752 QTZ393219:QTZ458752 RDV393219:RDV458752 RNR393219:RNR458752 RXN393219:RXN458752 SHJ393219:SHJ458752 SRF393219:SRF458752 TBB393219:TBB458752 TKX393219:TKX458752 TUT393219:TUT458752 UEP393219:UEP458752 UOL393219:UOL458752 UYH393219:UYH458752 VID393219:VID458752 VRZ393219:VRZ458752 WBV393219:WBV458752 WLR393219:WLR458752 WVN393219:WVN458752 F458755:F524288 JB458755:JB524288 SX458755:SX524288 ACT458755:ACT524288 AMP458755:AMP524288 AWL458755:AWL524288 BGH458755:BGH524288 BQD458755:BQD524288 BZZ458755:BZZ524288 CJV458755:CJV524288 CTR458755:CTR524288 DDN458755:DDN524288 DNJ458755:DNJ524288 DXF458755:DXF524288 EHB458755:EHB524288 EQX458755:EQX524288 FAT458755:FAT524288 FKP458755:FKP524288 FUL458755:FUL524288 GEH458755:GEH524288 GOD458755:GOD524288 GXZ458755:GXZ524288 HHV458755:HHV524288 HRR458755:HRR524288 IBN458755:IBN524288 ILJ458755:ILJ524288 IVF458755:IVF524288 JFB458755:JFB524288 JOX458755:JOX524288 JYT458755:JYT524288 KIP458755:KIP524288 KSL458755:KSL524288 LCH458755:LCH524288 LMD458755:LMD524288 LVZ458755:LVZ524288 MFV458755:MFV524288 MPR458755:MPR524288 MZN458755:MZN524288 NJJ458755:NJJ524288 NTF458755:NTF524288 ODB458755:ODB524288 OMX458755:OMX524288 OWT458755:OWT524288 PGP458755:PGP524288 PQL458755:PQL524288 QAH458755:QAH524288 QKD458755:QKD524288 QTZ458755:QTZ524288 RDV458755:RDV524288 RNR458755:RNR524288 RXN458755:RXN524288 SHJ458755:SHJ524288 SRF458755:SRF524288 TBB458755:TBB524288 TKX458755:TKX524288 TUT458755:TUT524288 UEP458755:UEP524288 UOL458755:UOL524288 UYH458755:UYH524288 VID458755:VID524288 VRZ458755:VRZ524288 WBV458755:WBV524288 WLR458755:WLR524288 WVN458755:WVN524288 F524291:F589824 JB524291:JB589824 SX524291:SX589824 ACT524291:ACT589824 AMP524291:AMP589824 AWL524291:AWL589824 BGH524291:BGH589824 BQD524291:BQD589824 BZZ524291:BZZ589824 CJV524291:CJV589824 CTR524291:CTR589824 DDN524291:DDN589824 DNJ524291:DNJ589824 DXF524291:DXF589824 EHB524291:EHB589824 EQX524291:EQX589824 FAT524291:FAT589824 FKP524291:FKP589824 FUL524291:FUL589824 GEH524291:GEH589824 GOD524291:GOD589824 GXZ524291:GXZ589824 HHV524291:HHV589824 HRR524291:HRR589824 IBN524291:IBN589824 ILJ524291:ILJ589824 IVF524291:IVF589824 JFB524291:JFB589824 JOX524291:JOX589824 JYT524291:JYT589824 KIP524291:KIP589824 KSL524291:KSL589824 LCH524291:LCH589824 LMD524291:LMD589824 LVZ524291:LVZ589824 MFV524291:MFV589824 MPR524291:MPR589824 MZN524291:MZN589824 NJJ524291:NJJ589824 NTF524291:NTF589824 ODB524291:ODB589824 OMX524291:OMX589824 OWT524291:OWT589824 PGP524291:PGP589824 PQL524291:PQL589824 QAH524291:QAH589824 QKD524291:QKD589824 QTZ524291:QTZ589824 RDV524291:RDV589824 RNR524291:RNR589824 RXN524291:RXN589824 SHJ524291:SHJ589824 SRF524291:SRF589824 TBB524291:TBB589824 TKX524291:TKX589824 TUT524291:TUT589824 UEP524291:UEP589824 UOL524291:UOL589824 UYH524291:UYH589824 VID524291:VID589824 VRZ524291:VRZ589824 WBV524291:WBV589824 WLR524291:WLR589824 WVN524291:WVN589824 F589827:F655360 JB589827:JB655360 SX589827:SX655360 ACT589827:ACT655360 AMP589827:AMP655360 AWL589827:AWL655360 BGH589827:BGH655360 BQD589827:BQD655360 BZZ589827:BZZ655360 CJV589827:CJV655360 CTR589827:CTR655360 DDN589827:DDN655360 DNJ589827:DNJ655360 DXF589827:DXF655360 EHB589827:EHB655360 EQX589827:EQX655360 FAT589827:FAT655360 FKP589827:FKP655360 FUL589827:FUL655360 GEH589827:GEH655360 GOD589827:GOD655360 GXZ589827:GXZ655360 HHV589827:HHV655360 HRR589827:HRR655360 IBN589827:IBN655360 ILJ589827:ILJ655360 IVF589827:IVF655360 JFB589827:JFB655360 JOX589827:JOX655360 JYT589827:JYT655360 KIP589827:KIP655360 KSL589827:KSL655360 LCH589827:LCH655360 LMD589827:LMD655360 LVZ589827:LVZ655360 MFV589827:MFV655360 MPR589827:MPR655360 MZN589827:MZN655360 NJJ589827:NJJ655360 NTF589827:NTF655360 ODB589827:ODB655360 OMX589827:OMX655360 OWT589827:OWT655360 PGP589827:PGP655360 PQL589827:PQL655360 QAH589827:QAH655360 QKD589827:QKD655360 QTZ589827:QTZ655360 RDV589827:RDV655360 RNR589827:RNR655360 RXN589827:RXN655360 SHJ589827:SHJ655360 SRF589827:SRF655360 TBB589827:TBB655360 TKX589827:TKX655360 TUT589827:TUT655360 UEP589827:UEP655360 UOL589827:UOL655360 UYH589827:UYH655360 VID589827:VID655360 VRZ589827:VRZ655360 WBV589827:WBV655360 WLR589827:WLR655360 WVN589827:WVN655360 F655363:F720896 JB655363:JB720896 SX655363:SX720896 ACT655363:ACT720896 AMP655363:AMP720896 AWL655363:AWL720896 BGH655363:BGH720896 BQD655363:BQD720896 BZZ655363:BZZ720896 CJV655363:CJV720896 CTR655363:CTR720896 DDN655363:DDN720896 DNJ655363:DNJ720896 DXF655363:DXF720896 EHB655363:EHB720896 EQX655363:EQX720896 FAT655363:FAT720896 FKP655363:FKP720896 FUL655363:FUL720896 GEH655363:GEH720896 GOD655363:GOD720896 GXZ655363:GXZ720896 HHV655363:HHV720896 HRR655363:HRR720896 IBN655363:IBN720896 ILJ655363:ILJ720896 IVF655363:IVF720896 JFB655363:JFB720896 JOX655363:JOX720896 JYT655363:JYT720896 KIP655363:KIP720896 KSL655363:KSL720896 LCH655363:LCH720896 LMD655363:LMD720896 LVZ655363:LVZ720896 MFV655363:MFV720896 MPR655363:MPR720896 MZN655363:MZN720896 NJJ655363:NJJ720896 NTF655363:NTF720896 ODB655363:ODB720896 OMX655363:OMX720896 OWT655363:OWT720896 PGP655363:PGP720896 PQL655363:PQL720896 QAH655363:QAH720896 QKD655363:QKD720896 QTZ655363:QTZ720896 RDV655363:RDV720896 RNR655363:RNR720896 RXN655363:RXN720896 SHJ655363:SHJ720896 SRF655363:SRF720896 TBB655363:TBB720896 TKX655363:TKX720896 TUT655363:TUT720896 UEP655363:UEP720896 UOL655363:UOL720896 UYH655363:UYH720896 VID655363:VID720896 VRZ655363:VRZ720896 WBV655363:WBV720896 WLR655363:WLR720896 WVN655363:WVN720896 F720899:F786432 JB720899:JB786432 SX720899:SX786432 ACT720899:ACT786432 AMP720899:AMP786432 AWL720899:AWL786432 BGH720899:BGH786432 BQD720899:BQD786432 BZZ720899:BZZ786432 CJV720899:CJV786432 CTR720899:CTR786432 DDN720899:DDN786432 DNJ720899:DNJ786432 DXF720899:DXF786432 EHB720899:EHB786432 EQX720899:EQX786432 FAT720899:FAT786432 FKP720899:FKP786432 FUL720899:FUL786432 GEH720899:GEH786432 GOD720899:GOD786432 GXZ720899:GXZ786432 HHV720899:HHV786432 HRR720899:HRR786432 IBN720899:IBN786432 ILJ720899:ILJ786432 IVF720899:IVF786432 JFB720899:JFB786432 JOX720899:JOX786432 JYT720899:JYT786432 KIP720899:KIP786432 KSL720899:KSL786432 LCH720899:LCH786432 LMD720899:LMD786432 LVZ720899:LVZ786432 MFV720899:MFV786432 MPR720899:MPR786432 MZN720899:MZN786432 NJJ720899:NJJ786432 NTF720899:NTF786432 ODB720899:ODB786432 OMX720899:OMX786432 OWT720899:OWT786432 PGP720899:PGP786432 PQL720899:PQL786432 QAH720899:QAH786432 QKD720899:QKD786432 QTZ720899:QTZ786432 RDV720899:RDV786432 RNR720899:RNR786432 RXN720899:RXN786432 SHJ720899:SHJ786432 SRF720899:SRF786432 TBB720899:TBB786432 TKX720899:TKX786432 TUT720899:TUT786432 UEP720899:UEP786432 UOL720899:UOL786432 UYH720899:UYH786432 VID720899:VID786432 VRZ720899:VRZ786432 WBV720899:WBV786432 WLR720899:WLR786432 WVN720899:WVN786432 F786435:F851968 JB786435:JB851968 SX786435:SX851968 ACT786435:ACT851968 AMP786435:AMP851968 AWL786435:AWL851968 BGH786435:BGH851968 BQD786435:BQD851968 BZZ786435:BZZ851968 CJV786435:CJV851968 CTR786435:CTR851968 DDN786435:DDN851968 DNJ786435:DNJ851968 DXF786435:DXF851968 EHB786435:EHB851968 EQX786435:EQX851968 FAT786435:FAT851968 FKP786435:FKP851968 FUL786435:FUL851968 GEH786435:GEH851968 GOD786435:GOD851968 GXZ786435:GXZ851968 HHV786435:HHV851968 HRR786435:HRR851968 IBN786435:IBN851968 ILJ786435:ILJ851968 IVF786435:IVF851968 JFB786435:JFB851968 JOX786435:JOX851968 JYT786435:JYT851968 KIP786435:KIP851968 KSL786435:KSL851968 LCH786435:LCH851968 LMD786435:LMD851968 LVZ786435:LVZ851968 MFV786435:MFV851968 MPR786435:MPR851968 MZN786435:MZN851968 NJJ786435:NJJ851968 NTF786435:NTF851968 ODB786435:ODB851968 OMX786435:OMX851968 OWT786435:OWT851968 PGP786435:PGP851968 PQL786435:PQL851968 QAH786435:QAH851968 QKD786435:QKD851968 QTZ786435:QTZ851968 RDV786435:RDV851968 RNR786435:RNR851968 RXN786435:RXN851968 SHJ786435:SHJ851968 SRF786435:SRF851968 TBB786435:TBB851968 TKX786435:TKX851968 TUT786435:TUT851968 UEP786435:UEP851968 UOL786435:UOL851968 UYH786435:UYH851968 VID786435:VID851968 VRZ786435:VRZ851968 WBV786435:WBV851968 WLR786435:WLR851968 WVN786435:WVN851968 F851971:F917504 JB851971:JB917504 SX851971:SX917504 ACT851971:ACT917504 AMP851971:AMP917504 AWL851971:AWL917504 BGH851971:BGH917504 BQD851971:BQD917504 BZZ851971:BZZ917504 CJV851971:CJV917504 CTR851971:CTR917504 DDN851971:DDN917504 DNJ851971:DNJ917504 DXF851971:DXF917504 EHB851971:EHB917504 EQX851971:EQX917504 FAT851971:FAT917504 FKP851971:FKP917504 FUL851971:FUL917504 GEH851971:GEH917504 GOD851971:GOD917504 GXZ851971:GXZ917504 HHV851971:HHV917504 HRR851971:HRR917504 IBN851971:IBN917504 ILJ851971:ILJ917504 IVF851971:IVF917504 JFB851971:JFB917504 JOX851971:JOX917504 JYT851971:JYT917504 KIP851971:KIP917504 KSL851971:KSL917504 LCH851971:LCH917504 LMD851971:LMD917504 LVZ851971:LVZ917504 MFV851971:MFV917504 MPR851971:MPR917504 MZN851971:MZN917504 NJJ851971:NJJ917504 NTF851971:NTF917504 ODB851971:ODB917504 OMX851971:OMX917504 OWT851971:OWT917504 PGP851971:PGP917504 PQL851971:PQL917504 QAH851971:QAH917504 QKD851971:QKD917504 QTZ851971:QTZ917504 RDV851971:RDV917504 RNR851971:RNR917504 RXN851971:RXN917504 SHJ851971:SHJ917504 SRF851971:SRF917504 TBB851971:TBB917504 TKX851971:TKX917504 TUT851971:TUT917504 UEP851971:UEP917504 UOL851971:UOL917504 UYH851971:UYH917504 VID851971:VID917504 VRZ851971:VRZ917504 WBV851971:WBV917504 WLR851971:WLR917504 WVN851971:WVN917504 F917507:F983040 JB917507:JB983040 SX917507:SX983040 ACT917507:ACT983040 AMP917507:AMP983040 AWL917507:AWL983040 BGH917507:BGH983040 BQD917507:BQD983040 BZZ917507:BZZ983040 CJV917507:CJV983040 CTR917507:CTR983040 DDN917507:DDN983040 DNJ917507:DNJ983040 DXF917507:DXF983040 EHB917507:EHB983040 EQX917507:EQX983040 FAT917507:FAT983040 FKP917507:FKP983040 FUL917507:FUL983040 GEH917507:GEH983040 GOD917507:GOD983040 GXZ917507:GXZ983040 HHV917507:HHV983040 HRR917507:HRR983040 IBN917507:IBN983040 ILJ917507:ILJ983040 IVF917507:IVF983040 JFB917507:JFB983040 JOX917507:JOX983040 JYT917507:JYT983040 KIP917507:KIP983040 KSL917507:KSL983040 LCH917507:LCH983040 LMD917507:LMD983040 LVZ917507:LVZ983040 MFV917507:MFV983040 MPR917507:MPR983040 MZN917507:MZN983040 NJJ917507:NJJ983040 NTF917507:NTF983040 ODB917507:ODB983040 OMX917507:OMX983040 OWT917507:OWT983040 PGP917507:PGP983040 PQL917507:PQL983040 QAH917507:QAH983040 QKD917507:QKD983040 QTZ917507:QTZ983040 RDV917507:RDV983040 RNR917507:RNR983040 RXN917507:RXN983040 SHJ917507:SHJ983040 SRF917507:SRF983040 TBB917507:TBB983040 TKX917507:TKX983040 TUT917507:TUT983040 UEP917507:UEP983040 UOL917507:UOL983040 UYH917507:UYH983040 VID917507:VID983040 VRZ917507:VRZ983040 WBV917507:WBV983040 WLR917507:WLR983040 WVN917507:WVN983040 F983043:F1048576 JB983043:JB1048576 SX983043:SX1048576 ACT983043:ACT1048576 AMP983043:AMP1048576 AWL983043:AWL1048576 BGH983043:BGH1048576 BQD983043:BQD1048576 BZZ983043:BZZ1048576 CJV983043:CJV1048576 CTR983043:CTR1048576 DDN983043:DDN1048576 DNJ983043:DNJ1048576 DXF983043:DXF1048576 EHB983043:EHB1048576 EQX983043:EQX1048576 FAT983043:FAT1048576 FKP983043:FKP1048576 FUL983043:FUL1048576 GEH983043:GEH1048576 GOD983043:GOD1048576 GXZ983043:GXZ1048576 HHV983043:HHV1048576 HRR983043:HRR1048576 IBN983043:IBN1048576 ILJ983043:ILJ1048576 IVF983043:IVF1048576 JFB983043:JFB1048576 JOX983043:JOX1048576 JYT983043:JYT1048576 KIP983043:KIP1048576 KSL983043:KSL1048576 LCH983043:LCH1048576 LMD983043:LMD1048576 LVZ983043:LVZ1048576 MFV983043:MFV1048576 MPR983043:MPR1048576 MZN983043:MZN1048576 NJJ983043:NJJ1048576 NTF983043:NTF1048576 ODB983043:ODB1048576 OMX983043:OMX1048576 OWT983043:OWT1048576 PGP983043:PGP1048576 PQL983043:PQL1048576 QAH983043:QAH1048576 QKD983043:QKD1048576 QTZ983043:QTZ1048576 RDV983043:RDV1048576 RNR983043:RNR1048576 RXN983043:RXN1048576 SHJ983043:SHJ1048576 SRF983043:SRF1048576 TBB983043:TBB1048576 TKX983043:TKX1048576 TUT983043:TUT1048576 UEP983043:UEP1048576 UOL983043:UOL1048576 UYH983043:UYH1048576 VID983043:VID1048576 VRZ983043:VRZ1048576 WBV983043:WBV1048576 WLR983043:WLR1048576 F25:F65536" xr:uid="{EE3D2066-924A-4B4D-BEF0-4905CD6B1EAD}">
      <formula1>0</formula1>
      <formula2>100000000</formula2>
    </dataValidation>
    <dataValidation type="whole" allowBlank="1" showInputMessage="1" showErrorMessage="1" sqref="WVL983043:WVL1048576 IZ3:IZ65536 SV3:SV65536 ACR3:ACR65536 AMN3:AMN65536 AWJ3:AWJ65536 BGF3:BGF65536 BQB3:BQB65536 BZX3:BZX65536 CJT3:CJT65536 CTP3:CTP65536 DDL3:DDL65536 DNH3:DNH65536 DXD3:DXD65536 EGZ3:EGZ65536 EQV3:EQV65536 FAR3:FAR65536 FKN3:FKN65536 FUJ3:FUJ65536 GEF3:GEF65536 GOB3:GOB65536 GXX3:GXX65536 HHT3:HHT65536 HRP3:HRP65536 IBL3:IBL65536 ILH3:ILH65536 IVD3:IVD65536 JEZ3:JEZ65536 JOV3:JOV65536 JYR3:JYR65536 KIN3:KIN65536 KSJ3:KSJ65536 LCF3:LCF65536 LMB3:LMB65536 LVX3:LVX65536 MFT3:MFT65536 MPP3:MPP65536 MZL3:MZL65536 NJH3:NJH65536 NTD3:NTD65536 OCZ3:OCZ65536 OMV3:OMV65536 OWR3:OWR65536 PGN3:PGN65536 PQJ3:PQJ65536 QAF3:QAF65536 QKB3:QKB65536 QTX3:QTX65536 RDT3:RDT65536 RNP3:RNP65536 RXL3:RXL65536 SHH3:SHH65536 SRD3:SRD65536 TAZ3:TAZ65536 TKV3:TKV65536 TUR3:TUR65536 UEN3:UEN65536 UOJ3:UOJ65536 UYF3:UYF65536 VIB3:VIB65536 VRX3:VRX65536 WBT3:WBT65536 WLP3:WLP65536 WVL3:WVL65536 D65539:D131072 IZ65539:IZ131072 SV65539:SV131072 ACR65539:ACR131072 AMN65539:AMN131072 AWJ65539:AWJ131072 BGF65539:BGF131072 BQB65539:BQB131072 BZX65539:BZX131072 CJT65539:CJT131072 CTP65539:CTP131072 DDL65539:DDL131072 DNH65539:DNH131072 DXD65539:DXD131072 EGZ65539:EGZ131072 EQV65539:EQV131072 FAR65539:FAR131072 FKN65539:FKN131072 FUJ65539:FUJ131072 GEF65539:GEF131072 GOB65539:GOB131072 GXX65539:GXX131072 HHT65539:HHT131072 HRP65539:HRP131072 IBL65539:IBL131072 ILH65539:ILH131072 IVD65539:IVD131072 JEZ65539:JEZ131072 JOV65539:JOV131072 JYR65539:JYR131072 KIN65539:KIN131072 KSJ65539:KSJ131072 LCF65539:LCF131072 LMB65539:LMB131072 LVX65539:LVX131072 MFT65539:MFT131072 MPP65539:MPP131072 MZL65539:MZL131072 NJH65539:NJH131072 NTD65539:NTD131072 OCZ65539:OCZ131072 OMV65539:OMV131072 OWR65539:OWR131072 PGN65539:PGN131072 PQJ65539:PQJ131072 QAF65539:QAF131072 QKB65539:QKB131072 QTX65539:QTX131072 RDT65539:RDT131072 RNP65539:RNP131072 RXL65539:RXL131072 SHH65539:SHH131072 SRD65539:SRD131072 TAZ65539:TAZ131072 TKV65539:TKV131072 TUR65539:TUR131072 UEN65539:UEN131072 UOJ65539:UOJ131072 UYF65539:UYF131072 VIB65539:VIB131072 VRX65539:VRX131072 WBT65539:WBT131072 WLP65539:WLP131072 WVL65539:WVL131072 D131075:D196608 IZ131075:IZ196608 SV131075:SV196608 ACR131075:ACR196608 AMN131075:AMN196608 AWJ131075:AWJ196608 BGF131075:BGF196608 BQB131075:BQB196608 BZX131075:BZX196608 CJT131075:CJT196608 CTP131075:CTP196608 DDL131075:DDL196608 DNH131075:DNH196608 DXD131075:DXD196608 EGZ131075:EGZ196608 EQV131075:EQV196608 FAR131075:FAR196608 FKN131075:FKN196608 FUJ131075:FUJ196608 GEF131075:GEF196608 GOB131075:GOB196608 GXX131075:GXX196608 HHT131075:HHT196608 HRP131075:HRP196608 IBL131075:IBL196608 ILH131075:ILH196608 IVD131075:IVD196608 JEZ131075:JEZ196608 JOV131075:JOV196608 JYR131075:JYR196608 KIN131075:KIN196608 KSJ131075:KSJ196608 LCF131075:LCF196608 LMB131075:LMB196608 LVX131075:LVX196608 MFT131075:MFT196608 MPP131075:MPP196608 MZL131075:MZL196608 NJH131075:NJH196608 NTD131075:NTD196608 OCZ131075:OCZ196608 OMV131075:OMV196608 OWR131075:OWR196608 PGN131075:PGN196608 PQJ131075:PQJ196608 QAF131075:QAF196608 QKB131075:QKB196608 QTX131075:QTX196608 RDT131075:RDT196608 RNP131075:RNP196608 RXL131075:RXL196608 SHH131075:SHH196608 SRD131075:SRD196608 TAZ131075:TAZ196608 TKV131075:TKV196608 TUR131075:TUR196608 UEN131075:UEN196608 UOJ131075:UOJ196608 UYF131075:UYF196608 VIB131075:VIB196608 VRX131075:VRX196608 WBT131075:WBT196608 WLP131075:WLP196608 WVL131075:WVL196608 D196611:D262144 IZ196611:IZ262144 SV196611:SV262144 ACR196611:ACR262144 AMN196611:AMN262144 AWJ196611:AWJ262144 BGF196611:BGF262144 BQB196611:BQB262144 BZX196611:BZX262144 CJT196611:CJT262144 CTP196611:CTP262144 DDL196611:DDL262144 DNH196611:DNH262144 DXD196611:DXD262144 EGZ196611:EGZ262144 EQV196611:EQV262144 FAR196611:FAR262144 FKN196611:FKN262144 FUJ196611:FUJ262144 GEF196611:GEF262144 GOB196611:GOB262144 GXX196611:GXX262144 HHT196611:HHT262144 HRP196611:HRP262144 IBL196611:IBL262144 ILH196611:ILH262144 IVD196611:IVD262144 JEZ196611:JEZ262144 JOV196611:JOV262144 JYR196611:JYR262144 KIN196611:KIN262144 KSJ196611:KSJ262144 LCF196611:LCF262144 LMB196611:LMB262144 LVX196611:LVX262144 MFT196611:MFT262144 MPP196611:MPP262144 MZL196611:MZL262144 NJH196611:NJH262144 NTD196611:NTD262144 OCZ196611:OCZ262144 OMV196611:OMV262144 OWR196611:OWR262144 PGN196611:PGN262144 PQJ196611:PQJ262144 QAF196611:QAF262144 QKB196611:QKB262144 QTX196611:QTX262144 RDT196611:RDT262144 RNP196611:RNP262144 RXL196611:RXL262144 SHH196611:SHH262144 SRD196611:SRD262144 TAZ196611:TAZ262144 TKV196611:TKV262144 TUR196611:TUR262144 UEN196611:UEN262144 UOJ196611:UOJ262144 UYF196611:UYF262144 VIB196611:VIB262144 VRX196611:VRX262144 WBT196611:WBT262144 WLP196611:WLP262144 WVL196611:WVL262144 D262147:D327680 IZ262147:IZ327680 SV262147:SV327680 ACR262147:ACR327680 AMN262147:AMN327680 AWJ262147:AWJ327680 BGF262147:BGF327680 BQB262147:BQB327680 BZX262147:BZX327680 CJT262147:CJT327680 CTP262147:CTP327680 DDL262147:DDL327680 DNH262147:DNH327680 DXD262147:DXD327680 EGZ262147:EGZ327680 EQV262147:EQV327680 FAR262147:FAR327680 FKN262147:FKN327680 FUJ262147:FUJ327680 GEF262147:GEF327680 GOB262147:GOB327680 GXX262147:GXX327680 HHT262147:HHT327680 HRP262147:HRP327680 IBL262147:IBL327680 ILH262147:ILH327680 IVD262147:IVD327680 JEZ262147:JEZ327680 JOV262147:JOV327680 JYR262147:JYR327680 KIN262147:KIN327680 KSJ262147:KSJ327680 LCF262147:LCF327680 LMB262147:LMB327680 LVX262147:LVX327680 MFT262147:MFT327680 MPP262147:MPP327680 MZL262147:MZL327680 NJH262147:NJH327680 NTD262147:NTD327680 OCZ262147:OCZ327680 OMV262147:OMV327680 OWR262147:OWR327680 PGN262147:PGN327680 PQJ262147:PQJ327680 QAF262147:QAF327680 QKB262147:QKB327680 QTX262147:QTX327680 RDT262147:RDT327680 RNP262147:RNP327680 RXL262147:RXL327680 SHH262147:SHH327680 SRD262147:SRD327680 TAZ262147:TAZ327680 TKV262147:TKV327680 TUR262147:TUR327680 UEN262147:UEN327680 UOJ262147:UOJ327680 UYF262147:UYF327680 VIB262147:VIB327680 VRX262147:VRX327680 WBT262147:WBT327680 WLP262147:WLP327680 WVL262147:WVL327680 D327683:D393216 IZ327683:IZ393216 SV327683:SV393216 ACR327683:ACR393216 AMN327683:AMN393216 AWJ327683:AWJ393216 BGF327683:BGF393216 BQB327683:BQB393216 BZX327683:BZX393216 CJT327683:CJT393216 CTP327683:CTP393216 DDL327683:DDL393216 DNH327683:DNH393216 DXD327683:DXD393216 EGZ327683:EGZ393216 EQV327683:EQV393216 FAR327683:FAR393216 FKN327683:FKN393216 FUJ327683:FUJ393216 GEF327683:GEF393216 GOB327683:GOB393216 GXX327683:GXX393216 HHT327683:HHT393216 HRP327683:HRP393216 IBL327683:IBL393216 ILH327683:ILH393216 IVD327683:IVD393216 JEZ327683:JEZ393216 JOV327683:JOV393216 JYR327683:JYR393216 KIN327683:KIN393216 KSJ327683:KSJ393216 LCF327683:LCF393216 LMB327683:LMB393216 LVX327683:LVX393216 MFT327683:MFT393216 MPP327683:MPP393216 MZL327683:MZL393216 NJH327683:NJH393216 NTD327683:NTD393216 OCZ327683:OCZ393216 OMV327683:OMV393216 OWR327683:OWR393216 PGN327683:PGN393216 PQJ327683:PQJ393216 QAF327683:QAF393216 QKB327683:QKB393216 QTX327683:QTX393216 RDT327683:RDT393216 RNP327683:RNP393216 RXL327683:RXL393216 SHH327683:SHH393216 SRD327683:SRD393216 TAZ327683:TAZ393216 TKV327683:TKV393216 TUR327683:TUR393216 UEN327683:UEN393216 UOJ327683:UOJ393216 UYF327683:UYF393216 VIB327683:VIB393216 VRX327683:VRX393216 WBT327683:WBT393216 WLP327683:WLP393216 WVL327683:WVL393216 D393219:D458752 IZ393219:IZ458752 SV393219:SV458752 ACR393219:ACR458752 AMN393219:AMN458752 AWJ393219:AWJ458752 BGF393219:BGF458752 BQB393219:BQB458752 BZX393219:BZX458752 CJT393219:CJT458752 CTP393219:CTP458752 DDL393219:DDL458752 DNH393219:DNH458752 DXD393219:DXD458752 EGZ393219:EGZ458752 EQV393219:EQV458752 FAR393219:FAR458752 FKN393219:FKN458752 FUJ393219:FUJ458752 GEF393219:GEF458752 GOB393219:GOB458752 GXX393219:GXX458752 HHT393219:HHT458752 HRP393219:HRP458752 IBL393219:IBL458752 ILH393219:ILH458752 IVD393219:IVD458752 JEZ393219:JEZ458752 JOV393219:JOV458752 JYR393219:JYR458752 KIN393219:KIN458752 KSJ393219:KSJ458752 LCF393219:LCF458752 LMB393219:LMB458752 LVX393219:LVX458752 MFT393219:MFT458752 MPP393219:MPP458752 MZL393219:MZL458752 NJH393219:NJH458752 NTD393219:NTD458752 OCZ393219:OCZ458752 OMV393219:OMV458752 OWR393219:OWR458752 PGN393219:PGN458752 PQJ393219:PQJ458752 QAF393219:QAF458752 QKB393219:QKB458752 QTX393219:QTX458752 RDT393219:RDT458752 RNP393219:RNP458752 RXL393219:RXL458752 SHH393219:SHH458752 SRD393219:SRD458752 TAZ393219:TAZ458752 TKV393219:TKV458752 TUR393219:TUR458752 UEN393219:UEN458752 UOJ393219:UOJ458752 UYF393219:UYF458752 VIB393219:VIB458752 VRX393219:VRX458752 WBT393219:WBT458752 WLP393219:WLP458752 WVL393219:WVL458752 D458755:D524288 IZ458755:IZ524288 SV458755:SV524288 ACR458755:ACR524288 AMN458755:AMN524288 AWJ458755:AWJ524288 BGF458755:BGF524288 BQB458755:BQB524288 BZX458755:BZX524288 CJT458755:CJT524288 CTP458755:CTP524288 DDL458755:DDL524288 DNH458755:DNH524288 DXD458755:DXD524288 EGZ458755:EGZ524288 EQV458755:EQV524288 FAR458755:FAR524288 FKN458755:FKN524288 FUJ458755:FUJ524288 GEF458755:GEF524288 GOB458755:GOB524288 GXX458755:GXX524288 HHT458755:HHT524288 HRP458755:HRP524288 IBL458755:IBL524288 ILH458755:ILH524288 IVD458755:IVD524288 JEZ458755:JEZ524288 JOV458755:JOV524288 JYR458755:JYR524288 KIN458755:KIN524288 KSJ458755:KSJ524288 LCF458755:LCF524288 LMB458755:LMB524288 LVX458755:LVX524288 MFT458755:MFT524288 MPP458755:MPP524288 MZL458755:MZL524288 NJH458755:NJH524288 NTD458755:NTD524288 OCZ458755:OCZ524288 OMV458755:OMV524288 OWR458755:OWR524288 PGN458755:PGN524288 PQJ458755:PQJ524288 QAF458755:QAF524288 QKB458755:QKB524288 QTX458755:QTX524288 RDT458755:RDT524288 RNP458755:RNP524288 RXL458755:RXL524288 SHH458755:SHH524288 SRD458755:SRD524288 TAZ458755:TAZ524288 TKV458755:TKV524288 TUR458755:TUR524288 UEN458755:UEN524288 UOJ458755:UOJ524288 UYF458755:UYF524288 VIB458755:VIB524288 VRX458755:VRX524288 WBT458755:WBT524288 WLP458755:WLP524288 WVL458755:WVL524288 D524291:D589824 IZ524291:IZ589824 SV524291:SV589824 ACR524291:ACR589824 AMN524291:AMN589824 AWJ524291:AWJ589824 BGF524291:BGF589824 BQB524291:BQB589824 BZX524291:BZX589824 CJT524291:CJT589824 CTP524291:CTP589824 DDL524291:DDL589824 DNH524291:DNH589824 DXD524291:DXD589824 EGZ524291:EGZ589824 EQV524291:EQV589824 FAR524291:FAR589824 FKN524291:FKN589824 FUJ524291:FUJ589824 GEF524291:GEF589824 GOB524291:GOB589824 GXX524291:GXX589824 HHT524291:HHT589824 HRP524291:HRP589824 IBL524291:IBL589824 ILH524291:ILH589824 IVD524291:IVD589824 JEZ524291:JEZ589824 JOV524291:JOV589824 JYR524291:JYR589824 KIN524291:KIN589824 KSJ524291:KSJ589824 LCF524291:LCF589824 LMB524291:LMB589824 LVX524291:LVX589824 MFT524291:MFT589824 MPP524291:MPP589824 MZL524291:MZL589824 NJH524291:NJH589824 NTD524291:NTD589824 OCZ524291:OCZ589824 OMV524291:OMV589824 OWR524291:OWR589824 PGN524291:PGN589824 PQJ524291:PQJ589824 QAF524291:QAF589824 QKB524291:QKB589824 QTX524291:QTX589824 RDT524291:RDT589824 RNP524291:RNP589824 RXL524291:RXL589824 SHH524291:SHH589824 SRD524291:SRD589824 TAZ524291:TAZ589824 TKV524291:TKV589824 TUR524291:TUR589824 UEN524291:UEN589824 UOJ524291:UOJ589824 UYF524291:UYF589824 VIB524291:VIB589824 VRX524291:VRX589824 WBT524291:WBT589824 WLP524291:WLP589824 WVL524291:WVL589824 D589827:D655360 IZ589827:IZ655360 SV589827:SV655360 ACR589827:ACR655360 AMN589827:AMN655360 AWJ589827:AWJ655360 BGF589827:BGF655360 BQB589827:BQB655360 BZX589827:BZX655360 CJT589827:CJT655360 CTP589827:CTP655360 DDL589827:DDL655360 DNH589827:DNH655360 DXD589827:DXD655360 EGZ589827:EGZ655360 EQV589827:EQV655360 FAR589827:FAR655360 FKN589827:FKN655360 FUJ589827:FUJ655360 GEF589827:GEF655360 GOB589827:GOB655360 GXX589827:GXX655360 HHT589827:HHT655360 HRP589827:HRP655360 IBL589827:IBL655360 ILH589827:ILH655360 IVD589827:IVD655360 JEZ589827:JEZ655360 JOV589827:JOV655360 JYR589827:JYR655360 KIN589827:KIN655360 KSJ589827:KSJ655360 LCF589827:LCF655360 LMB589827:LMB655360 LVX589827:LVX655360 MFT589827:MFT655360 MPP589827:MPP655360 MZL589827:MZL655360 NJH589827:NJH655360 NTD589827:NTD655360 OCZ589827:OCZ655360 OMV589827:OMV655360 OWR589827:OWR655360 PGN589827:PGN655360 PQJ589827:PQJ655360 QAF589827:QAF655360 QKB589827:QKB655360 QTX589827:QTX655360 RDT589827:RDT655360 RNP589827:RNP655360 RXL589827:RXL655360 SHH589827:SHH655360 SRD589827:SRD655360 TAZ589827:TAZ655360 TKV589827:TKV655360 TUR589827:TUR655360 UEN589827:UEN655360 UOJ589827:UOJ655360 UYF589827:UYF655360 VIB589827:VIB655360 VRX589827:VRX655360 WBT589827:WBT655360 WLP589827:WLP655360 WVL589827:WVL655360 D655363:D720896 IZ655363:IZ720896 SV655363:SV720896 ACR655363:ACR720896 AMN655363:AMN720896 AWJ655363:AWJ720896 BGF655363:BGF720896 BQB655363:BQB720896 BZX655363:BZX720896 CJT655363:CJT720896 CTP655363:CTP720896 DDL655363:DDL720896 DNH655363:DNH720896 DXD655363:DXD720896 EGZ655363:EGZ720896 EQV655363:EQV720896 FAR655363:FAR720896 FKN655363:FKN720896 FUJ655363:FUJ720896 GEF655363:GEF720896 GOB655363:GOB720896 GXX655363:GXX720896 HHT655363:HHT720896 HRP655363:HRP720896 IBL655363:IBL720896 ILH655363:ILH720896 IVD655363:IVD720896 JEZ655363:JEZ720896 JOV655363:JOV720896 JYR655363:JYR720896 KIN655363:KIN720896 KSJ655363:KSJ720896 LCF655363:LCF720896 LMB655363:LMB720896 LVX655363:LVX720896 MFT655363:MFT720896 MPP655363:MPP720896 MZL655363:MZL720896 NJH655363:NJH720896 NTD655363:NTD720896 OCZ655363:OCZ720896 OMV655363:OMV720896 OWR655363:OWR720896 PGN655363:PGN720896 PQJ655363:PQJ720896 QAF655363:QAF720896 QKB655363:QKB720896 QTX655363:QTX720896 RDT655363:RDT720896 RNP655363:RNP720896 RXL655363:RXL720896 SHH655363:SHH720896 SRD655363:SRD720896 TAZ655363:TAZ720896 TKV655363:TKV720896 TUR655363:TUR720896 UEN655363:UEN720896 UOJ655363:UOJ720896 UYF655363:UYF720896 VIB655363:VIB720896 VRX655363:VRX720896 WBT655363:WBT720896 WLP655363:WLP720896 WVL655363:WVL720896 D720899:D786432 IZ720899:IZ786432 SV720899:SV786432 ACR720899:ACR786432 AMN720899:AMN786432 AWJ720899:AWJ786432 BGF720899:BGF786432 BQB720899:BQB786432 BZX720899:BZX786432 CJT720899:CJT786432 CTP720899:CTP786432 DDL720899:DDL786432 DNH720899:DNH786432 DXD720899:DXD786432 EGZ720899:EGZ786432 EQV720899:EQV786432 FAR720899:FAR786432 FKN720899:FKN786432 FUJ720899:FUJ786432 GEF720899:GEF786432 GOB720899:GOB786432 GXX720899:GXX786432 HHT720899:HHT786432 HRP720899:HRP786432 IBL720899:IBL786432 ILH720899:ILH786432 IVD720899:IVD786432 JEZ720899:JEZ786432 JOV720899:JOV786432 JYR720899:JYR786432 KIN720899:KIN786432 KSJ720899:KSJ786432 LCF720899:LCF786432 LMB720899:LMB786432 LVX720899:LVX786432 MFT720899:MFT786432 MPP720899:MPP786432 MZL720899:MZL786432 NJH720899:NJH786432 NTD720899:NTD786432 OCZ720899:OCZ786432 OMV720899:OMV786432 OWR720899:OWR786432 PGN720899:PGN786432 PQJ720899:PQJ786432 QAF720899:QAF786432 QKB720899:QKB786432 QTX720899:QTX786432 RDT720899:RDT786432 RNP720899:RNP786432 RXL720899:RXL786432 SHH720899:SHH786432 SRD720899:SRD786432 TAZ720899:TAZ786432 TKV720899:TKV786432 TUR720899:TUR786432 UEN720899:UEN786432 UOJ720899:UOJ786432 UYF720899:UYF786432 VIB720899:VIB786432 VRX720899:VRX786432 WBT720899:WBT786432 WLP720899:WLP786432 WVL720899:WVL786432 D786435:D851968 IZ786435:IZ851968 SV786435:SV851968 ACR786435:ACR851968 AMN786435:AMN851968 AWJ786435:AWJ851968 BGF786435:BGF851968 BQB786435:BQB851968 BZX786435:BZX851968 CJT786435:CJT851968 CTP786435:CTP851968 DDL786435:DDL851968 DNH786435:DNH851968 DXD786435:DXD851968 EGZ786435:EGZ851968 EQV786435:EQV851968 FAR786435:FAR851968 FKN786435:FKN851968 FUJ786435:FUJ851968 GEF786435:GEF851968 GOB786435:GOB851968 GXX786435:GXX851968 HHT786435:HHT851968 HRP786435:HRP851968 IBL786435:IBL851968 ILH786435:ILH851968 IVD786435:IVD851968 JEZ786435:JEZ851968 JOV786435:JOV851968 JYR786435:JYR851968 KIN786435:KIN851968 KSJ786435:KSJ851968 LCF786435:LCF851968 LMB786435:LMB851968 LVX786435:LVX851968 MFT786435:MFT851968 MPP786435:MPP851968 MZL786435:MZL851968 NJH786435:NJH851968 NTD786435:NTD851968 OCZ786435:OCZ851968 OMV786435:OMV851968 OWR786435:OWR851968 PGN786435:PGN851968 PQJ786435:PQJ851968 QAF786435:QAF851968 QKB786435:QKB851968 QTX786435:QTX851968 RDT786435:RDT851968 RNP786435:RNP851968 RXL786435:RXL851968 SHH786435:SHH851968 SRD786435:SRD851968 TAZ786435:TAZ851968 TKV786435:TKV851968 TUR786435:TUR851968 UEN786435:UEN851968 UOJ786435:UOJ851968 UYF786435:UYF851968 VIB786435:VIB851968 VRX786435:VRX851968 WBT786435:WBT851968 WLP786435:WLP851968 WVL786435:WVL851968 D851971:D917504 IZ851971:IZ917504 SV851971:SV917504 ACR851971:ACR917504 AMN851971:AMN917504 AWJ851971:AWJ917504 BGF851971:BGF917504 BQB851971:BQB917504 BZX851971:BZX917504 CJT851971:CJT917504 CTP851971:CTP917504 DDL851971:DDL917504 DNH851971:DNH917504 DXD851971:DXD917504 EGZ851971:EGZ917504 EQV851971:EQV917504 FAR851971:FAR917504 FKN851971:FKN917504 FUJ851971:FUJ917504 GEF851971:GEF917504 GOB851971:GOB917504 GXX851971:GXX917504 HHT851971:HHT917504 HRP851971:HRP917504 IBL851971:IBL917504 ILH851971:ILH917504 IVD851971:IVD917504 JEZ851971:JEZ917504 JOV851971:JOV917504 JYR851971:JYR917504 KIN851971:KIN917504 KSJ851971:KSJ917504 LCF851971:LCF917504 LMB851971:LMB917504 LVX851971:LVX917504 MFT851971:MFT917504 MPP851971:MPP917504 MZL851971:MZL917504 NJH851971:NJH917504 NTD851971:NTD917504 OCZ851971:OCZ917504 OMV851971:OMV917504 OWR851971:OWR917504 PGN851971:PGN917504 PQJ851971:PQJ917504 QAF851971:QAF917504 QKB851971:QKB917504 QTX851971:QTX917504 RDT851971:RDT917504 RNP851971:RNP917504 RXL851971:RXL917504 SHH851971:SHH917504 SRD851971:SRD917504 TAZ851971:TAZ917504 TKV851971:TKV917504 TUR851971:TUR917504 UEN851971:UEN917504 UOJ851971:UOJ917504 UYF851971:UYF917504 VIB851971:VIB917504 VRX851971:VRX917504 WBT851971:WBT917504 WLP851971:WLP917504 WVL851971:WVL917504 D917507:D983040 IZ917507:IZ983040 SV917507:SV983040 ACR917507:ACR983040 AMN917507:AMN983040 AWJ917507:AWJ983040 BGF917507:BGF983040 BQB917507:BQB983040 BZX917507:BZX983040 CJT917507:CJT983040 CTP917507:CTP983040 DDL917507:DDL983040 DNH917507:DNH983040 DXD917507:DXD983040 EGZ917507:EGZ983040 EQV917507:EQV983040 FAR917507:FAR983040 FKN917507:FKN983040 FUJ917507:FUJ983040 GEF917507:GEF983040 GOB917507:GOB983040 GXX917507:GXX983040 HHT917507:HHT983040 HRP917507:HRP983040 IBL917507:IBL983040 ILH917507:ILH983040 IVD917507:IVD983040 JEZ917507:JEZ983040 JOV917507:JOV983040 JYR917507:JYR983040 KIN917507:KIN983040 KSJ917507:KSJ983040 LCF917507:LCF983040 LMB917507:LMB983040 LVX917507:LVX983040 MFT917507:MFT983040 MPP917507:MPP983040 MZL917507:MZL983040 NJH917507:NJH983040 NTD917507:NTD983040 OCZ917507:OCZ983040 OMV917507:OMV983040 OWR917507:OWR983040 PGN917507:PGN983040 PQJ917507:PQJ983040 QAF917507:QAF983040 QKB917507:QKB983040 QTX917507:QTX983040 RDT917507:RDT983040 RNP917507:RNP983040 RXL917507:RXL983040 SHH917507:SHH983040 SRD917507:SRD983040 TAZ917507:TAZ983040 TKV917507:TKV983040 TUR917507:TUR983040 UEN917507:UEN983040 UOJ917507:UOJ983040 UYF917507:UYF983040 VIB917507:VIB983040 VRX917507:VRX983040 WBT917507:WBT983040 WLP917507:WLP983040 WVL917507:WVL983040 D983043:D1048576 IZ983043:IZ1048576 SV983043:SV1048576 ACR983043:ACR1048576 AMN983043:AMN1048576 AWJ983043:AWJ1048576 BGF983043:BGF1048576 BQB983043:BQB1048576 BZX983043:BZX1048576 CJT983043:CJT1048576 CTP983043:CTP1048576 DDL983043:DDL1048576 DNH983043:DNH1048576 DXD983043:DXD1048576 EGZ983043:EGZ1048576 EQV983043:EQV1048576 FAR983043:FAR1048576 FKN983043:FKN1048576 FUJ983043:FUJ1048576 GEF983043:GEF1048576 GOB983043:GOB1048576 GXX983043:GXX1048576 HHT983043:HHT1048576 HRP983043:HRP1048576 IBL983043:IBL1048576 ILH983043:ILH1048576 IVD983043:IVD1048576 JEZ983043:JEZ1048576 JOV983043:JOV1048576 JYR983043:JYR1048576 KIN983043:KIN1048576 KSJ983043:KSJ1048576 LCF983043:LCF1048576 LMB983043:LMB1048576 LVX983043:LVX1048576 MFT983043:MFT1048576 MPP983043:MPP1048576 MZL983043:MZL1048576 NJH983043:NJH1048576 NTD983043:NTD1048576 OCZ983043:OCZ1048576 OMV983043:OMV1048576 OWR983043:OWR1048576 PGN983043:PGN1048576 PQJ983043:PQJ1048576 QAF983043:QAF1048576 QKB983043:QKB1048576 QTX983043:QTX1048576 RDT983043:RDT1048576 RNP983043:RNP1048576 RXL983043:RXL1048576 SHH983043:SHH1048576 SRD983043:SRD1048576 TAZ983043:TAZ1048576 TKV983043:TKV1048576 TUR983043:TUR1048576 UEN983043:UEN1048576 UOJ983043:UOJ1048576 UYF983043:UYF1048576 VIB983043:VIB1048576 VRX983043:VRX1048576 WBT983043:WBT1048576 WLP983043:WLP1048576 D17:D65536" xr:uid="{25743A29-1CBA-4E73-BA20-283876660AA2}">
      <formula1>1800</formula1>
      <formula2>3000</formula2>
    </dataValidation>
    <dataValidation type="list" allowBlank="1" showInputMessage="1" showErrorMessage="1" sqref="J3:J65536 JF3:JF65536 TB3:TB65536 ACX3:ACX65536 AMT3:AMT65536 AWP3:AWP65536 BGL3:BGL65536 BQH3:BQH65536 CAD3:CAD65536 CJZ3:CJZ65536 CTV3:CTV65536 DDR3:DDR65536 DNN3:DNN65536 DXJ3:DXJ65536 EHF3:EHF65536 ERB3:ERB65536 FAX3:FAX65536 FKT3:FKT65536 FUP3:FUP65536 GEL3:GEL65536 GOH3:GOH65536 GYD3:GYD65536 HHZ3:HHZ65536 HRV3:HRV65536 IBR3:IBR65536 ILN3:ILN65536 IVJ3:IVJ65536 JFF3:JFF65536 JPB3:JPB65536 JYX3:JYX65536 KIT3:KIT65536 KSP3:KSP65536 LCL3:LCL65536 LMH3:LMH65536 LWD3:LWD65536 MFZ3:MFZ65536 MPV3:MPV65536 MZR3:MZR65536 NJN3:NJN65536 NTJ3:NTJ65536 ODF3:ODF65536 ONB3:ONB65536 OWX3:OWX65536 PGT3:PGT65536 PQP3:PQP65536 QAL3:QAL65536 QKH3:QKH65536 QUD3:QUD65536 RDZ3:RDZ65536 RNV3:RNV65536 RXR3:RXR65536 SHN3:SHN65536 SRJ3:SRJ65536 TBF3:TBF65536 TLB3:TLB65536 TUX3:TUX65536 UET3:UET65536 UOP3:UOP65536 UYL3:UYL65536 VIH3:VIH65536 VSD3:VSD65536 WBZ3:WBZ65536 WLV3:WLV65536 WVR3:WVR65536 J65539:J131072 JF65539:JF131072 TB65539:TB131072 ACX65539:ACX131072 AMT65539:AMT131072 AWP65539:AWP131072 BGL65539:BGL131072 BQH65539:BQH131072 CAD65539:CAD131072 CJZ65539:CJZ131072 CTV65539:CTV131072 DDR65539:DDR131072 DNN65539:DNN131072 DXJ65539:DXJ131072 EHF65539:EHF131072 ERB65539:ERB131072 FAX65539:FAX131072 FKT65539:FKT131072 FUP65539:FUP131072 GEL65539:GEL131072 GOH65539:GOH131072 GYD65539:GYD131072 HHZ65539:HHZ131072 HRV65539:HRV131072 IBR65539:IBR131072 ILN65539:ILN131072 IVJ65539:IVJ131072 JFF65539:JFF131072 JPB65539:JPB131072 JYX65539:JYX131072 KIT65539:KIT131072 KSP65539:KSP131072 LCL65539:LCL131072 LMH65539:LMH131072 LWD65539:LWD131072 MFZ65539:MFZ131072 MPV65539:MPV131072 MZR65539:MZR131072 NJN65539:NJN131072 NTJ65539:NTJ131072 ODF65539:ODF131072 ONB65539:ONB131072 OWX65539:OWX131072 PGT65539:PGT131072 PQP65539:PQP131072 QAL65539:QAL131072 QKH65539:QKH131072 QUD65539:QUD131072 RDZ65539:RDZ131072 RNV65539:RNV131072 RXR65539:RXR131072 SHN65539:SHN131072 SRJ65539:SRJ131072 TBF65539:TBF131072 TLB65539:TLB131072 TUX65539:TUX131072 UET65539:UET131072 UOP65539:UOP131072 UYL65539:UYL131072 VIH65539:VIH131072 VSD65539:VSD131072 WBZ65539:WBZ131072 WLV65539:WLV131072 WVR65539:WVR131072 J131075:J196608 JF131075:JF196608 TB131075:TB196608 ACX131075:ACX196608 AMT131075:AMT196608 AWP131075:AWP196608 BGL131075:BGL196608 BQH131075:BQH196608 CAD131075:CAD196608 CJZ131075:CJZ196608 CTV131075:CTV196608 DDR131075:DDR196608 DNN131075:DNN196608 DXJ131075:DXJ196608 EHF131075:EHF196608 ERB131075:ERB196608 FAX131075:FAX196608 FKT131075:FKT196608 FUP131075:FUP196608 GEL131075:GEL196608 GOH131075:GOH196608 GYD131075:GYD196608 HHZ131075:HHZ196608 HRV131075:HRV196608 IBR131075:IBR196608 ILN131075:ILN196608 IVJ131075:IVJ196608 JFF131075:JFF196608 JPB131075:JPB196608 JYX131075:JYX196608 KIT131075:KIT196608 KSP131075:KSP196608 LCL131075:LCL196608 LMH131075:LMH196608 LWD131075:LWD196608 MFZ131075:MFZ196608 MPV131075:MPV196608 MZR131075:MZR196608 NJN131075:NJN196608 NTJ131075:NTJ196608 ODF131075:ODF196608 ONB131075:ONB196608 OWX131075:OWX196608 PGT131075:PGT196608 PQP131075:PQP196608 QAL131075:QAL196608 QKH131075:QKH196608 QUD131075:QUD196608 RDZ131075:RDZ196608 RNV131075:RNV196608 RXR131075:RXR196608 SHN131075:SHN196608 SRJ131075:SRJ196608 TBF131075:TBF196608 TLB131075:TLB196608 TUX131075:TUX196608 UET131075:UET196608 UOP131075:UOP196608 UYL131075:UYL196608 VIH131075:VIH196608 VSD131075:VSD196608 WBZ131075:WBZ196608 WLV131075:WLV196608 WVR131075:WVR196608 J196611:J262144 JF196611:JF262144 TB196611:TB262144 ACX196611:ACX262144 AMT196611:AMT262144 AWP196611:AWP262144 BGL196611:BGL262144 BQH196611:BQH262144 CAD196611:CAD262144 CJZ196611:CJZ262144 CTV196611:CTV262144 DDR196611:DDR262144 DNN196611:DNN262144 DXJ196611:DXJ262144 EHF196611:EHF262144 ERB196611:ERB262144 FAX196611:FAX262144 FKT196611:FKT262144 FUP196611:FUP262144 GEL196611:GEL262144 GOH196611:GOH262144 GYD196611:GYD262144 HHZ196611:HHZ262144 HRV196611:HRV262144 IBR196611:IBR262144 ILN196611:ILN262144 IVJ196611:IVJ262144 JFF196611:JFF262144 JPB196611:JPB262144 JYX196611:JYX262144 KIT196611:KIT262144 KSP196611:KSP262144 LCL196611:LCL262144 LMH196611:LMH262144 LWD196611:LWD262144 MFZ196611:MFZ262144 MPV196611:MPV262144 MZR196611:MZR262144 NJN196611:NJN262144 NTJ196611:NTJ262144 ODF196611:ODF262144 ONB196611:ONB262144 OWX196611:OWX262144 PGT196611:PGT262144 PQP196611:PQP262144 QAL196611:QAL262144 QKH196611:QKH262144 QUD196611:QUD262144 RDZ196611:RDZ262144 RNV196611:RNV262144 RXR196611:RXR262144 SHN196611:SHN262144 SRJ196611:SRJ262144 TBF196611:TBF262144 TLB196611:TLB262144 TUX196611:TUX262144 UET196611:UET262144 UOP196611:UOP262144 UYL196611:UYL262144 VIH196611:VIH262144 VSD196611:VSD262144 WBZ196611:WBZ262144 WLV196611:WLV262144 WVR196611:WVR262144 J262147:J327680 JF262147:JF327680 TB262147:TB327680 ACX262147:ACX327680 AMT262147:AMT327680 AWP262147:AWP327680 BGL262147:BGL327680 BQH262147:BQH327680 CAD262147:CAD327680 CJZ262147:CJZ327680 CTV262147:CTV327680 DDR262147:DDR327680 DNN262147:DNN327680 DXJ262147:DXJ327680 EHF262147:EHF327680 ERB262147:ERB327680 FAX262147:FAX327680 FKT262147:FKT327680 FUP262147:FUP327680 GEL262147:GEL327680 GOH262147:GOH327680 GYD262147:GYD327680 HHZ262147:HHZ327680 HRV262147:HRV327680 IBR262147:IBR327680 ILN262147:ILN327680 IVJ262147:IVJ327680 JFF262147:JFF327680 JPB262147:JPB327680 JYX262147:JYX327680 KIT262147:KIT327680 KSP262147:KSP327680 LCL262147:LCL327680 LMH262147:LMH327680 LWD262147:LWD327680 MFZ262147:MFZ327680 MPV262147:MPV327680 MZR262147:MZR327680 NJN262147:NJN327680 NTJ262147:NTJ327680 ODF262147:ODF327680 ONB262147:ONB327680 OWX262147:OWX327680 PGT262147:PGT327680 PQP262147:PQP327680 QAL262147:QAL327680 QKH262147:QKH327680 QUD262147:QUD327680 RDZ262147:RDZ327680 RNV262147:RNV327680 RXR262147:RXR327680 SHN262147:SHN327680 SRJ262147:SRJ327680 TBF262147:TBF327680 TLB262147:TLB327680 TUX262147:TUX327680 UET262147:UET327680 UOP262147:UOP327680 UYL262147:UYL327680 VIH262147:VIH327680 VSD262147:VSD327680 WBZ262147:WBZ327680 WLV262147:WLV327680 WVR262147:WVR327680 J327683:J393216 JF327683:JF393216 TB327683:TB393216 ACX327683:ACX393216 AMT327683:AMT393216 AWP327683:AWP393216 BGL327683:BGL393216 BQH327683:BQH393216 CAD327683:CAD393216 CJZ327683:CJZ393216 CTV327683:CTV393216 DDR327683:DDR393216 DNN327683:DNN393216 DXJ327683:DXJ393216 EHF327683:EHF393216 ERB327683:ERB393216 FAX327683:FAX393216 FKT327683:FKT393216 FUP327683:FUP393216 GEL327683:GEL393216 GOH327683:GOH393216 GYD327683:GYD393216 HHZ327683:HHZ393216 HRV327683:HRV393216 IBR327683:IBR393216 ILN327683:ILN393216 IVJ327683:IVJ393216 JFF327683:JFF393216 JPB327683:JPB393216 JYX327683:JYX393216 KIT327683:KIT393216 KSP327683:KSP393216 LCL327683:LCL393216 LMH327683:LMH393216 LWD327683:LWD393216 MFZ327683:MFZ393216 MPV327683:MPV393216 MZR327683:MZR393216 NJN327683:NJN393216 NTJ327683:NTJ393216 ODF327683:ODF393216 ONB327683:ONB393216 OWX327683:OWX393216 PGT327683:PGT393216 PQP327683:PQP393216 QAL327683:QAL393216 QKH327683:QKH393216 QUD327683:QUD393216 RDZ327683:RDZ393216 RNV327683:RNV393216 RXR327683:RXR393216 SHN327683:SHN393216 SRJ327683:SRJ393216 TBF327683:TBF393216 TLB327683:TLB393216 TUX327683:TUX393216 UET327683:UET393216 UOP327683:UOP393216 UYL327683:UYL393216 VIH327683:VIH393216 VSD327683:VSD393216 WBZ327683:WBZ393216 WLV327683:WLV393216 WVR327683:WVR393216 J393219:J458752 JF393219:JF458752 TB393219:TB458752 ACX393219:ACX458752 AMT393219:AMT458752 AWP393219:AWP458752 BGL393219:BGL458752 BQH393219:BQH458752 CAD393219:CAD458752 CJZ393219:CJZ458752 CTV393219:CTV458752 DDR393219:DDR458752 DNN393219:DNN458752 DXJ393219:DXJ458752 EHF393219:EHF458752 ERB393219:ERB458752 FAX393219:FAX458752 FKT393219:FKT458752 FUP393219:FUP458752 GEL393219:GEL458752 GOH393219:GOH458752 GYD393219:GYD458752 HHZ393219:HHZ458752 HRV393219:HRV458752 IBR393219:IBR458752 ILN393219:ILN458752 IVJ393219:IVJ458752 JFF393219:JFF458752 JPB393219:JPB458752 JYX393219:JYX458752 KIT393219:KIT458752 KSP393219:KSP458752 LCL393219:LCL458752 LMH393219:LMH458752 LWD393219:LWD458752 MFZ393219:MFZ458752 MPV393219:MPV458752 MZR393219:MZR458752 NJN393219:NJN458752 NTJ393219:NTJ458752 ODF393219:ODF458752 ONB393219:ONB458752 OWX393219:OWX458752 PGT393219:PGT458752 PQP393219:PQP458752 QAL393219:QAL458752 QKH393219:QKH458752 QUD393219:QUD458752 RDZ393219:RDZ458752 RNV393219:RNV458752 RXR393219:RXR458752 SHN393219:SHN458752 SRJ393219:SRJ458752 TBF393219:TBF458752 TLB393219:TLB458752 TUX393219:TUX458752 UET393219:UET458752 UOP393219:UOP458752 UYL393219:UYL458752 VIH393219:VIH458752 VSD393219:VSD458752 WBZ393219:WBZ458752 WLV393219:WLV458752 WVR393219:WVR458752 J458755:J524288 JF458755:JF524288 TB458755:TB524288 ACX458755:ACX524288 AMT458755:AMT524288 AWP458755:AWP524288 BGL458755:BGL524288 BQH458755:BQH524288 CAD458755:CAD524288 CJZ458755:CJZ524288 CTV458755:CTV524288 DDR458755:DDR524288 DNN458755:DNN524288 DXJ458755:DXJ524288 EHF458755:EHF524288 ERB458755:ERB524288 FAX458755:FAX524288 FKT458755:FKT524288 FUP458755:FUP524288 GEL458755:GEL524288 GOH458755:GOH524288 GYD458755:GYD524288 HHZ458755:HHZ524288 HRV458755:HRV524288 IBR458755:IBR524288 ILN458755:ILN524288 IVJ458755:IVJ524288 JFF458755:JFF524288 JPB458755:JPB524288 JYX458755:JYX524288 KIT458755:KIT524288 KSP458755:KSP524288 LCL458755:LCL524288 LMH458755:LMH524288 LWD458755:LWD524288 MFZ458755:MFZ524288 MPV458755:MPV524288 MZR458755:MZR524288 NJN458755:NJN524288 NTJ458755:NTJ524288 ODF458755:ODF524288 ONB458755:ONB524288 OWX458755:OWX524288 PGT458755:PGT524288 PQP458755:PQP524288 QAL458755:QAL524288 QKH458755:QKH524288 QUD458755:QUD524288 RDZ458755:RDZ524288 RNV458755:RNV524288 RXR458755:RXR524288 SHN458755:SHN524288 SRJ458755:SRJ524288 TBF458755:TBF524288 TLB458755:TLB524288 TUX458755:TUX524288 UET458755:UET524288 UOP458755:UOP524288 UYL458755:UYL524288 VIH458755:VIH524288 VSD458755:VSD524288 WBZ458755:WBZ524288 WLV458755:WLV524288 WVR458755:WVR524288 J524291:J589824 JF524291:JF589824 TB524291:TB589824 ACX524291:ACX589824 AMT524291:AMT589824 AWP524291:AWP589824 BGL524291:BGL589824 BQH524291:BQH589824 CAD524291:CAD589824 CJZ524291:CJZ589824 CTV524291:CTV589824 DDR524291:DDR589824 DNN524291:DNN589824 DXJ524291:DXJ589824 EHF524291:EHF589824 ERB524291:ERB589824 FAX524291:FAX589824 FKT524291:FKT589824 FUP524291:FUP589824 GEL524291:GEL589824 GOH524291:GOH589824 GYD524291:GYD589824 HHZ524291:HHZ589824 HRV524291:HRV589824 IBR524291:IBR589824 ILN524291:ILN589824 IVJ524291:IVJ589824 JFF524291:JFF589824 JPB524291:JPB589824 JYX524291:JYX589824 KIT524291:KIT589824 KSP524291:KSP589824 LCL524291:LCL589824 LMH524291:LMH589824 LWD524291:LWD589824 MFZ524291:MFZ589824 MPV524291:MPV589824 MZR524291:MZR589824 NJN524291:NJN589824 NTJ524291:NTJ589824 ODF524291:ODF589824 ONB524291:ONB589824 OWX524291:OWX589824 PGT524291:PGT589824 PQP524291:PQP589824 QAL524291:QAL589824 QKH524291:QKH589824 QUD524291:QUD589824 RDZ524291:RDZ589824 RNV524291:RNV589824 RXR524291:RXR589824 SHN524291:SHN589824 SRJ524291:SRJ589824 TBF524291:TBF589824 TLB524291:TLB589824 TUX524291:TUX589824 UET524291:UET589824 UOP524291:UOP589824 UYL524291:UYL589824 VIH524291:VIH589824 VSD524291:VSD589824 WBZ524291:WBZ589824 WLV524291:WLV589824 WVR524291:WVR589824 J589827:J655360 JF589827:JF655360 TB589827:TB655360 ACX589827:ACX655360 AMT589827:AMT655360 AWP589827:AWP655360 BGL589827:BGL655360 BQH589827:BQH655360 CAD589827:CAD655360 CJZ589827:CJZ655360 CTV589827:CTV655360 DDR589827:DDR655360 DNN589827:DNN655360 DXJ589827:DXJ655360 EHF589827:EHF655360 ERB589827:ERB655360 FAX589827:FAX655360 FKT589827:FKT655360 FUP589827:FUP655360 GEL589827:GEL655360 GOH589827:GOH655360 GYD589827:GYD655360 HHZ589827:HHZ655360 HRV589827:HRV655360 IBR589827:IBR655360 ILN589827:ILN655360 IVJ589827:IVJ655360 JFF589827:JFF655360 JPB589827:JPB655360 JYX589827:JYX655360 KIT589827:KIT655360 KSP589827:KSP655360 LCL589827:LCL655360 LMH589827:LMH655360 LWD589827:LWD655360 MFZ589827:MFZ655360 MPV589827:MPV655360 MZR589827:MZR655360 NJN589827:NJN655360 NTJ589827:NTJ655360 ODF589827:ODF655360 ONB589827:ONB655360 OWX589827:OWX655360 PGT589827:PGT655360 PQP589827:PQP655360 QAL589827:QAL655360 QKH589827:QKH655360 QUD589827:QUD655360 RDZ589827:RDZ655360 RNV589827:RNV655360 RXR589827:RXR655360 SHN589827:SHN655360 SRJ589827:SRJ655360 TBF589827:TBF655360 TLB589827:TLB655360 TUX589827:TUX655360 UET589827:UET655360 UOP589827:UOP655360 UYL589827:UYL655360 VIH589827:VIH655360 VSD589827:VSD655360 WBZ589827:WBZ655360 WLV589827:WLV655360 WVR589827:WVR655360 J655363:J720896 JF655363:JF720896 TB655363:TB720896 ACX655363:ACX720896 AMT655363:AMT720896 AWP655363:AWP720896 BGL655363:BGL720896 BQH655363:BQH720896 CAD655363:CAD720896 CJZ655363:CJZ720896 CTV655363:CTV720896 DDR655363:DDR720896 DNN655363:DNN720896 DXJ655363:DXJ720896 EHF655363:EHF720896 ERB655363:ERB720896 FAX655363:FAX720896 FKT655363:FKT720896 FUP655363:FUP720896 GEL655363:GEL720896 GOH655363:GOH720896 GYD655363:GYD720896 HHZ655363:HHZ720896 HRV655363:HRV720896 IBR655363:IBR720896 ILN655363:ILN720896 IVJ655363:IVJ720896 JFF655363:JFF720896 JPB655363:JPB720896 JYX655363:JYX720896 KIT655363:KIT720896 KSP655363:KSP720896 LCL655363:LCL720896 LMH655363:LMH720896 LWD655363:LWD720896 MFZ655363:MFZ720896 MPV655363:MPV720896 MZR655363:MZR720896 NJN655363:NJN720896 NTJ655363:NTJ720896 ODF655363:ODF720896 ONB655363:ONB720896 OWX655363:OWX720896 PGT655363:PGT720896 PQP655363:PQP720896 QAL655363:QAL720896 QKH655363:QKH720896 QUD655363:QUD720896 RDZ655363:RDZ720896 RNV655363:RNV720896 RXR655363:RXR720896 SHN655363:SHN720896 SRJ655363:SRJ720896 TBF655363:TBF720896 TLB655363:TLB720896 TUX655363:TUX720896 UET655363:UET720896 UOP655363:UOP720896 UYL655363:UYL720896 VIH655363:VIH720896 VSD655363:VSD720896 WBZ655363:WBZ720896 WLV655363:WLV720896 WVR655363:WVR720896 J720899:J786432 JF720899:JF786432 TB720899:TB786432 ACX720899:ACX786432 AMT720899:AMT786432 AWP720899:AWP786432 BGL720899:BGL786432 BQH720899:BQH786432 CAD720899:CAD786432 CJZ720899:CJZ786432 CTV720899:CTV786432 DDR720899:DDR786432 DNN720899:DNN786432 DXJ720899:DXJ786432 EHF720899:EHF786432 ERB720899:ERB786432 FAX720899:FAX786432 FKT720899:FKT786432 FUP720899:FUP786432 GEL720899:GEL786432 GOH720899:GOH786432 GYD720899:GYD786432 HHZ720899:HHZ786432 HRV720899:HRV786432 IBR720899:IBR786432 ILN720899:ILN786432 IVJ720899:IVJ786432 JFF720899:JFF786432 JPB720899:JPB786432 JYX720899:JYX786432 KIT720899:KIT786432 KSP720899:KSP786432 LCL720899:LCL786432 LMH720899:LMH786432 LWD720899:LWD786432 MFZ720899:MFZ786432 MPV720899:MPV786432 MZR720899:MZR786432 NJN720899:NJN786432 NTJ720899:NTJ786432 ODF720899:ODF786432 ONB720899:ONB786432 OWX720899:OWX786432 PGT720899:PGT786432 PQP720899:PQP786432 QAL720899:QAL786432 QKH720899:QKH786432 QUD720899:QUD786432 RDZ720899:RDZ786432 RNV720899:RNV786432 RXR720899:RXR786432 SHN720899:SHN786432 SRJ720899:SRJ786432 TBF720899:TBF786432 TLB720899:TLB786432 TUX720899:TUX786432 UET720899:UET786432 UOP720899:UOP786432 UYL720899:UYL786432 VIH720899:VIH786432 VSD720899:VSD786432 WBZ720899:WBZ786432 WLV720899:WLV786432 WVR720899:WVR786432 J786435:J851968 JF786435:JF851968 TB786435:TB851968 ACX786435:ACX851968 AMT786435:AMT851968 AWP786435:AWP851968 BGL786435:BGL851968 BQH786435:BQH851968 CAD786435:CAD851968 CJZ786435:CJZ851968 CTV786435:CTV851968 DDR786435:DDR851968 DNN786435:DNN851968 DXJ786435:DXJ851968 EHF786435:EHF851968 ERB786435:ERB851968 FAX786435:FAX851968 FKT786435:FKT851968 FUP786435:FUP851968 GEL786435:GEL851968 GOH786435:GOH851968 GYD786435:GYD851968 HHZ786435:HHZ851968 HRV786435:HRV851968 IBR786435:IBR851968 ILN786435:ILN851968 IVJ786435:IVJ851968 JFF786435:JFF851968 JPB786435:JPB851968 JYX786435:JYX851968 KIT786435:KIT851968 KSP786435:KSP851968 LCL786435:LCL851968 LMH786435:LMH851968 LWD786435:LWD851968 MFZ786435:MFZ851968 MPV786435:MPV851968 MZR786435:MZR851968 NJN786435:NJN851968 NTJ786435:NTJ851968 ODF786435:ODF851968 ONB786435:ONB851968 OWX786435:OWX851968 PGT786435:PGT851968 PQP786435:PQP851968 QAL786435:QAL851968 QKH786435:QKH851968 QUD786435:QUD851968 RDZ786435:RDZ851968 RNV786435:RNV851968 RXR786435:RXR851968 SHN786435:SHN851968 SRJ786435:SRJ851968 TBF786435:TBF851968 TLB786435:TLB851968 TUX786435:TUX851968 UET786435:UET851968 UOP786435:UOP851968 UYL786435:UYL851968 VIH786435:VIH851968 VSD786435:VSD851968 WBZ786435:WBZ851968 WLV786435:WLV851968 WVR786435:WVR851968 J851971:J917504 JF851971:JF917504 TB851971:TB917504 ACX851971:ACX917504 AMT851971:AMT917504 AWP851971:AWP917504 BGL851971:BGL917504 BQH851971:BQH917504 CAD851971:CAD917504 CJZ851971:CJZ917504 CTV851971:CTV917504 DDR851971:DDR917504 DNN851971:DNN917504 DXJ851971:DXJ917504 EHF851971:EHF917504 ERB851971:ERB917504 FAX851971:FAX917504 FKT851971:FKT917504 FUP851971:FUP917504 GEL851971:GEL917504 GOH851971:GOH917504 GYD851971:GYD917504 HHZ851971:HHZ917504 HRV851971:HRV917504 IBR851971:IBR917504 ILN851971:ILN917504 IVJ851971:IVJ917504 JFF851971:JFF917504 JPB851971:JPB917504 JYX851971:JYX917504 KIT851971:KIT917504 KSP851971:KSP917504 LCL851971:LCL917504 LMH851971:LMH917504 LWD851971:LWD917504 MFZ851971:MFZ917504 MPV851971:MPV917504 MZR851971:MZR917504 NJN851971:NJN917504 NTJ851971:NTJ917504 ODF851971:ODF917504 ONB851971:ONB917504 OWX851971:OWX917504 PGT851971:PGT917504 PQP851971:PQP917504 QAL851971:QAL917504 QKH851971:QKH917504 QUD851971:QUD917504 RDZ851971:RDZ917504 RNV851971:RNV917504 RXR851971:RXR917504 SHN851971:SHN917504 SRJ851971:SRJ917504 TBF851971:TBF917504 TLB851971:TLB917504 TUX851971:TUX917504 UET851971:UET917504 UOP851971:UOP917504 UYL851971:UYL917504 VIH851971:VIH917504 VSD851971:VSD917504 WBZ851971:WBZ917504 WLV851971:WLV917504 WVR851971:WVR917504 J917507:J983040 JF917507:JF983040 TB917507:TB983040 ACX917507:ACX983040 AMT917507:AMT983040 AWP917507:AWP983040 BGL917507:BGL983040 BQH917507:BQH983040 CAD917507:CAD983040 CJZ917507:CJZ983040 CTV917507:CTV983040 DDR917507:DDR983040 DNN917507:DNN983040 DXJ917507:DXJ983040 EHF917507:EHF983040 ERB917507:ERB983040 FAX917507:FAX983040 FKT917507:FKT983040 FUP917507:FUP983040 GEL917507:GEL983040 GOH917507:GOH983040 GYD917507:GYD983040 HHZ917507:HHZ983040 HRV917507:HRV983040 IBR917507:IBR983040 ILN917507:ILN983040 IVJ917507:IVJ983040 JFF917507:JFF983040 JPB917507:JPB983040 JYX917507:JYX983040 KIT917507:KIT983040 KSP917507:KSP983040 LCL917507:LCL983040 LMH917507:LMH983040 LWD917507:LWD983040 MFZ917507:MFZ983040 MPV917507:MPV983040 MZR917507:MZR983040 NJN917507:NJN983040 NTJ917507:NTJ983040 ODF917507:ODF983040 ONB917507:ONB983040 OWX917507:OWX983040 PGT917507:PGT983040 PQP917507:PQP983040 QAL917507:QAL983040 QKH917507:QKH983040 QUD917507:QUD983040 RDZ917507:RDZ983040 RNV917507:RNV983040 RXR917507:RXR983040 SHN917507:SHN983040 SRJ917507:SRJ983040 TBF917507:TBF983040 TLB917507:TLB983040 TUX917507:TUX983040 UET917507:UET983040 UOP917507:UOP983040 UYL917507:UYL983040 VIH917507:VIH983040 VSD917507:VSD983040 WBZ917507:WBZ983040 WLV917507:WLV983040 WVR917507:WVR983040 J983043:J1048576 JF983043:JF1048576 TB983043:TB1048576 ACX983043:ACX1048576 AMT983043:AMT1048576 AWP983043:AWP1048576 BGL983043:BGL1048576 BQH983043:BQH1048576 CAD983043:CAD1048576 CJZ983043:CJZ1048576 CTV983043:CTV1048576 DDR983043:DDR1048576 DNN983043:DNN1048576 DXJ983043:DXJ1048576 EHF983043:EHF1048576 ERB983043:ERB1048576 FAX983043:FAX1048576 FKT983043:FKT1048576 FUP983043:FUP1048576 GEL983043:GEL1048576 GOH983043:GOH1048576 GYD983043:GYD1048576 HHZ983043:HHZ1048576 HRV983043:HRV1048576 IBR983043:IBR1048576 ILN983043:ILN1048576 IVJ983043:IVJ1048576 JFF983043:JFF1048576 JPB983043:JPB1048576 JYX983043:JYX1048576 KIT983043:KIT1048576 KSP983043:KSP1048576 LCL983043:LCL1048576 LMH983043:LMH1048576 LWD983043:LWD1048576 MFZ983043:MFZ1048576 MPV983043:MPV1048576 MZR983043:MZR1048576 NJN983043:NJN1048576 NTJ983043:NTJ1048576 ODF983043:ODF1048576 ONB983043:ONB1048576 OWX983043:OWX1048576 PGT983043:PGT1048576 PQP983043:PQP1048576 QAL983043:QAL1048576 QKH983043:QKH1048576 QUD983043:QUD1048576 RDZ983043:RDZ1048576 RNV983043:RNV1048576 RXR983043:RXR1048576 SHN983043:SHN1048576 SRJ983043:SRJ1048576 TBF983043:TBF1048576 TLB983043:TLB1048576 TUX983043:TUX1048576 UET983043:UET1048576 UOP983043:UOP1048576 UYL983043:UYL1048576 VIH983043:VIH1048576 VSD983043:VSD1048576 WBZ983043:WBZ1048576 WLV983043:WLV1048576 WVR983043:WVR1048576" xr:uid="{5DB7B4DB-D580-4F5D-86A2-D19894960D81}">
      <formula1>yesno</formula1>
    </dataValidation>
    <dataValidation type="list" allowBlank="1" showInputMessage="1" showErrorMessage="1" sqref="WVM983043:WVM1048576 JA3:JA65536 SW3:SW65536 ACS3:ACS65536 AMO3:AMO65536 AWK3:AWK65536 BGG3:BGG65536 BQC3:BQC65536 BZY3:BZY65536 CJU3:CJU65536 CTQ3:CTQ65536 DDM3:DDM65536 DNI3:DNI65536 DXE3:DXE65536 EHA3:EHA65536 EQW3:EQW65536 FAS3:FAS65536 FKO3:FKO65536 FUK3:FUK65536 GEG3:GEG65536 GOC3:GOC65536 GXY3:GXY65536 HHU3:HHU65536 HRQ3:HRQ65536 IBM3:IBM65536 ILI3:ILI65536 IVE3:IVE65536 JFA3:JFA65536 JOW3:JOW65536 JYS3:JYS65536 KIO3:KIO65536 KSK3:KSK65536 LCG3:LCG65536 LMC3:LMC65536 LVY3:LVY65536 MFU3:MFU65536 MPQ3:MPQ65536 MZM3:MZM65536 NJI3:NJI65536 NTE3:NTE65536 ODA3:ODA65536 OMW3:OMW65536 OWS3:OWS65536 PGO3:PGO65536 PQK3:PQK65536 QAG3:QAG65536 QKC3:QKC65536 QTY3:QTY65536 RDU3:RDU65536 RNQ3:RNQ65536 RXM3:RXM65536 SHI3:SHI65536 SRE3:SRE65536 TBA3:TBA65536 TKW3:TKW65536 TUS3:TUS65536 UEO3:UEO65536 UOK3:UOK65536 UYG3:UYG65536 VIC3:VIC65536 VRY3:VRY65536 WBU3:WBU65536 WLQ3:WLQ65536 WVM3:WVM65536 E65539:E131072 JA65539:JA131072 SW65539:SW131072 ACS65539:ACS131072 AMO65539:AMO131072 AWK65539:AWK131072 BGG65539:BGG131072 BQC65539:BQC131072 BZY65539:BZY131072 CJU65539:CJU131072 CTQ65539:CTQ131072 DDM65539:DDM131072 DNI65539:DNI131072 DXE65539:DXE131072 EHA65539:EHA131072 EQW65539:EQW131072 FAS65539:FAS131072 FKO65539:FKO131072 FUK65539:FUK131072 GEG65539:GEG131072 GOC65539:GOC131072 GXY65539:GXY131072 HHU65539:HHU131072 HRQ65539:HRQ131072 IBM65539:IBM131072 ILI65539:ILI131072 IVE65539:IVE131072 JFA65539:JFA131072 JOW65539:JOW131072 JYS65539:JYS131072 KIO65539:KIO131072 KSK65539:KSK131072 LCG65539:LCG131072 LMC65539:LMC131072 LVY65539:LVY131072 MFU65539:MFU131072 MPQ65539:MPQ131072 MZM65539:MZM131072 NJI65539:NJI131072 NTE65539:NTE131072 ODA65539:ODA131072 OMW65539:OMW131072 OWS65539:OWS131072 PGO65539:PGO131072 PQK65539:PQK131072 QAG65539:QAG131072 QKC65539:QKC131072 QTY65539:QTY131072 RDU65539:RDU131072 RNQ65539:RNQ131072 RXM65539:RXM131072 SHI65539:SHI131072 SRE65539:SRE131072 TBA65539:TBA131072 TKW65539:TKW131072 TUS65539:TUS131072 UEO65539:UEO131072 UOK65539:UOK131072 UYG65539:UYG131072 VIC65539:VIC131072 VRY65539:VRY131072 WBU65539:WBU131072 WLQ65539:WLQ131072 WVM65539:WVM131072 E131075:E196608 JA131075:JA196608 SW131075:SW196608 ACS131075:ACS196608 AMO131075:AMO196608 AWK131075:AWK196608 BGG131075:BGG196608 BQC131075:BQC196608 BZY131075:BZY196608 CJU131075:CJU196608 CTQ131075:CTQ196608 DDM131075:DDM196608 DNI131075:DNI196608 DXE131075:DXE196608 EHA131075:EHA196608 EQW131075:EQW196608 FAS131075:FAS196608 FKO131075:FKO196608 FUK131075:FUK196608 GEG131075:GEG196608 GOC131075:GOC196608 GXY131075:GXY196608 HHU131075:HHU196608 HRQ131075:HRQ196608 IBM131075:IBM196608 ILI131075:ILI196608 IVE131075:IVE196608 JFA131075:JFA196608 JOW131075:JOW196608 JYS131075:JYS196608 KIO131075:KIO196608 KSK131075:KSK196608 LCG131075:LCG196608 LMC131075:LMC196608 LVY131075:LVY196608 MFU131075:MFU196608 MPQ131075:MPQ196608 MZM131075:MZM196608 NJI131075:NJI196608 NTE131075:NTE196608 ODA131075:ODA196608 OMW131075:OMW196608 OWS131075:OWS196608 PGO131075:PGO196608 PQK131075:PQK196608 QAG131075:QAG196608 QKC131075:QKC196608 QTY131075:QTY196608 RDU131075:RDU196608 RNQ131075:RNQ196608 RXM131075:RXM196608 SHI131075:SHI196608 SRE131075:SRE196608 TBA131075:TBA196608 TKW131075:TKW196608 TUS131075:TUS196608 UEO131075:UEO196608 UOK131075:UOK196608 UYG131075:UYG196608 VIC131075:VIC196608 VRY131075:VRY196608 WBU131075:WBU196608 WLQ131075:WLQ196608 WVM131075:WVM196608 E196611:E262144 JA196611:JA262144 SW196611:SW262144 ACS196611:ACS262144 AMO196611:AMO262144 AWK196611:AWK262144 BGG196611:BGG262144 BQC196611:BQC262144 BZY196611:BZY262144 CJU196611:CJU262144 CTQ196611:CTQ262144 DDM196611:DDM262144 DNI196611:DNI262144 DXE196611:DXE262144 EHA196611:EHA262144 EQW196611:EQW262144 FAS196611:FAS262144 FKO196611:FKO262144 FUK196611:FUK262144 GEG196611:GEG262144 GOC196611:GOC262144 GXY196611:GXY262144 HHU196611:HHU262144 HRQ196611:HRQ262144 IBM196611:IBM262144 ILI196611:ILI262144 IVE196611:IVE262144 JFA196611:JFA262144 JOW196611:JOW262144 JYS196611:JYS262144 KIO196611:KIO262144 KSK196611:KSK262144 LCG196611:LCG262144 LMC196611:LMC262144 LVY196611:LVY262144 MFU196611:MFU262144 MPQ196611:MPQ262144 MZM196611:MZM262144 NJI196611:NJI262144 NTE196611:NTE262144 ODA196611:ODA262144 OMW196611:OMW262144 OWS196611:OWS262144 PGO196611:PGO262144 PQK196611:PQK262144 QAG196611:QAG262144 QKC196611:QKC262144 QTY196611:QTY262144 RDU196611:RDU262144 RNQ196611:RNQ262144 RXM196611:RXM262144 SHI196611:SHI262144 SRE196611:SRE262144 TBA196611:TBA262144 TKW196611:TKW262144 TUS196611:TUS262144 UEO196611:UEO262144 UOK196611:UOK262144 UYG196611:UYG262144 VIC196611:VIC262144 VRY196611:VRY262144 WBU196611:WBU262144 WLQ196611:WLQ262144 WVM196611:WVM262144 E262147:E327680 JA262147:JA327680 SW262147:SW327680 ACS262147:ACS327680 AMO262147:AMO327680 AWK262147:AWK327680 BGG262147:BGG327680 BQC262147:BQC327680 BZY262147:BZY327680 CJU262147:CJU327680 CTQ262147:CTQ327680 DDM262147:DDM327680 DNI262147:DNI327680 DXE262147:DXE327680 EHA262147:EHA327680 EQW262147:EQW327680 FAS262147:FAS327680 FKO262147:FKO327680 FUK262147:FUK327680 GEG262147:GEG327680 GOC262147:GOC327680 GXY262147:GXY327680 HHU262147:HHU327680 HRQ262147:HRQ327680 IBM262147:IBM327680 ILI262147:ILI327680 IVE262147:IVE327680 JFA262147:JFA327680 JOW262147:JOW327680 JYS262147:JYS327680 KIO262147:KIO327680 KSK262147:KSK327680 LCG262147:LCG327680 LMC262147:LMC327680 LVY262147:LVY327680 MFU262147:MFU327680 MPQ262147:MPQ327680 MZM262147:MZM327680 NJI262147:NJI327680 NTE262147:NTE327680 ODA262147:ODA327680 OMW262147:OMW327680 OWS262147:OWS327680 PGO262147:PGO327680 PQK262147:PQK327680 QAG262147:QAG327680 QKC262147:QKC327680 QTY262147:QTY327680 RDU262147:RDU327680 RNQ262147:RNQ327680 RXM262147:RXM327680 SHI262147:SHI327680 SRE262147:SRE327680 TBA262147:TBA327680 TKW262147:TKW327680 TUS262147:TUS327680 UEO262147:UEO327680 UOK262147:UOK327680 UYG262147:UYG327680 VIC262147:VIC327680 VRY262147:VRY327680 WBU262147:WBU327680 WLQ262147:WLQ327680 WVM262147:WVM327680 E327683:E393216 JA327683:JA393216 SW327683:SW393216 ACS327683:ACS393216 AMO327683:AMO393216 AWK327683:AWK393216 BGG327683:BGG393216 BQC327683:BQC393216 BZY327683:BZY393216 CJU327683:CJU393216 CTQ327683:CTQ393216 DDM327683:DDM393216 DNI327683:DNI393216 DXE327683:DXE393216 EHA327683:EHA393216 EQW327683:EQW393216 FAS327683:FAS393216 FKO327683:FKO393216 FUK327683:FUK393216 GEG327683:GEG393216 GOC327683:GOC393216 GXY327683:GXY393216 HHU327683:HHU393216 HRQ327683:HRQ393216 IBM327683:IBM393216 ILI327683:ILI393216 IVE327683:IVE393216 JFA327683:JFA393216 JOW327683:JOW393216 JYS327683:JYS393216 KIO327683:KIO393216 KSK327683:KSK393216 LCG327683:LCG393216 LMC327683:LMC393216 LVY327683:LVY393216 MFU327683:MFU393216 MPQ327683:MPQ393216 MZM327683:MZM393216 NJI327683:NJI393216 NTE327683:NTE393216 ODA327683:ODA393216 OMW327683:OMW393216 OWS327683:OWS393216 PGO327683:PGO393216 PQK327683:PQK393216 QAG327683:QAG393216 QKC327683:QKC393216 QTY327683:QTY393216 RDU327683:RDU393216 RNQ327683:RNQ393216 RXM327683:RXM393216 SHI327683:SHI393216 SRE327683:SRE393216 TBA327683:TBA393216 TKW327683:TKW393216 TUS327683:TUS393216 UEO327683:UEO393216 UOK327683:UOK393216 UYG327683:UYG393216 VIC327683:VIC393216 VRY327683:VRY393216 WBU327683:WBU393216 WLQ327683:WLQ393216 WVM327683:WVM393216 E393219:E458752 JA393219:JA458752 SW393219:SW458752 ACS393219:ACS458752 AMO393219:AMO458752 AWK393219:AWK458752 BGG393219:BGG458752 BQC393219:BQC458752 BZY393219:BZY458752 CJU393219:CJU458752 CTQ393219:CTQ458752 DDM393219:DDM458752 DNI393219:DNI458752 DXE393219:DXE458752 EHA393219:EHA458752 EQW393219:EQW458752 FAS393219:FAS458752 FKO393219:FKO458752 FUK393219:FUK458752 GEG393219:GEG458752 GOC393219:GOC458752 GXY393219:GXY458752 HHU393219:HHU458752 HRQ393219:HRQ458752 IBM393219:IBM458752 ILI393219:ILI458752 IVE393219:IVE458752 JFA393219:JFA458752 JOW393219:JOW458752 JYS393219:JYS458752 KIO393219:KIO458752 KSK393219:KSK458752 LCG393219:LCG458752 LMC393219:LMC458752 LVY393219:LVY458752 MFU393219:MFU458752 MPQ393219:MPQ458752 MZM393219:MZM458752 NJI393219:NJI458752 NTE393219:NTE458752 ODA393219:ODA458752 OMW393219:OMW458752 OWS393219:OWS458752 PGO393219:PGO458752 PQK393219:PQK458752 QAG393219:QAG458752 QKC393219:QKC458752 QTY393219:QTY458752 RDU393219:RDU458752 RNQ393219:RNQ458752 RXM393219:RXM458752 SHI393219:SHI458752 SRE393219:SRE458752 TBA393219:TBA458752 TKW393219:TKW458752 TUS393219:TUS458752 UEO393219:UEO458752 UOK393219:UOK458752 UYG393219:UYG458752 VIC393219:VIC458752 VRY393219:VRY458752 WBU393219:WBU458752 WLQ393219:WLQ458752 WVM393219:WVM458752 E458755:E524288 JA458755:JA524288 SW458755:SW524288 ACS458755:ACS524288 AMO458755:AMO524288 AWK458755:AWK524288 BGG458755:BGG524288 BQC458755:BQC524288 BZY458755:BZY524288 CJU458755:CJU524288 CTQ458755:CTQ524288 DDM458755:DDM524288 DNI458755:DNI524288 DXE458755:DXE524288 EHA458755:EHA524288 EQW458755:EQW524288 FAS458755:FAS524288 FKO458755:FKO524288 FUK458755:FUK524288 GEG458755:GEG524288 GOC458755:GOC524288 GXY458755:GXY524288 HHU458755:HHU524288 HRQ458755:HRQ524288 IBM458755:IBM524288 ILI458755:ILI524288 IVE458755:IVE524288 JFA458755:JFA524288 JOW458755:JOW524288 JYS458755:JYS524288 KIO458755:KIO524288 KSK458755:KSK524288 LCG458755:LCG524288 LMC458755:LMC524288 LVY458755:LVY524288 MFU458755:MFU524288 MPQ458755:MPQ524288 MZM458755:MZM524288 NJI458755:NJI524288 NTE458755:NTE524288 ODA458755:ODA524288 OMW458755:OMW524288 OWS458755:OWS524288 PGO458755:PGO524288 PQK458755:PQK524288 QAG458755:QAG524288 QKC458755:QKC524288 QTY458755:QTY524288 RDU458755:RDU524288 RNQ458755:RNQ524288 RXM458755:RXM524288 SHI458755:SHI524288 SRE458755:SRE524288 TBA458755:TBA524288 TKW458755:TKW524288 TUS458755:TUS524288 UEO458755:UEO524288 UOK458755:UOK524288 UYG458755:UYG524288 VIC458755:VIC524288 VRY458755:VRY524288 WBU458755:WBU524288 WLQ458755:WLQ524288 WVM458755:WVM524288 E524291:E589824 JA524291:JA589824 SW524291:SW589824 ACS524291:ACS589824 AMO524291:AMO589824 AWK524291:AWK589824 BGG524291:BGG589824 BQC524291:BQC589824 BZY524291:BZY589824 CJU524291:CJU589824 CTQ524291:CTQ589824 DDM524291:DDM589824 DNI524291:DNI589824 DXE524291:DXE589824 EHA524291:EHA589824 EQW524291:EQW589824 FAS524291:FAS589824 FKO524291:FKO589824 FUK524291:FUK589824 GEG524291:GEG589824 GOC524291:GOC589824 GXY524291:GXY589824 HHU524291:HHU589824 HRQ524291:HRQ589824 IBM524291:IBM589824 ILI524291:ILI589824 IVE524291:IVE589824 JFA524291:JFA589824 JOW524291:JOW589824 JYS524291:JYS589824 KIO524291:KIO589824 KSK524291:KSK589824 LCG524291:LCG589824 LMC524291:LMC589824 LVY524291:LVY589824 MFU524291:MFU589824 MPQ524291:MPQ589824 MZM524291:MZM589824 NJI524291:NJI589824 NTE524291:NTE589824 ODA524291:ODA589824 OMW524291:OMW589824 OWS524291:OWS589824 PGO524291:PGO589824 PQK524291:PQK589824 QAG524291:QAG589824 QKC524291:QKC589824 QTY524291:QTY589824 RDU524291:RDU589824 RNQ524291:RNQ589824 RXM524291:RXM589824 SHI524291:SHI589824 SRE524291:SRE589824 TBA524291:TBA589824 TKW524291:TKW589824 TUS524291:TUS589824 UEO524291:UEO589824 UOK524291:UOK589824 UYG524291:UYG589824 VIC524291:VIC589824 VRY524291:VRY589824 WBU524291:WBU589824 WLQ524291:WLQ589824 WVM524291:WVM589824 E589827:E655360 JA589827:JA655360 SW589827:SW655360 ACS589827:ACS655360 AMO589827:AMO655360 AWK589827:AWK655360 BGG589827:BGG655360 BQC589827:BQC655360 BZY589827:BZY655360 CJU589827:CJU655360 CTQ589827:CTQ655360 DDM589827:DDM655360 DNI589827:DNI655360 DXE589827:DXE655360 EHA589827:EHA655360 EQW589827:EQW655360 FAS589827:FAS655360 FKO589827:FKO655360 FUK589827:FUK655360 GEG589827:GEG655360 GOC589827:GOC655360 GXY589827:GXY655360 HHU589827:HHU655360 HRQ589827:HRQ655360 IBM589827:IBM655360 ILI589827:ILI655360 IVE589827:IVE655360 JFA589827:JFA655360 JOW589827:JOW655360 JYS589827:JYS655360 KIO589827:KIO655360 KSK589827:KSK655360 LCG589827:LCG655360 LMC589827:LMC655360 LVY589827:LVY655360 MFU589827:MFU655360 MPQ589827:MPQ655360 MZM589827:MZM655360 NJI589827:NJI655360 NTE589827:NTE655360 ODA589827:ODA655360 OMW589827:OMW655360 OWS589827:OWS655360 PGO589827:PGO655360 PQK589827:PQK655360 QAG589827:QAG655360 QKC589827:QKC655360 QTY589827:QTY655360 RDU589827:RDU655360 RNQ589827:RNQ655360 RXM589827:RXM655360 SHI589827:SHI655360 SRE589827:SRE655360 TBA589827:TBA655360 TKW589827:TKW655360 TUS589827:TUS655360 UEO589827:UEO655360 UOK589827:UOK655360 UYG589827:UYG655360 VIC589827:VIC655360 VRY589827:VRY655360 WBU589827:WBU655360 WLQ589827:WLQ655360 WVM589827:WVM655360 E655363:E720896 JA655363:JA720896 SW655363:SW720896 ACS655363:ACS720896 AMO655363:AMO720896 AWK655363:AWK720896 BGG655363:BGG720896 BQC655363:BQC720896 BZY655363:BZY720896 CJU655363:CJU720896 CTQ655363:CTQ720896 DDM655363:DDM720896 DNI655363:DNI720896 DXE655363:DXE720896 EHA655363:EHA720896 EQW655363:EQW720896 FAS655363:FAS720896 FKO655363:FKO720896 FUK655363:FUK720896 GEG655363:GEG720896 GOC655363:GOC720896 GXY655363:GXY720896 HHU655363:HHU720896 HRQ655363:HRQ720896 IBM655363:IBM720896 ILI655363:ILI720896 IVE655363:IVE720896 JFA655363:JFA720896 JOW655363:JOW720896 JYS655363:JYS720896 KIO655363:KIO720896 KSK655363:KSK720896 LCG655363:LCG720896 LMC655363:LMC720896 LVY655363:LVY720896 MFU655363:MFU720896 MPQ655363:MPQ720896 MZM655363:MZM720896 NJI655363:NJI720896 NTE655363:NTE720896 ODA655363:ODA720896 OMW655363:OMW720896 OWS655363:OWS720896 PGO655363:PGO720896 PQK655363:PQK720896 QAG655363:QAG720896 QKC655363:QKC720896 QTY655363:QTY720896 RDU655363:RDU720896 RNQ655363:RNQ720896 RXM655363:RXM720896 SHI655363:SHI720896 SRE655363:SRE720896 TBA655363:TBA720896 TKW655363:TKW720896 TUS655363:TUS720896 UEO655363:UEO720896 UOK655363:UOK720896 UYG655363:UYG720896 VIC655363:VIC720896 VRY655363:VRY720896 WBU655363:WBU720896 WLQ655363:WLQ720896 WVM655363:WVM720896 E720899:E786432 JA720899:JA786432 SW720899:SW786432 ACS720899:ACS786432 AMO720899:AMO786432 AWK720899:AWK786432 BGG720899:BGG786432 BQC720899:BQC786432 BZY720899:BZY786432 CJU720899:CJU786432 CTQ720899:CTQ786432 DDM720899:DDM786432 DNI720899:DNI786432 DXE720899:DXE786432 EHA720899:EHA786432 EQW720899:EQW786432 FAS720899:FAS786432 FKO720899:FKO786432 FUK720899:FUK786432 GEG720899:GEG786432 GOC720899:GOC786432 GXY720899:GXY786432 HHU720899:HHU786432 HRQ720899:HRQ786432 IBM720899:IBM786432 ILI720899:ILI786432 IVE720899:IVE786432 JFA720899:JFA786432 JOW720899:JOW786432 JYS720899:JYS786432 KIO720899:KIO786432 KSK720899:KSK786432 LCG720899:LCG786432 LMC720899:LMC786432 LVY720899:LVY786432 MFU720899:MFU786432 MPQ720899:MPQ786432 MZM720899:MZM786432 NJI720899:NJI786432 NTE720899:NTE786432 ODA720899:ODA786432 OMW720899:OMW786432 OWS720899:OWS786432 PGO720899:PGO786432 PQK720899:PQK786432 QAG720899:QAG786432 QKC720899:QKC786432 QTY720899:QTY786432 RDU720899:RDU786432 RNQ720899:RNQ786432 RXM720899:RXM786432 SHI720899:SHI786432 SRE720899:SRE786432 TBA720899:TBA786432 TKW720899:TKW786432 TUS720899:TUS786432 UEO720899:UEO786432 UOK720899:UOK786432 UYG720899:UYG786432 VIC720899:VIC786432 VRY720899:VRY786432 WBU720899:WBU786432 WLQ720899:WLQ786432 WVM720899:WVM786432 E786435:E851968 JA786435:JA851968 SW786435:SW851968 ACS786435:ACS851968 AMO786435:AMO851968 AWK786435:AWK851968 BGG786435:BGG851968 BQC786435:BQC851968 BZY786435:BZY851968 CJU786435:CJU851968 CTQ786435:CTQ851968 DDM786435:DDM851968 DNI786435:DNI851968 DXE786435:DXE851968 EHA786435:EHA851968 EQW786435:EQW851968 FAS786435:FAS851968 FKO786435:FKO851968 FUK786435:FUK851968 GEG786435:GEG851968 GOC786435:GOC851968 GXY786435:GXY851968 HHU786435:HHU851968 HRQ786435:HRQ851968 IBM786435:IBM851968 ILI786435:ILI851968 IVE786435:IVE851968 JFA786435:JFA851968 JOW786435:JOW851968 JYS786435:JYS851968 KIO786435:KIO851968 KSK786435:KSK851968 LCG786435:LCG851968 LMC786435:LMC851968 LVY786435:LVY851968 MFU786435:MFU851968 MPQ786435:MPQ851968 MZM786435:MZM851968 NJI786435:NJI851968 NTE786435:NTE851968 ODA786435:ODA851968 OMW786435:OMW851968 OWS786435:OWS851968 PGO786435:PGO851968 PQK786435:PQK851968 QAG786435:QAG851968 QKC786435:QKC851968 QTY786435:QTY851968 RDU786435:RDU851968 RNQ786435:RNQ851968 RXM786435:RXM851968 SHI786435:SHI851968 SRE786435:SRE851968 TBA786435:TBA851968 TKW786435:TKW851968 TUS786435:TUS851968 UEO786435:UEO851968 UOK786435:UOK851968 UYG786435:UYG851968 VIC786435:VIC851968 VRY786435:VRY851968 WBU786435:WBU851968 WLQ786435:WLQ851968 WVM786435:WVM851968 E851971:E917504 JA851971:JA917504 SW851971:SW917504 ACS851971:ACS917504 AMO851971:AMO917504 AWK851971:AWK917504 BGG851971:BGG917504 BQC851971:BQC917504 BZY851971:BZY917504 CJU851971:CJU917504 CTQ851971:CTQ917504 DDM851971:DDM917504 DNI851971:DNI917504 DXE851971:DXE917504 EHA851971:EHA917504 EQW851971:EQW917504 FAS851971:FAS917504 FKO851971:FKO917504 FUK851971:FUK917504 GEG851971:GEG917504 GOC851971:GOC917504 GXY851971:GXY917504 HHU851971:HHU917504 HRQ851971:HRQ917504 IBM851971:IBM917504 ILI851971:ILI917504 IVE851971:IVE917504 JFA851971:JFA917504 JOW851971:JOW917504 JYS851971:JYS917504 KIO851971:KIO917504 KSK851971:KSK917504 LCG851971:LCG917504 LMC851971:LMC917504 LVY851971:LVY917504 MFU851971:MFU917504 MPQ851971:MPQ917504 MZM851971:MZM917504 NJI851971:NJI917504 NTE851971:NTE917504 ODA851971:ODA917504 OMW851971:OMW917504 OWS851971:OWS917504 PGO851971:PGO917504 PQK851971:PQK917504 QAG851971:QAG917504 QKC851971:QKC917504 QTY851971:QTY917504 RDU851971:RDU917504 RNQ851971:RNQ917504 RXM851971:RXM917504 SHI851971:SHI917504 SRE851971:SRE917504 TBA851971:TBA917504 TKW851971:TKW917504 TUS851971:TUS917504 UEO851971:UEO917504 UOK851971:UOK917504 UYG851971:UYG917504 VIC851971:VIC917504 VRY851971:VRY917504 WBU851971:WBU917504 WLQ851971:WLQ917504 WVM851971:WVM917504 E917507:E983040 JA917507:JA983040 SW917507:SW983040 ACS917507:ACS983040 AMO917507:AMO983040 AWK917507:AWK983040 BGG917507:BGG983040 BQC917507:BQC983040 BZY917507:BZY983040 CJU917507:CJU983040 CTQ917507:CTQ983040 DDM917507:DDM983040 DNI917507:DNI983040 DXE917507:DXE983040 EHA917507:EHA983040 EQW917507:EQW983040 FAS917507:FAS983040 FKO917507:FKO983040 FUK917507:FUK983040 GEG917507:GEG983040 GOC917507:GOC983040 GXY917507:GXY983040 HHU917507:HHU983040 HRQ917507:HRQ983040 IBM917507:IBM983040 ILI917507:ILI983040 IVE917507:IVE983040 JFA917507:JFA983040 JOW917507:JOW983040 JYS917507:JYS983040 KIO917507:KIO983040 KSK917507:KSK983040 LCG917507:LCG983040 LMC917507:LMC983040 LVY917507:LVY983040 MFU917507:MFU983040 MPQ917507:MPQ983040 MZM917507:MZM983040 NJI917507:NJI983040 NTE917507:NTE983040 ODA917507:ODA983040 OMW917507:OMW983040 OWS917507:OWS983040 PGO917507:PGO983040 PQK917507:PQK983040 QAG917507:QAG983040 QKC917507:QKC983040 QTY917507:QTY983040 RDU917507:RDU983040 RNQ917507:RNQ983040 RXM917507:RXM983040 SHI917507:SHI983040 SRE917507:SRE983040 TBA917507:TBA983040 TKW917507:TKW983040 TUS917507:TUS983040 UEO917507:UEO983040 UOK917507:UOK983040 UYG917507:UYG983040 VIC917507:VIC983040 VRY917507:VRY983040 WBU917507:WBU983040 WLQ917507:WLQ983040 WVM917507:WVM983040 E983043:E1048576 JA983043:JA1048576 SW983043:SW1048576 ACS983043:ACS1048576 AMO983043:AMO1048576 AWK983043:AWK1048576 BGG983043:BGG1048576 BQC983043:BQC1048576 BZY983043:BZY1048576 CJU983043:CJU1048576 CTQ983043:CTQ1048576 DDM983043:DDM1048576 DNI983043:DNI1048576 DXE983043:DXE1048576 EHA983043:EHA1048576 EQW983043:EQW1048576 FAS983043:FAS1048576 FKO983043:FKO1048576 FUK983043:FUK1048576 GEG983043:GEG1048576 GOC983043:GOC1048576 GXY983043:GXY1048576 HHU983043:HHU1048576 HRQ983043:HRQ1048576 IBM983043:IBM1048576 ILI983043:ILI1048576 IVE983043:IVE1048576 JFA983043:JFA1048576 JOW983043:JOW1048576 JYS983043:JYS1048576 KIO983043:KIO1048576 KSK983043:KSK1048576 LCG983043:LCG1048576 LMC983043:LMC1048576 LVY983043:LVY1048576 MFU983043:MFU1048576 MPQ983043:MPQ1048576 MZM983043:MZM1048576 NJI983043:NJI1048576 NTE983043:NTE1048576 ODA983043:ODA1048576 OMW983043:OMW1048576 OWS983043:OWS1048576 PGO983043:PGO1048576 PQK983043:PQK1048576 QAG983043:QAG1048576 QKC983043:QKC1048576 QTY983043:QTY1048576 RDU983043:RDU1048576 RNQ983043:RNQ1048576 RXM983043:RXM1048576 SHI983043:SHI1048576 SRE983043:SRE1048576 TBA983043:TBA1048576 TKW983043:TKW1048576 TUS983043:TUS1048576 UEO983043:UEO1048576 UOK983043:UOK1048576 UYG983043:UYG1048576 VIC983043:VIC1048576 VRY983043:VRY1048576 WBU983043:WBU1048576 WLQ983043:WLQ1048576 E3:E65536" xr:uid="{6B40D382-4EA3-4A3C-858F-D5E2BD17AACF}">
      <formula1>roofmaterial</formula1>
    </dataValidation>
    <dataValidation type="list" allowBlank="1" showInputMessage="1" showErrorMessage="1" sqref="WVK983043:WVK1048576 IY3:IY65536 SU3:SU65536 ACQ3:ACQ65536 AMM3:AMM65536 AWI3:AWI65536 BGE3:BGE65536 BQA3:BQA65536 BZW3:BZW65536 CJS3:CJS65536 CTO3:CTO65536 DDK3:DDK65536 DNG3:DNG65536 DXC3:DXC65536 EGY3:EGY65536 EQU3:EQU65536 FAQ3:FAQ65536 FKM3:FKM65536 FUI3:FUI65536 GEE3:GEE65536 GOA3:GOA65536 GXW3:GXW65536 HHS3:HHS65536 HRO3:HRO65536 IBK3:IBK65536 ILG3:ILG65536 IVC3:IVC65536 JEY3:JEY65536 JOU3:JOU65536 JYQ3:JYQ65536 KIM3:KIM65536 KSI3:KSI65536 LCE3:LCE65536 LMA3:LMA65536 LVW3:LVW65536 MFS3:MFS65536 MPO3:MPO65536 MZK3:MZK65536 NJG3:NJG65536 NTC3:NTC65536 OCY3:OCY65536 OMU3:OMU65536 OWQ3:OWQ65536 PGM3:PGM65536 PQI3:PQI65536 QAE3:QAE65536 QKA3:QKA65536 QTW3:QTW65536 RDS3:RDS65536 RNO3:RNO65536 RXK3:RXK65536 SHG3:SHG65536 SRC3:SRC65536 TAY3:TAY65536 TKU3:TKU65536 TUQ3:TUQ65536 UEM3:UEM65536 UOI3:UOI65536 UYE3:UYE65536 VIA3:VIA65536 VRW3:VRW65536 WBS3:WBS65536 WLO3:WLO65536 WVK3:WVK65536 C65539:C131072 IY65539:IY131072 SU65539:SU131072 ACQ65539:ACQ131072 AMM65539:AMM131072 AWI65539:AWI131072 BGE65539:BGE131072 BQA65539:BQA131072 BZW65539:BZW131072 CJS65539:CJS131072 CTO65539:CTO131072 DDK65539:DDK131072 DNG65539:DNG131072 DXC65539:DXC131072 EGY65539:EGY131072 EQU65539:EQU131072 FAQ65539:FAQ131072 FKM65539:FKM131072 FUI65539:FUI131072 GEE65539:GEE131072 GOA65539:GOA131072 GXW65539:GXW131072 HHS65539:HHS131072 HRO65539:HRO131072 IBK65539:IBK131072 ILG65539:ILG131072 IVC65539:IVC131072 JEY65539:JEY131072 JOU65539:JOU131072 JYQ65539:JYQ131072 KIM65539:KIM131072 KSI65539:KSI131072 LCE65539:LCE131072 LMA65539:LMA131072 LVW65539:LVW131072 MFS65539:MFS131072 MPO65539:MPO131072 MZK65539:MZK131072 NJG65539:NJG131072 NTC65539:NTC131072 OCY65539:OCY131072 OMU65539:OMU131072 OWQ65539:OWQ131072 PGM65539:PGM131072 PQI65539:PQI131072 QAE65539:QAE131072 QKA65539:QKA131072 QTW65539:QTW131072 RDS65539:RDS131072 RNO65539:RNO131072 RXK65539:RXK131072 SHG65539:SHG131072 SRC65539:SRC131072 TAY65539:TAY131072 TKU65539:TKU131072 TUQ65539:TUQ131072 UEM65539:UEM131072 UOI65539:UOI131072 UYE65539:UYE131072 VIA65539:VIA131072 VRW65539:VRW131072 WBS65539:WBS131072 WLO65539:WLO131072 WVK65539:WVK131072 C131075:C196608 IY131075:IY196608 SU131075:SU196608 ACQ131075:ACQ196608 AMM131075:AMM196608 AWI131075:AWI196608 BGE131075:BGE196608 BQA131075:BQA196608 BZW131075:BZW196608 CJS131075:CJS196608 CTO131075:CTO196608 DDK131075:DDK196608 DNG131075:DNG196608 DXC131075:DXC196608 EGY131075:EGY196608 EQU131075:EQU196608 FAQ131075:FAQ196608 FKM131075:FKM196608 FUI131075:FUI196608 GEE131075:GEE196608 GOA131075:GOA196608 GXW131075:GXW196608 HHS131075:HHS196608 HRO131075:HRO196608 IBK131075:IBK196608 ILG131075:ILG196608 IVC131075:IVC196608 JEY131075:JEY196608 JOU131075:JOU196608 JYQ131075:JYQ196608 KIM131075:KIM196608 KSI131075:KSI196608 LCE131075:LCE196608 LMA131075:LMA196608 LVW131075:LVW196608 MFS131075:MFS196608 MPO131075:MPO196608 MZK131075:MZK196608 NJG131075:NJG196608 NTC131075:NTC196608 OCY131075:OCY196608 OMU131075:OMU196608 OWQ131075:OWQ196608 PGM131075:PGM196608 PQI131075:PQI196608 QAE131075:QAE196608 QKA131075:QKA196608 QTW131075:QTW196608 RDS131075:RDS196608 RNO131075:RNO196608 RXK131075:RXK196608 SHG131075:SHG196608 SRC131075:SRC196608 TAY131075:TAY196608 TKU131075:TKU196608 TUQ131075:TUQ196608 UEM131075:UEM196608 UOI131075:UOI196608 UYE131075:UYE196608 VIA131075:VIA196608 VRW131075:VRW196608 WBS131075:WBS196608 WLO131075:WLO196608 WVK131075:WVK196608 C196611:C262144 IY196611:IY262144 SU196611:SU262144 ACQ196611:ACQ262144 AMM196611:AMM262144 AWI196611:AWI262144 BGE196611:BGE262144 BQA196611:BQA262144 BZW196611:BZW262144 CJS196611:CJS262144 CTO196611:CTO262144 DDK196611:DDK262144 DNG196611:DNG262144 DXC196611:DXC262144 EGY196611:EGY262144 EQU196611:EQU262144 FAQ196611:FAQ262144 FKM196611:FKM262144 FUI196611:FUI262144 GEE196611:GEE262144 GOA196611:GOA262144 GXW196611:GXW262144 HHS196611:HHS262144 HRO196611:HRO262144 IBK196611:IBK262144 ILG196611:ILG262144 IVC196611:IVC262144 JEY196611:JEY262144 JOU196611:JOU262144 JYQ196611:JYQ262144 KIM196611:KIM262144 KSI196611:KSI262144 LCE196611:LCE262144 LMA196611:LMA262144 LVW196611:LVW262144 MFS196611:MFS262144 MPO196611:MPO262144 MZK196611:MZK262144 NJG196611:NJG262144 NTC196611:NTC262144 OCY196611:OCY262144 OMU196611:OMU262144 OWQ196611:OWQ262144 PGM196611:PGM262144 PQI196611:PQI262144 QAE196611:QAE262144 QKA196611:QKA262144 QTW196611:QTW262144 RDS196611:RDS262144 RNO196611:RNO262144 RXK196611:RXK262144 SHG196611:SHG262144 SRC196611:SRC262144 TAY196611:TAY262144 TKU196611:TKU262144 TUQ196611:TUQ262144 UEM196611:UEM262144 UOI196611:UOI262144 UYE196611:UYE262144 VIA196611:VIA262144 VRW196611:VRW262144 WBS196611:WBS262144 WLO196611:WLO262144 WVK196611:WVK262144 C262147:C327680 IY262147:IY327680 SU262147:SU327680 ACQ262147:ACQ327680 AMM262147:AMM327680 AWI262147:AWI327680 BGE262147:BGE327680 BQA262147:BQA327680 BZW262147:BZW327680 CJS262147:CJS327680 CTO262147:CTO327680 DDK262147:DDK327680 DNG262147:DNG327680 DXC262147:DXC327680 EGY262147:EGY327680 EQU262147:EQU327680 FAQ262147:FAQ327680 FKM262147:FKM327680 FUI262147:FUI327680 GEE262147:GEE327680 GOA262147:GOA327680 GXW262147:GXW327680 HHS262147:HHS327680 HRO262147:HRO327680 IBK262147:IBK327680 ILG262147:ILG327680 IVC262147:IVC327680 JEY262147:JEY327680 JOU262147:JOU327680 JYQ262147:JYQ327680 KIM262147:KIM327680 KSI262147:KSI327680 LCE262147:LCE327680 LMA262147:LMA327680 LVW262147:LVW327680 MFS262147:MFS327680 MPO262147:MPO327680 MZK262147:MZK327680 NJG262147:NJG327680 NTC262147:NTC327680 OCY262147:OCY327680 OMU262147:OMU327680 OWQ262147:OWQ327680 PGM262147:PGM327680 PQI262147:PQI327680 QAE262147:QAE327680 QKA262147:QKA327680 QTW262147:QTW327680 RDS262147:RDS327680 RNO262147:RNO327680 RXK262147:RXK327680 SHG262147:SHG327680 SRC262147:SRC327680 TAY262147:TAY327680 TKU262147:TKU327680 TUQ262147:TUQ327680 UEM262147:UEM327680 UOI262147:UOI327680 UYE262147:UYE327680 VIA262147:VIA327680 VRW262147:VRW327680 WBS262147:WBS327680 WLO262147:WLO327680 WVK262147:WVK327680 C327683:C393216 IY327683:IY393216 SU327683:SU393216 ACQ327683:ACQ393216 AMM327683:AMM393216 AWI327683:AWI393216 BGE327683:BGE393216 BQA327683:BQA393216 BZW327683:BZW393216 CJS327683:CJS393216 CTO327683:CTO393216 DDK327683:DDK393216 DNG327683:DNG393216 DXC327683:DXC393216 EGY327683:EGY393216 EQU327683:EQU393216 FAQ327683:FAQ393216 FKM327683:FKM393216 FUI327683:FUI393216 GEE327683:GEE393216 GOA327683:GOA393216 GXW327683:GXW393216 HHS327683:HHS393216 HRO327683:HRO393216 IBK327683:IBK393216 ILG327683:ILG393216 IVC327683:IVC393216 JEY327683:JEY393216 JOU327683:JOU393216 JYQ327683:JYQ393216 KIM327683:KIM393216 KSI327683:KSI393216 LCE327683:LCE393216 LMA327683:LMA393216 LVW327683:LVW393216 MFS327683:MFS393216 MPO327683:MPO393216 MZK327683:MZK393216 NJG327683:NJG393216 NTC327683:NTC393216 OCY327683:OCY393216 OMU327683:OMU393216 OWQ327683:OWQ393216 PGM327683:PGM393216 PQI327683:PQI393216 QAE327683:QAE393216 QKA327683:QKA393216 QTW327683:QTW393216 RDS327683:RDS393216 RNO327683:RNO393216 RXK327683:RXK393216 SHG327683:SHG393216 SRC327683:SRC393216 TAY327683:TAY393216 TKU327683:TKU393216 TUQ327683:TUQ393216 UEM327683:UEM393216 UOI327683:UOI393216 UYE327683:UYE393216 VIA327683:VIA393216 VRW327683:VRW393216 WBS327683:WBS393216 WLO327683:WLO393216 WVK327683:WVK393216 C393219:C458752 IY393219:IY458752 SU393219:SU458752 ACQ393219:ACQ458752 AMM393219:AMM458752 AWI393219:AWI458752 BGE393219:BGE458752 BQA393219:BQA458752 BZW393219:BZW458752 CJS393219:CJS458752 CTO393219:CTO458752 DDK393219:DDK458752 DNG393219:DNG458752 DXC393219:DXC458752 EGY393219:EGY458752 EQU393219:EQU458752 FAQ393219:FAQ458752 FKM393219:FKM458752 FUI393219:FUI458752 GEE393219:GEE458752 GOA393219:GOA458752 GXW393219:GXW458752 HHS393219:HHS458752 HRO393219:HRO458752 IBK393219:IBK458752 ILG393219:ILG458752 IVC393219:IVC458752 JEY393219:JEY458752 JOU393219:JOU458752 JYQ393219:JYQ458752 KIM393219:KIM458752 KSI393219:KSI458752 LCE393219:LCE458752 LMA393219:LMA458752 LVW393219:LVW458752 MFS393219:MFS458752 MPO393219:MPO458752 MZK393219:MZK458752 NJG393219:NJG458752 NTC393219:NTC458752 OCY393219:OCY458752 OMU393219:OMU458752 OWQ393219:OWQ458752 PGM393219:PGM458752 PQI393219:PQI458752 QAE393219:QAE458752 QKA393219:QKA458752 QTW393219:QTW458752 RDS393219:RDS458752 RNO393219:RNO458752 RXK393219:RXK458752 SHG393219:SHG458752 SRC393219:SRC458752 TAY393219:TAY458752 TKU393219:TKU458752 TUQ393219:TUQ458752 UEM393219:UEM458752 UOI393219:UOI458752 UYE393219:UYE458752 VIA393219:VIA458752 VRW393219:VRW458752 WBS393219:WBS458752 WLO393219:WLO458752 WVK393219:WVK458752 C458755:C524288 IY458755:IY524288 SU458755:SU524288 ACQ458755:ACQ524288 AMM458755:AMM524288 AWI458755:AWI524288 BGE458755:BGE524288 BQA458755:BQA524288 BZW458755:BZW524288 CJS458755:CJS524288 CTO458755:CTO524288 DDK458755:DDK524288 DNG458755:DNG524288 DXC458755:DXC524288 EGY458755:EGY524288 EQU458755:EQU524288 FAQ458755:FAQ524288 FKM458755:FKM524288 FUI458755:FUI524288 GEE458755:GEE524288 GOA458755:GOA524288 GXW458755:GXW524288 HHS458755:HHS524288 HRO458755:HRO524288 IBK458755:IBK524288 ILG458755:ILG524288 IVC458755:IVC524288 JEY458755:JEY524288 JOU458755:JOU524288 JYQ458755:JYQ524288 KIM458755:KIM524288 KSI458755:KSI524288 LCE458755:LCE524288 LMA458755:LMA524288 LVW458755:LVW524288 MFS458755:MFS524288 MPO458755:MPO524288 MZK458755:MZK524288 NJG458755:NJG524288 NTC458755:NTC524288 OCY458755:OCY524288 OMU458755:OMU524288 OWQ458755:OWQ524288 PGM458755:PGM524288 PQI458755:PQI524288 QAE458755:QAE524288 QKA458755:QKA524288 QTW458755:QTW524288 RDS458755:RDS524288 RNO458755:RNO524288 RXK458755:RXK524288 SHG458755:SHG524288 SRC458755:SRC524288 TAY458755:TAY524288 TKU458755:TKU524288 TUQ458755:TUQ524288 UEM458755:UEM524288 UOI458755:UOI524288 UYE458755:UYE524288 VIA458755:VIA524288 VRW458755:VRW524288 WBS458755:WBS524288 WLO458755:WLO524288 WVK458755:WVK524288 C524291:C589824 IY524291:IY589824 SU524291:SU589824 ACQ524291:ACQ589824 AMM524291:AMM589824 AWI524291:AWI589824 BGE524291:BGE589824 BQA524291:BQA589824 BZW524291:BZW589824 CJS524291:CJS589824 CTO524291:CTO589824 DDK524291:DDK589824 DNG524291:DNG589824 DXC524291:DXC589824 EGY524291:EGY589824 EQU524291:EQU589824 FAQ524291:FAQ589824 FKM524291:FKM589824 FUI524291:FUI589824 GEE524291:GEE589824 GOA524291:GOA589824 GXW524291:GXW589824 HHS524291:HHS589824 HRO524291:HRO589824 IBK524291:IBK589824 ILG524291:ILG589824 IVC524291:IVC589824 JEY524291:JEY589824 JOU524291:JOU589824 JYQ524291:JYQ589824 KIM524291:KIM589824 KSI524291:KSI589824 LCE524291:LCE589824 LMA524291:LMA589824 LVW524291:LVW589824 MFS524291:MFS589824 MPO524291:MPO589824 MZK524291:MZK589824 NJG524291:NJG589824 NTC524291:NTC589824 OCY524291:OCY589824 OMU524291:OMU589824 OWQ524291:OWQ589824 PGM524291:PGM589824 PQI524291:PQI589824 QAE524291:QAE589824 QKA524291:QKA589824 QTW524291:QTW589824 RDS524291:RDS589824 RNO524291:RNO589824 RXK524291:RXK589824 SHG524291:SHG589824 SRC524291:SRC589824 TAY524291:TAY589824 TKU524291:TKU589824 TUQ524291:TUQ589824 UEM524291:UEM589824 UOI524291:UOI589824 UYE524291:UYE589824 VIA524291:VIA589824 VRW524291:VRW589824 WBS524291:WBS589824 WLO524291:WLO589824 WVK524291:WVK589824 C589827:C655360 IY589827:IY655360 SU589827:SU655360 ACQ589827:ACQ655360 AMM589827:AMM655360 AWI589827:AWI655360 BGE589827:BGE655360 BQA589827:BQA655360 BZW589827:BZW655360 CJS589827:CJS655360 CTO589827:CTO655360 DDK589827:DDK655360 DNG589827:DNG655360 DXC589827:DXC655360 EGY589827:EGY655360 EQU589827:EQU655360 FAQ589827:FAQ655360 FKM589827:FKM655360 FUI589827:FUI655360 GEE589827:GEE655360 GOA589827:GOA655360 GXW589827:GXW655360 HHS589827:HHS655360 HRO589827:HRO655360 IBK589827:IBK655360 ILG589827:ILG655360 IVC589827:IVC655360 JEY589827:JEY655360 JOU589827:JOU655360 JYQ589827:JYQ655360 KIM589827:KIM655360 KSI589827:KSI655360 LCE589827:LCE655360 LMA589827:LMA655360 LVW589827:LVW655360 MFS589827:MFS655360 MPO589827:MPO655360 MZK589827:MZK655360 NJG589827:NJG655360 NTC589827:NTC655360 OCY589827:OCY655360 OMU589827:OMU655360 OWQ589827:OWQ655360 PGM589827:PGM655360 PQI589827:PQI655360 QAE589827:QAE655360 QKA589827:QKA655360 QTW589827:QTW655360 RDS589827:RDS655360 RNO589827:RNO655360 RXK589827:RXK655360 SHG589827:SHG655360 SRC589827:SRC655360 TAY589827:TAY655360 TKU589827:TKU655360 TUQ589827:TUQ655360 UEM589827:UEM655360 UOI589827:UOI655360 UYE589827:UYE655360 VIA589827:VIA655360 VRW589827:VRW655360 WBS589827:WBS655360 WLO589827:WLO655360 WVK589827:WVK655360 C655363:C720896 IY655363:IY720896 SU655363:SU720896 ACQ655363:ACQ720896 AMM655363:AMM720896 AWI655363:AWI720896 BGE655363:BGE720896 BQA655363:BQA720896 BZW655363:BZW720896 CJS655363:CJS720896 CTO655363:CTO720896 DDK655363:DDK720896 DNG655363:DNG720896 DXC655363:DXC720896 EGY655363:EGY720896 EQU655363:EQU720896 FAQ655363:FAQ720896 FKM655363:FKM720896 FUI655363:FUI720896 GEE655363:GEE720896 GOA655363:GOA720896 GXW655363:GXW720896 HHS655363:HHS720896 HRO655363:HRO720896 IBK655363:IBK720896 ILG655363:ILG720896 IVC655363:IVC720896 JEY655363:JEY720896 JOU655363:JOU720896 JYQ655363:JYQ720896 KIM655363:KIM720896 KSI655363:KSI720896 LCE655363:LCE720896 LMA655363:LMA720896 LVW655363:LVW720896 MFS655363:MFS720896 MPO655363:MPO720896 MZK655363:MZK720896 NJG655363:NJG720896 NTC655363:NTC720896 OCY655363:OCY720896 OMU655363:OMU720896 OWQ655363:OWQ720896 PGM655363:PGM720896 PQI655363:PQI720896 QAE655363:QAE720896 QKA655363:QKA720896 QTW655363:QTW720896 RDS655363:RDS720896 RNO655363:RNO720896 RXK655363:RXK720896 SHG655363:SHG720896 SRC655363:SRC720896 TAY655363:TAY720896 TKU655363:TKU720896 TUQ655363:TUQ720896 UEM655363:UEM720896 UOI655363:UOI720896 UYE655363:UYE720896 VIA655363:VIA720896 VRW655363:VRW720896 WBS655363:WBS720896 WLO655363:WLO720896 WVK655363:WVK720896 C720899:C786432 IY720899:IY786432 SU720899:SU786432 ACQ720899:ACQ786432 AMM720899:AMM786432 AWI720899:AWI786432 BGE720899:BGE786432 BQA720899:BQA786432 BZW720899:BZW786432 CJS720899:CJS786432 CTO720899:CTO786432 DDK720899:DDK786432 DNG720899:DNG786432 DXC720899:DXC786432 EGY720899:EGY786432 EQU720899:EQU786432 FAQ720899:FAQ786432 FKM720899:FKM786432 FUI720899:FUI786432 GEE720899:GEE786432 GOA720899:GOA786432 GXW720899:GXW786432 HHS720899:HHS786432 HRO720899:HRO786432 IBK720899:IBK786432 ILG720899:ILG786432 IVC720899:IVC786432 JEY720899:JEY786432 JOU720899:JOU786432 JYQ720899:JYQ786432 KIM720899:KIM786432 KSI720899:KSI786432 LCE720899:LCE786432 LMA720899:LMA786432 LVW720899:LVW786432 MFS720899:MFS786432 MPO720899:MPO786432 MZK720899:MZK786432 NJG720899:NJG786432 NTC720899:NTC786432 OCY720899:OCY786432 OMU720899:OMU786432 OWQ720899:OWQ786432 PGM720899:PGM786432 PQI720899:PQI786432 QAE720899:QAE786432 QKA720899:QKA786432 QTW720899:QTW786432 RDS720899:RDS786432 RNO720899:RNO786432 RXK720899:RXK786432 SHG720899:SHG786432 SRC720899:SRC786432 TAY720899:TAY786432 TKU720899:TKU786432 TUQ720899:TUQ786432 UEM720899:UEM786432 UOI720899:UOI786432 UYE720899:UYE786432 VIA720899:VIA786432 VRW720899:VRW786432 WBS720899:WBS786432 WLO720899:WLO786432 WVK720899:WVK786432 C786435:C851968 IY786435:IY851968 SU786435:SU851968 ACQ786435:ACQ851968 AMM786435:AMM851968 AWI786435:AWI851968 BGE786435:BGE851968 BQA786435:BQA851968 BZW786435:BZW851968 CJS786435:CJS851968 CTO786435:CTO851968 DDK786435:DDK851968 DNG786435:DNG851968 DXC786435:DXC851968 EGY786435:EGY851968 EQU786435:EQU851968 FAQ786435:FAQ851968 FKM786435:FKM851968 FUI786435:FUI851968 GEE786435:GEE851968 GOA786435:GOA851968 GXW786435:GXW851968 HHS786435:HHS851968 HRO786435:HRO851968 IBK786435:IBK851968 ILG786435:ILG851968 IVC786435:IVC851968 JEY786435:JEY851968 JOU786435:JOU851968 JYQ786435:JYQ851968 KIM786435:KIM851968 KSI786435:KSI851968 LCE786435:LCE851968 LMA786435:LMA851968 LVW786435:LVW851968 MFS786435:MFS851968 MPO786435:MPO851968 MZK786435:MZK851968 NJG786435:NJG851968 NTC786435:NTC851968 OCY786435:OCY851968 OMU786435:OMU851968 OWQ786435:OWQ851968 PGM786435:PGM851968 PQI786435:PQI851968 QAE786435:QAE851968 QKA786435:QKA851968 QTW786435:QTW851968 RDS786435:RDS851968 RNO786435:RNO851968 RXK786435:RXK851968 SHG786435:SHG851968 SRC786435:SRC851968 TAY786435:TAY851968 TKU786435:TKU851968 TUQ786435:TUQ851968 UEM786435:UEM851968 UOI786435:UOI851968 UYE786435:UYE851968 VIA786435:VIA851968 VRW786435:VRW851968 WBS786435:WBS851968 WLO786435:WLO851968 WVK786435:WVK851968 C851971:C917504 IY851971:IY917504 SU851971:SU917504 ACQ851971:ACQ917504 AMM851971:AMM917504 AWI851971:AWI917504 BGE851971:BGE917504 BQA851971:BQA917504 BZW851971:BZW917504 CJS851971:CJS917504 CTO851971:CTO917504 DDK851971:DDK917504 DNG851971:DNG917504 DXC851971:DXC917504 EGY851971:EGY917504 EQU851971:EQU917504 FAQ851971:FAQ917504 FKM851971:FKM917504 FUI851971:FUI917504 GEE851971:GEE917504 GOA851971:GOA917504 GXW851971:GXW917504 HHS851971:HHS917504 HRO851971:HRO917504 IBK851971:IBK917504 ILG851971:ILG917504 IVC851971:IVC917504 JEY851971:JEY917504 JOU851971:JOU917504 JYQ851971:JYQ917504 KIM851971:KIM917504 KSI851971:KSI917504 LCE851971:LCE917504 LMA851971:LMA917504 LVW851971:LVW917504 MFS851971:MFS917504 MPO851971:MPO917504 MZK851971:MZK917504 NJG851971:NJG917504 NTC851971:NTC917504 OCY851971:OCY917504 OMU851971:OMU917504 OWQ851971:OWQ917504 PGM851971:PGM917504 PQI851971:PQI917504 QAE851971:QAE917504 QKA851971:QKA917504 QTW851971:QTW917504 RDS851971:RDS917504 RNO851971:RNO917504 RXK851971:RXK917504 SHG851971:SHG917504 SRC851971:SRC917504 TAY851971:TAY917504 TKU851971:TKU917504 TUQ851971:TUQ917504 UEM851971:UEM917504 UOI851971:UOI917504 UYE851971:UYE917504 VIA851971:VIA917504 VRW851971:VRW917504 WBS851971:WBS917504 WLO851971:WLO917504 WVK851971:WVK917504 C917507:C983040 IY917507:IY983040 SU917507:SU983040 ACQ917507:ACQ983040 AMM917507:AMM983040 AWI917507:AWI983040 BGE917507:BGE983040 BQA917507:BQA983040 BZW917507:BZW983040 CJS917507:CJS983040 CTO917507:CTO983040 DDK917507:DDK983040 DNG917507:DNG983040 DXC917507:DXC983040 EGY917507:EGY983040 EQU917507:EQU983040 FAQ917507:FAQ983040 FKM917507:FKM983040 FUI917507:FUI983040 GEE917507:GEE983040 GOA917507:GOA983040 GXW917507:GXW983040 HHS917507:HHS983040 HRO917507:HRO983040 IBK917507:IBK983040 ILG917507:ILG983040 IVC917507:IVC983040 JEY917507:JEY983040 JOU917507:JOU983040 JYQ917507:JYQ983040 KIM917507:KIM983040 KSI917507:KSI983040 LCE917507:LCE983040 LMA917507:LMA983040 LVW917507:LVW983040 MFS917507:MFS983040 MPO917507:MPO983040 MZK917507:MZK983040 NJG917507:NJG983040 NTC917507:NTC983040 OCY917507:OCY983040 OMU917507:OMU983040 OWQ917507:OWQ983040 PGM917507:PGM983040 PQI917507:PQI983040 QAE917507:QAE983040 QKA917507:QKA983040 QTW917507:QTW983040 RDS917507:RDS983040 RNO917507:RNO983040 RXK917507:RXK983040 SHG917507:SHG983040 SRC917507:SRC983040 TAY917507:TAY983040 TKU917507:TKU983040 TUQ917507:TUQ983040 UEM917507:UEM983040 UOI917507:UOI983040 UYE917507:UYE983040 VIA917507:VIA983040 VRW917507:VRW983040 WBS917507:WBS983040 WLO917507:WLO983040 WVK917507:WVK983040 C983043:C1048576 IY983043:IY1048576 SU983043:SU1048576 ACQ983043:ACQ1048576 AMM983043:AMM1048576 AWI983043:AWI1048576 BGE983043:BGE1048576 BQA983043:BQA1048576 BZW983043:BZW1048576 CJS983043:CJS1048576 CTO983043:CTO1048576 DDK983043:DDK1048576 DNG983043:DNG1048576 DXC983043:DXC1048576 EGY983043:EGY1048576 EQU983043:EQU1048576 FAQ983043:FAQ1048576 FKM983043:FKM1048576 FUI983043:FUI1048576 GEE983043:GEE1048576 GOA983043:GOA1048576 GXW983043:GXW1048576 HHS983043:HHS1048576 HRO983043:HRO1048576 IBK983043:IBK1048576 ILG983043:ILG1048576 IVC983043:IVC1048576 JEY983043:JEY1048576 JOU983043:JOU1048576 JYQ983043:JYQ1048576 KIM983043:KIM1048576 KSI983043:KSI1048576 LCE983043:LCE1048576 LMA983043:LMA1048576 LVW983043:LVW1048576 MFS983043:MFS1048576 MPO983043:MPO1048576 MZK983043:MZK1048576 NJG983043:NJG1048576 NTC983043:NTC1048576 OCY983043:OCY1048576 OMU983043:OMU1048576 OWQ983043:OWQ1048576 PGM983043:PGM1048576 PQI983043:PQI1048576 QAE983043:QAE1048576 QKA983043:QKA1048576 QTW983043:QTW1048576 RDS983043:RDS1048576 RNO983043:RNO1048576 RXK983043:RXK1048576 SHG983043:SHG1048576 SRC983043:SRC1048576 TAY983043:TAY1048576 TKU983043:TKU1048576 TUQ983043:TUQ1048576 UEM983043:UEM1048576 UOI983043:UOI1048576 UYE983043:UYE1048576 VIA983043:VIA1048576 VRW983043:VRW1048576 WBS983043:WBS1048576 WLO983043:WLO1048576 C3:C15 C25:C65536" xr:uid="{1CA83E7A-5B09-4D1E-BB0C-AA1795870ACF}">
      <formula1>construction</formula1>
    </dataValidation>
  </dataValidations>
  <pageMargins left="0.7" right="0.7" top="0.75" bottom="0.75" header="0.3" footer="0.3"/>
  <pageSetup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80FB4-7643-401A-B117-4EF7524BD531}">
  <dimension ref="A1:AO47"/>
  <sheetViews>
    <sheetView tabSelected="1" workbookViewId="0">
      <selection activeCell="C13" sqref="C13"/>
    </sheetView>
  </sheetViews>
  <sheetFormatPr defaultRowHeight="15" x14ac:dyDescent="0.25"/>
  <cols>
    <col min="1" max="2" width="10" style="30" customWidth="1"/>
    <col min="3" max="3" width="35.28515625" customWidth="1"/>
    <col min="4" max="4" width="34.42578125" customWidth="1"/>
    <col min="5" max="5" width="26.7109375" bestFit="1" customWidth="1"/>
    <col min="6" max="6" width="18" customWidth="1"/>
    <col min="7" max="7" width="11.28515625" customWidth="1"/>
    <col min="8" max="8" width="10" customWidth="1"/>
    <col min="9" max="9" width="10.5703125" customWidth="1"/>
    <col min="10" max="10" width="15" customWidth="1"/>
    <col min="11" max="11" width="22.85546875" customWidth="1"/>
    <col min="12" max="13" width="11.5703125" customWidth="1"/>
    <col min="14" max="14" width="11.42578125" customWidth="1"/>
    <col min="15" max="15" width="10.42578125" customWidth="1"/>
    <col min="16" max="16" width="10" style="86" customWidth="1"/>
    <col min="17" max="17" width="11.85546875" style="86" customWidth="1"/>
    <col min="18" max="18" width="30.85546875" customWidth="1"/>
    <col min="19" max="19" width="12.42578125" style="75" customWidth="1"/>
    <col min="20" max="21" width="16.5703125" style="78" customWidth="1"/>
    <col min="22" max="22" width="18.140625" style="78" customWidth="1"/>
    <col min="23" max="23" width="16.5703125" style="78" customWidth="1"/>
    <col min="24" max="24" width="20.5703125" style="78" customWidth="1"/>
    <col min="25" max="25" width="12.5703125" style="78" customWidth="1"/>
    <col min="26" max="27" width="10.5703125" customWidth="1"/>
    <col min="28" max="28" width="15.42578125" customWidth="1"/>
    <col min="29" max="29" width="12.5703125" style="54" customWidth="1"/>
    <col min="30" max="31" width="12.5703125" customWidth="1"/>
    <col min="32" max="34" width="18.42578125" customWidth="1"/>
    <col min="35" max="35" width="13.42578125" customWidth="1"/>
    <col min="36" max="36" width="20.85546875" bestFit="1" customWidth="1"/>
    <col min="37" max="37" width="14.85546875" customWidth="1"/>
    <col min="38" max="38" width="14" customWidth="1"/>
    <col min="39" max="39" width="18.42578125" customWidth="1"/>
    <col min="40" max="40" width="18.42578125" style="79" customWidth="1"/>
    <col min="41" max="41" width="18.42578125" style="75" customWidth="1"/>
  </cols>
  <sheetData>
    <row r="1" spans="1:41" ht="15.75" thickBot="1" x14ac:dyDescent="0.3">
      <c r="A1"/>
      <c r="B1"/>
      <c r="C1" s="30"/>
      <c r="P1" s="72">
        <f>SUM(tbl_SOV[No. of Units])</f>
        <v>29</v>
      </c>
      <c r="Q1" s="73">
        <f>SUM(tbl_SOV[Square Footage])</f>
        <v>92681</v>
      </c>
      <c r="R1" s="74"/>
      <c r="T1" s="76">
        <f>SUM(tbl_SOV[Building Replacement Value])</f>
        <v>20044000</v>
      </c>
      <c r="U1" s="76">
        <f>SUM(tbl_SOV[Contents Replacement Value])</f>
        <v>0</v>
      </c>
      <c r="V1" s="76">
        <f>SUM(tbl_SOV[BI/Rental Income (12 months)])</f>
        <v>126141.45</v>
      </c>
      <c r="W1" s="76">
        <f>SUM(tbl_SOV[Other Structure Value])</f>
        <v>420000</v>
      </c>
      <c r="X1" s="77">
        <f>SUM(tbl_SOV[Total Insured Value])</f>
        <v>20044000</v>
      </c>
      <c r="AG1" s="79"/>
      <c r="AH1" s="79"/>
      <c r="AN1" s="75"/>
      <c r="AO1"/>
    </row>
    <row r="2" spans="1:41" s="30" customFormat="1" ht="39.75" thickBot="1" x14ac:dyDescent="0.3">
      <c r="C2" s="80" t="s">
        <v>85</v>
      </c>
      <c r="D2"/>
      <c r="E2" s="80" t="s">
        <v>85</v>
      </c>
      <c r="G2" s="80" t="s">
        <v>85</v>
      </c>
      <c r="H2" s="80" t="s">
        <v>85</v>
      </c>
      <c r="I2" s="80" t="s">
        <v>85</v>
      </c>
      <c r="J2" s="80"/>
      <c r="K2" s="80" t="s">
        <v>85</v>
      </c>
      <c r="L2" s="80" t="s">
        <v>85</v>
      </c>
      <c r="N2" s="80" t="s">
        <v>85</v>
      </c>
      <c r="O2" s="81" t="s">
        <v>86</v>
      </c>
      <c r="P2" s="80" t="s">
        <v>87</v>
      </c>
      <c r="Q2" s="80" t="s">
        <v>85</v>
      </c>
      <c r="R2" s="80" t="s">
        <v>85</v>
      </c>
      <c r="S2" s="80"/>
      <c r="T2" s="80" t="s">
        <v>85</v>
      </c>
      <c r="U2" s="80" t="s">
        <v>85</v>
      </c>
      <c r="V2" s="80" t="s">
        <v>85</v>
      </c>
      <c r="W2" s="80" t="s">
        <v>85</v>
      </c>
      <c r="X2" s="78"/>
      <c r="Y2" s="78"/>
      <c r="Z2" s="80" t="s">
        <v>85</v>
      </c>
      <c r="AA2" s="80" t="s">
        <v>85</v>
      </c>
      <c r="AB2" s="82" t="s">
        <v>88</v>
      </c>
      <c r="AC2" s="83" t="s">
        <v>89</v>
      </c>
      <c r="AD2" s="84"/>
      <c r="AE2" s="85"/>
      <c r="AF2" s="80" t="s">
        <v>85</v>
      </c>
      <c r="AG2" s="81" t="s">
        <v>90</v>
      </c>
      <c r="AH2" s="81"/>
      <c r="AI2" s="81" t="s">
        <v>87</v>
      </c>
      <c r="AJ2" s="81" t="s">
        <v>85</v>
      </c>
      <c r="AN2" s="80"/>
      <c r="AO2" s="80"/>
    </row>
    <row r="3" spans="1:41" ht="15.75" thickBot="1" x14ac:dyDescent="0.3">
      <c r="T3" s="87" t="s">
        <v>91</v>
      </c>
      <c r="U3" s="88"/>
      <c r="V3" s="88"/>
      <c r="W3" s="88"/>
      <c r="X3" s="89"/>
      <c r="Z3" s="90" t="s">
        <v>92</v>
      </c>
      <c r="AA3" s="91"/>
      <c r="AB3" s="92" t="s">
        <v>93</v>
      </c>
      <c r="AC3" s="93"/>
      <c r="AD3" s="93"/>
      <c r="AE3" s="94"/>
      <c r="AF3" s="95"/>
      <c r="AG3" s="96"/>
      <c r="AH3" s="96"/>
      <c r="AI3" s="97" t="s">
        <v>94</v>
      </c>
      <c r="AJ3" s="96"/>
      <c r="AK3" s="96"/>
      <c r="AL3" s="96"/>
      <c r="AM3" s="96"/>
      <c r="AN3" s="98"/>
      <c r="AO3" s="98"/>
    </row>
    <row r="4" spans="1:41" s="118" customFormat="1" ht="51" x14ac:dyDescent="0.25">
      <c r="A4" s="99" t="s">
        <v>31</v>
      </c>
      <c r="B4" s="100" t="s">
        <v>95</v>
      </c>
      <c r="C4" s="101" t="s">
        <v>32</v>
      </c>
      <c r="D4" s="102" t="s">
        <v>96</v>
      </c>
      <c r="E4" s="101" t="s">
        <v>97</v>
      </c>
      <c r="F4" s="101" t="s">
        <v>98</v>
      </c>
      <c r="G4" s="103" t="s">
        <v>99</v>
      </c>
      <c r="H4" s="103" t="s">
        <v>100</v>
      </c>
      <c r="I4" s="103" t="s">
        <v>101</v>
      </c>
      <c r="J4" s="103" t="s">
        <v>102</v>
      </c>
      <c r="K4" s="104" t="s">
        <v>2</v>
      </c>
      <c r="L4" s="104" t="s">
        <v>103</v>
      </c>
      <c r="M4" s="105" t="s">
        <v>104</v>
      </c>
      <c r="N4" s="106" t="s">
        <v>105</v>
      </c>
      <c r="O4" s="107" t="s">
        <v>106</v>
      </c>
      <c r="P4" s="107" t="s">
        <v>107</v>
      </c>
      <c r="Q4" s="107" t="s">
        <v>108</v>
      </c>
      <c r="R4" s="103" t="s">
        <v>109</v>
      </c>
      <c r="S4" s="108" t="s">
        <v>56</v>
      </c>
      <c r="T4" s="109" t="s">
        <v>110</v>
      </c>
      <c r="U4" s="109" t="s">
        <v>111</v>
      </c>
      <c r="V4" s="109" t="s">
        <v>112</v>
      </c>
      <c r="W4" s="109" t="s">
        <v>113</v>
      </c>
      <c r="X4" s="110" t="s">
        <v>114</v>
      </c>
      <c r="Y4" s="111" t="s">
        <v>115</v>
      </c>
      <c r="Z4" s="112" t="s">
        <v>116</v>
      </c>
      <c r="AA4" s="113" t="s">
        <v>117</v>
      </c>
      <c r="AB4" s="114" t="s">
        <v>118</v>
      </c>
      <c r="AC4" s="114" t="s">
        <v>119</v>
      </c>
      <c r="AD4" s="114" t="s">
        <v>120</v>
      </c>
      <c r="AE4" s="114" t="s">
        <v>121</v>
      </c>
      <c r="AF4" s="115" t="s">
        <v>122</v>
      </c>
      <c r="AG4" s="115" t="s">
        <v>123</v>
      </c>
      <c r="AH4" s="115" t="s">
        <v>124</v>
      </c>
      <c r="AI4" s="105" t="s">
        <v>125</v>
      </c>
      <c r="AJ4" s="114" t="s">
        <v>126</v>
      </c>
      <c r="AK4" s="112" t="s">
        <v>127</v>
      </c>
      <c r="AL4" s="115" t="s">
        <v>128</v>
      </c>
      <c r="AM4" s="116" t="s">
        <v>129</v>
      </c>
      <c r="AN4" s="117" t="s">
        <v>130</v>
      </c>
      <c r="AO4" s="117" t="s">
        <v>131</v>
      </c>
    </row>
    <row r="5" spans="1:41" s="74" customFormat="1" x14ac:dyDescent="0.25">
      <c r="A5" s="119"/>
      <c r="B5" s="119"/>
      <c r="C5" s="120"/>
      <c r="D5" s="120"/>
      <c r="E5" s="32" t="s">
        <v>132</v>
      </c>
      <c r="F5" s="120"/>
      <c r="G5" s="121" t="s">
        <v>146</v>
      </c>
      <c r="H5" s="121" t="s">
        <v>147</v>
      </c>
      <c r="I5" s="122">
        <v>89005</v>
      </c>
      <c r="J5" s="121" t="s">
        <v>166</v>
      </c>
      <c r="K5" s="123" t="s">
        <v>148</v>
      </c>
      <c r="L5" s="123">
        <v>2004</v>
      </c>
      <c r="M5" s="124"/>
      <c r="N5" s="123">
        <v>2</v>
      </c>
      <c r="O5" s="125">
        <v>1</v>
      </c>
      <c r="P5" s="170">
        <v>3</v>
      </c>
      <c r="Q5" s="127">
        <v>9277</v>
      </c>
      <c r="R5" s="128" t="s">
        <v>152</v>
      </c>
      <c r="S5" s="129">
        <v>0.99</v>
      </c>
      <c r="T5" s="163">
        <v>1925000</v>
      </c>
      <c r="U5" s="131"/>
      <c r="V5" s="130">
        <v>126141.45</v>
      </c>
      <c r="W5" s="131"/>
      <c r="X5" s="171">
        <v>1925000</v>
      </c>
      <c r="Y5" s="181">
        <v>207.42</v>
      </c>
      <c r="Z5" s="134">
        <v>0</v>
      </c>
      <c r="AA5" s="134">
        <v>0</v>
      </c>
      <c r="AB5" s="31">
        <v>2004</v>
      </c>
      <c r="AC5" s="31">
        <v>2004</v>
      </c>
      <c r="AD5" s="31">
        <v>2004</v>
      </c>
      <c r="AE5" s="31">
        <v>2004</v>
      </c>
      <c r="AF5" s="135" t="s">
        <v>150</v>
      </c>
      <c r="AG5" s="135" t="s">
        <v>167</v>
      </c>
      <c r="AH5" s="135" t="s">
        <v>150</v>
      </c>
      <c r="AI5" s="136" t="s">
        <v>150</v>
      </c>
      <c r="AJ5" s="136" t="s">
        <v>165</v>
      </c>
      <c r="AK5" s="137">
        <v>0</v>
      </c>
      <c r="AL5" s="182">
        <v>0</v>
      </c>
      <c r="AM5" s="137">
        <v>0</v>
      </c>
      <c r="AN5" s="137" t="s">
        <v>168</v>
      </c>
      <c r="AO5" s="137" t="s">
        <v>169</v>
      </c>
    </row>
    <row r="6" spans="1:41" s="74" customFormat="1" x14ac:dyDescent="0.25">
      <c r="A6" s="119"/>
      <c r="B6" s="119"/>
      <c r="C6" s="120"/>
      <c r="D6" s="120"/>
      <c r="E6" s="31" t="s">
        <v>133</v>
      </c>
      <c r="F6" s="120"/>
      <c r="G6" s="121" t="s">
        <v>146</v>
      </c>
      <c r="H6" s="121" t="s">
        <v>147</v>
      </c>
      <c r="I6" s="122">
        <v>89005</v>
      </c>
      <c r="J6" s="121" t="s">
        <v>166</v>
      </c>
      <c r="K6" s="123" t="s">
        <v>148</v>
      </c>
      <c r="L6" s="123">
        <v>2004</v>
      </c>
      <c r="M6" s="124"/>
      <c r="N6" s="123">
        <v>2</v>
      </c>
      <c r="O6" s="125">
        <v>1</v>
      </c>
      <c r="P6" s="127">
        <v>2</v>
      </c>
      <c r="Q6" s="127">
        <v>6692</v>
      </c>
      <c r="R6" s="128" t="s">
        <v>152</v>
      </c>
      <c r="S6" s="129">
        <v>0.99</v>
      </c>
      <c r="T6" s="163">
        <v>1499000</v>
      </c>
      <c r="U6" s="131"/>
      <c r="V6" s="130"/>
      <c r="W6" s="131"/>
      <c r="X6" s="171">
        <v>1499000</v>
      </c>
      <c r="Y6" s="181">
        <v>223.98</v>
      </c>
      <c r="Z6" s="134">
        <v>0</v>
      </c>
      <c r="AA6" s="134">
        <v>0</v>
      </c>
      <c r="AB6" s="31">
        <v>2004</v>
      </c>
      <c r="AC6" s="31">
        <v>2004</v>
      </c>
      <c r="AD6" s="31">
        <v>2004</v>
      </c>
      <c r="AE6" s="31">
        <v>2004</v>
      </c>
      <c r="AF6" s="135" t="s">
        <v>150</v>
      </c>
      <c r="AG6" s="135" t="s">
        <v>167</v>
      </c>
      <c r="AH6" s="135" t="s">
        <v>150</v>
      </c>
      <c r="AI6" s="136" t="s">
        <v>150</v>
      </c>
      <c r="AJ6" s="136" t="s">
        <v>165</v>
      </c>
      <c r="AK6" s="137">
        <v>0</v>
      </c>
      <c r="AL6" s="182">
        <v>0</v>
      </c>
      <c r="AM6" s="137">
        <v>0</v>
      </c>
      <c r="AN6" s="137" t="s">
        <v>168</v>
      </c>
      <c r="AO6" s="137" t="s">
        <v>169</v>
      </c>
    </row>
    <row r="7" spans="1:41" s="74" customFormat="1" x14ac:dyDescent="0.25">
      <c r="A7" s="119"/>
      <c r="B7" s="119"/>
      <c r="C7" s="120"/>
      <c r="D7" s="120"/>
      <c r="E7" s="31" t="s">
        <v>134</v>
      </c>
      <c r="F7" s="120"/>
      <c r="G7" s="121" t="s">
        <v>146</v>
      </c>
      <c r="H7" s="121" t="s">
        <v>147</v>
      </c>
      <c r="I7" s="122">
        <v>89005</v>
      </c>
      <c r="J7" s="121" t="s">
        <v>166</v>
      </c>
      <c r="K7" s="123" t="s">
        <v>148</v>
      </c>
      <c r="L7" s="123">
        <v>2002</v>
      </c>
      <c r="M7" s="124"/>
      <c r="N7" s="123">
        <v>2</v>
      </c>
      <c r="O7" s="125">
        <v>1</v>
      </c>
      <c r="P7" s="127">
        <v>2</v>
      </c>
      <c r="Q7" s="127">
        <v>6164</v>
      </c>
      <c r="R7" s="128" t="s">
        <v>152</v>
      </c>
      <c r="S7" s="129">
        <v>0.99</v>
      </c>
      <c r="T7" s="163">
        <v>1424000</v>
      </c>
      <c r="U7" s="131"/>
      <c r="V7" s="130"/>
      <c r="W7" s="131"/>
      <c r="X7" s="171">
        <v>1424000</v>
      </c>
      <c r="Y7" s="181">
        <v>230.99</v>
      </c>
      <c r="Z7" s="134">
        <v>0</v>
      </c>
      <c r="AA7" s="134">
        <v>0</v>
      </c>
      <c r="AB7" s="31">
        <v>2002</v>
      </c>
      <c r="AC7" s="31">
        <v>2002</v>
      </c>
      <c r="AD7" s="31">
        <v>2002</v>
      </c>
      <c r="AE7" s="31">
        <v>2002</v>
      </c>
      <c r="AF7" s="135" t="s">
        <v>150</v>
      </c>
      <c r="AG7" s="135" t="s">
        <v>167</v>
      </c>
      <c r="AH7" s="135" t="s">
        <v>150</v>
      </c>
      <c r="AI7" s="136" t="s">
        <v>150</v>
      </c>
      <c r="AJ7" s="136" t="s">
        <v>165</v>
      </c>
      <c r="AK7" s="137">
        <v>0</v>
      </c>
      <c r="AL7" s="182">
        <v>0</v>
      </c>
      <c r="AM7" s="137">
        <v>0</v>
      </c>
      <c r="AN7" s="137" t="s">
        <v>168</v>
      </c>
      <c r="AO7" s="137" t="s">
        <v>169</v>
      </c>
    </row>
    <row r="8" spans="1:41" s="74" customFormat="1" x14ac:dyDescent="0.25">
      <c r="A8" s="119"/>
      <c r="B8" s="119"/>
      <c r="C8" s="120"/>
      <c r="D8" s="120"/>
      <c r="E8" s="31" t="s">
        <v>135</v>
      </c>
      <c r="F8" s="120"/>
      <c r="G8" s="121" t="s">
        <v>146</v>
      </c>
      <c r="H8" s="121" t="s">
        <v>147</v>
      </c>
      <c r="I8" s="122">
        <v>89005</v>
      </c>
      <c r="J8" s="121" t="s">
        <v>166</v>
      </c>
      <c r="K8" s="123" t="s">
        <v>148</v>
      </c>
      <c r="L8" s="123">
        <v>2002</v>
      </c>
      <c r="M8" s="124"/>
      <c r="N8" s="123">
        <v>2</v>
      </c>
      <c r="O8" s="125">
        <v>1</v>
      </c>
      <c r="P8" s="127">
        <v>3</v>
      </c>
      <c r="Q8" s="127">
        <v>9218</v>
      </c>
      <c r="R8" s="128" t="s">
        <v>152</v>
      </c>
      <c r="S8" s="129">
        <v>0.99</v>
      </c>
      <c r="T8" s="163">
        <v>1919000</v>
      </c>
      <c r="U8" s="131"/>
      <c r="V8" s="130"/>
      <c r="W8" s="131"/>
      <c r="X8" s="171">
        <v>1919000</v>
      </c>
      <c r="Y8" s="181">
        <v>208.11</v>
      </c>
      <c r="Z8" s="134">
        <v>0</v>
      </c>
      <c r="AA8" s="134">
        <v>0</v>
      </c>
      <c r="AB8" s="31">
        <v>2002</v>
      </c>
      <c r="AC8" s="31">
        <v>2002</v>
      </c>
      <c r="AD8" s="31">
        <v>2002</v>
      </c>
      <c r="AE8" s="31">
        <v>2002</v>
      </c>
      <c r="AF8" s="135" t="s">
        <v>150</v>
      </c>
      <c r="AG8" s="135" t="s">
        <v>167</v>
      </c>
      <c r="AH8" s="135" t="s">
        <v>150</v>
      </c>
      <c r="AI8" s="136" t="s">
        <v>150</v>
      </c>
      <c r="AJ8" s="136" t="s">
        <v>165</v>
      </c>
      <c r="AK8" s="137">
        <v>0</v>
      </c>
      <c r="AL8" s="182">
        <v>0</v>
      </c>
      <c r="AM8" s="137">
        <v>0</v>
      </c>
      <c r="AN8" s="137" t="s">
        <v>168</v>
      </c>
      <c r="AO8" s="137" t="s">
        <v>169</v>
      </c>
    </row>
    <row r="9" spans="1:41" s="74" customFormat="1" x14ac:dyDescent="0.25">
      <c r="A9" s="119"/>
      <c r="B9" s="119"/>
      <c r="C9" s="120"/>
      <c r="D9" s="120"/>
      <c r="E9" s="31" t="s">
        <v>136</v>
      </c>
      <c r="F9" s="120"/>
      <c r="G9" s="121" t="s">
        <v>146</v>
      </c>
      <c r="H9" s="121" t="s">
        <v>147</v>
      </c>
      <c r="I9" s="122">
        <v>89005</v>
      </c>
      <c r="J9" s="121" t="s">
        <v>166</v>
      </c>
      <c r="K9" s="123" t="s">
        <v>148</v>
      </c>
      <c r="L9" s="123">
        <v>1995</v>
      </c>
      <c r="M9" s="124"/>
      <c r="N9" s="123">
        <v>2</v>
      </c>
      <c r="O9" s="125">
        <v>1</v>
      </c>
      <c r="P9" s="127">
        <v>2</v>
      </c>
      <c r="Q9" s="127">
        <v>6302</v>
      </c>
      <c r="R9" s="128" t="s">
        <v>152</v>
      </c>
      <c r="S9" s="129">
        <v>0.99</v>
      </c>
      <c r="T9" s="163">
        <v>1444000</v>
      </c>
      <c r="U9" s="131"/>
      <c r="V9" s="130"/>
      <c r="W9" s="131"/>
      <c r="X9" s="171">
        <v>1444000</v>
      </c>
      <c r="Y9" s="181">
        <v>229.06</v>
      </c>
      <c r="Z9" s="134">
        <v>0</v>
      </c>
      <c r="AA9" s="134">
        <v>0</v>
      </c>
      <c r="AB9" s="31">
        <v>1995</v>
      </c>
      <c r="AC9" s="31">
        <v>1995</v>
      </c>
      <c r="AD9" s="31">
        <v>1995</v>
      </c>
      <c r="AE9" s="31">
        <v>1995</v>
      </c>
      <c r="AF9" s="135" t="s">
        <v>150</v>
      </c>
      <c r="AG9" s="135" t="s">
        <v>167</v>
      </c>
      <c r="AH9" s="135" t="s">
        <v>150</v>
      </c>
      <c r="AI9" s="136" t="s">
        <v>150</v>
      </c>
      <c r="AJ9" s="136" t="s">
        <v>165</v>
      </c>
      <c r="AK9" s="137">
        <v>0</v>
      </c>
      <c r="AL9" s="182">
        <v>0</v>
      </c>
      <c r="AM9" s="137">
        <v>0</v>
      </c>
      <c r="AN9" s="137" t="s">
        <v>168</v>
      </c>
      <c r="AO9" s="137" t="s">
        <v>169</v>
      </c>
    </row>
    <row r="10" spans="1:41" ht="15.95" customHeight="1" x14ac:dyDescent="0.25">
      <c r="A10" s="119"/>
      <c r="B10" s="119"/>
      <c r="C10" s="120"/>
      <c r="D10" s="120"/>
      <c r="E10" s="31" t="s">
        <v>137</v>
      </c>
      <c r="F10" s="138"/>
      <c r="G10" s="121" t="s">
        <v>146</v>
      </c>
      <c r="H10" s="121" t="s">
        <v>147</v>
      </c>
      <c r="I10" s="122">
        <v>89005</v>
      </c>
      <c r="J10" s="121" t="s">
        <v>166</v>
      </c>
      <c r="K10" s="123" t="s">
        <v>148</v>
      </c>
      <c r="L10" s="123">
        <v>1995</v>
      </c>
      <c r="M10" s="139"/>
      <c r="N10" s="123">
        <v>2</v>
      </c>
      <c r="O10" s="125">
        <v>1</v>
      </c>
      <c r="P10" s="127">
        <v>3</v>
      </c>
      <c r="Q10" s="127">
        <v>9453</v>
      </c>
      <c r="R10" s="128" t="s">
        <v>152</v>
      </c>
      <c r="S10" s="129">
        <v>0.99</v>
      </c>
      <c r="T10" s="163">
        <v>1947000</v>
      </c>
      <c r="U10" s="130"/>
      <c r="V10" s="130"/>
      <c r="W10" s="130"/>
      <c r="X10" s="171">
        <v>1947000</v>
      </c>
      <c r="Y10" s="181">
        <v>205.94</v>
      </c>
      <c r="Z10" s="134">
        <v>0</v>
      </c>
      <c r="AA10" s="134">
        <v>0</v>
      </c>
      <c r="AB10" s="31">
        <v>1995</v>
      </c>
      <c r="AC10" s="31">
        <v>1995</v>
      </c>
      <c r="AD10" s="31">
        <v>1995</v>
      </c>
      <c r="AE10" s="31">
        <v>1995</v>
      </c>
      <c r="AF10" s="135" t="s">
        <v>150</v>
      </c>
      <c r="AG10" s="135" t="s">
        <v>167</v>
      </c>
      <c r="AH10" s="135" t="s">
        <v>150</v>
      </c>
      <c r="AI10" s="136" t="s">
        <v>150</v>
      </c>
      <c r="AJ10" s="136" t="s">
        <v>165</v>
      </c>
      <c r="AK10" s="137">
        <v>0</v>
      </c>
      <c r="AL10" s="182">
        <v>0</v>
      </c>
      <c r="AM10" s="137">
        <v>0</v>
      </c>
      <c r="AN10" s="137" t="s">
        <v>168</v>
      </c>
      <c r="AO10" s="137" t="s">
        <v>169</v>
      </c>
    </row>
    <row r="11" spans="1:41" ht="15.95" customHeight="1" x14ac:dyDescent="0.25">
      <c r="A11" s="119"/>
      <c r="B11" s="119"/>
      <c r="C11" s="120"/>
      <c r="D11" s="120"/>
      <c r="E11" s="31" t="s">
        <v>138</v>
      </c>
      <c r="F11" s="140"/>
      <c r="G11" s="121" t="s">
        <v>146</v>
      </c>
      <c r="H11" s="121" t="s">
        <v>147</v>
      </c>
      <c r="I11" s="122">
        <v>89005</v>
      </c>
      <c r="J11" s="121" t="s">
        <v>166</v>
      </c>
      <c r="K11" s="123" t="s">
        <v>148</v>
      </c>
      <c r="L11" s="123">
        <v>1993</v>
      </c>
      <c r="M11" s="142"/>
      <c r="N11" s="123">
        <v>2</v>
      </c>
      <c r="O11" s="125">
        <v>1</v>
      </c>
      <c r="P11" s="127">
        <v>3</v>
      </c>
      <c r="Q11" s="127">
        <v>9453</v>
      </c>
      <c r="R11" s="128" t="s">
        <v>152</v>
      </c>
      <c r="S11" s="129">
        <v>0.99</v>
      </c>
      <c r="T11" s="163">
        <v>1947000</v>
      </c>
      <c r="U11" s="144"/>
      <c r="V11" s="130"/>
      <c r="W11" s="144"/>
      <c r="X11" s="171">
        <v>1947000</v>
      </c>
      <c r="Y11" s="181">
        <v>205.94</v>
      </c>
      <c r="Z11" s="134">
        <v>0</v>
      </c>
      <c r="AA11" s="134">
        <v>0</v>
      </c>
      <c r="AB11" s="31">
        <v>1993</v>
      </c>
      <c r="AC11" s="31">
        <v>1993</v>
      </c>
      <c r="AD11" s="31">
        <v>1993</v>
      </c>
      <c r="AE11" s="31">
        <v>1993</v>
      </c>
      <c r="AF11" s="135" t="s">
        <v>150</v>
      </c>
      <c r="AG11" s="135" t="s">
        <v>167</v>
      </c>
      <c r="AH11" s="135" t="s">
        <v>150</v>
      </c>
      <c r="AI11" s="136" t="s">
        <v>150</v>
      </c>
      <c r="AJ11" s="136" t="s">
        <v>165</v>
      </c>
      <c r="AK11" s="137">
        <v>0</v>
      </c>
      <c r="AL11" s="182">
        <v>0</v>
      </c>
      <c r="AM11" s="137">
        <v>0</v>
      </c>
      <c r="AN11" s="137" t="s">
        <v>168</v>
      </c>
      <c r="AO11" s="137" t="s">
        <v>169</v>
      </c>
    </row>
    <row r="12" spans="1:41" ht="15.95" customHeight="1" x14ac:dyDescent="0.25">
      <c r="A12" s="119"/>
      <c r="B12" s="119"/>
      <c r="C12" s="120"/>
      <c r="D12" s="120"/>
      <c r="E12" s="31" t="s">
        <v>139</v>
      </c>
      <c r="F12" s="140"/>
      <c r="G12" s="121" t="s">
        <v>146</v>
      </c>
      <c r="H12" s="121" t="s">
        <v>147</v>
      </c>
      <c r="I12" s="122">
        <v>89005</v>
      </c>
      <c r="J12" s="121" t="s">
        <v>166</v>
      </c>
      <c r="K12" s="123" t="s">
        <v>148</v>
      </c>
      <c r="L12" s="123">
        <v>1994</v>
      </c>
      <c r="M12" s="142"/>
      <c r="N12" s="123">
        <v>2</v>
      </c>
      <c r="O12" s="125">
        <v>1</v>
      </c>
      <c r="P12" s="127">
        <v>2</v>
      </c>
      <c r="Q12" s="127">
        <v>6302</v>
      </c>
      <c r="R12" s="128" t="s">
        <v>152</v>
      </c>
      <c r="S12" s="129">
        <v>0.99</v>
      </c>
      <c r="T12" s="164">
        <v>1444000</v>
      </c>
      <c r="U12" s="144"/>
      <c r="V12" s="130"/>
      <c r="W12" s="144"/>
      <c r="X12" s="172">
        <v>1444000</v>
      </c>
      <c r="Y12" s="181">
        <v>229.06</v>
      </c>
      <c r="Z12" s="134">
        <v>0</v>
      </c>
      <c r="AA12" s="134">
        <v>0</v>
      </c>
      <c r="AB12" s="31">
        <v>1994</v>
      </c>
      <c r="AC12" s="31">
        <v>1994</v>
      </c>
      <c r="AD12" s="31">
        <v>1994</v>
      </c>
      <c r="AE12" s="31">
        <v>1994</v>
      </c>
      <c r="AF12" s="135" t="s">
        <v>150</v>
      </c>
      <c r="AG12" s="135" t="s">
        <v>167</v>
      </c>
      <c r="AH12" s="135" t="s">
        <v>150</v>
      </c>
      <c r="AI12" s="136" t="s">
        <v>150</v>
      </c>
      <c r="AJ12" s="136" t="s">
        <v>165</v>
      </c>
      <c r="AK12" s="137">
        <v>0</v>
      </c>
      <c r="AL12" s="182">
        <v>0</v>
      </c>
      <c r="AM12" s="137">
        <v>0</v>
      </c>
      <c r="AN12" s="137" t="s">
        <v>168</v>
      </c>
      <c r="AO12" s="137" t="s">
        <v>169</v>
      </c>
    </row>
    <row r="13" spans="1:41" ht="15.95" customHeight="1" x14ac:dyDescent="0.25">
      <c r="A13" s="119"/>
      <c r="B13" s="119"/>
      <c r="C13" s="120"/>
      <c r="D13" s="120"/>
      <c r="E13" s="31" t="s">
        <v>140</v>
      </c>
      <c r="F13" s="140"/>
      <c r="G13" s="121" t="s">
        <v>146</v>
      </c>
      <c r="H13" s="121" t="s">
        <v>147</v>
      </c>
      <c r="I13" s="122">
        <v>89005</v>
      </c>
      <c r="J13" s="121" t="s">
        <v>166</v>
      </c>
      <c r="K13" s="123" t="s">
        <v>148</v>
      </c>
      <c r="L13" s="123">
        <v>1994</v>
      </c>
      <c r="M13" s="142"/>
      <c r="N13" s="123">
        <v>2</v>
      </c>
      <c r="O13" s="125">
        <v>1</v>
      </c>
      <c r="P13" s="127">
        <v>3</v>
      </c>
      <c r="Q13" s="127">
        <v>10495</v>
      </c>
      <c r="R13" s="128" t="s">
        <v>152</v>
      </c>
      <c r="S13" s="129">
        <v>0.99</v>
      </c>
      <c r="T13" s="164">
        <v>2104000</v>
      </c>
      <c r="U13" s="144"/>
      <c r="V13" s="130"/>
      <c r="W13" s="144"/>
      <c r="X13" s="172">
        <v>2104000</v>
      </c>
      <c r="Y13" s="181">
        <v>200.39</v>
      </c>
      <c r="Z13" s="134">
        <v>0</v>
      </c>
      <c r="AA13" s="134">
        <v>0</v>
      </c>
      <c r="AB13" s="31">
        <v>1994</v>
      </c>
      <c r="AC13" s="31">
        <v>1994</v>
      </c>
      <c r="AD13" s="31">
        <v>1994</v>
      </c>
      <c r="AE13" s="31">
        <v>1994</v>
      </c>
      <c r="AF13" s="135" t="s">
        <v>150</v>
      </c>
      <c r="AG13" s="135" t="s">
        <v>167</v>
      </c>
      <c r="AH13" s="135" t="s">
        <v>150</v>
      </c>
      <c r="AI13" s="136" t="s">
        <v>150</v>
      </c>
      <c r="AJ13" s="136" t="s">
        <v>165</v>
      </c>
      <c r="AK13" s="137">
        <v>0</v>
      </c>
      <c r="AL13" s="182">
        <v>0</v>
      </c>
      <c r="AM13" s="137">
        <v>0</v>
      </c>
      <c r="AN13" s="137" t="s">
        <v>168</v>
      </c>
      <c r="AO13" s="137" t="s">
        <v>169</v>
      </c>
    </row>
    <row r="14" spans="1:41" ht="15.95" customHeight="1" x14ac:dyDescent="0.25">
      <c r="A14" s="119"/>
      <c r="B14" s="119"/>
      <c r="C14" s="120"/>
      <c r="D14" s="120"/>
      <c r="E14" s="31" t="s">
        <v>141</v>
      </c>
      <c r="F14" s="140"/>
      <c r="G14" s="121" t="s">
        <v>146</v>
      </c>
      <c r="H14" s="121" t="s">
        <v>147</v>
      </c>
      <c r="I14" s="122">
        <v>89005</v>
      </c>
      <c r="J14" s="121" t="s">
        <v>166</v>
      </c>
      <c r="K14" s="123" t="s">
        <v>148</v>
      </c>
      <c r="L14" s="123">
        <v>1993</v>
      </c>
      <c r="M14" s="142"/>
      <c r="N14" s="123">
        <v>2</v>
      </c>
      <c r="O14" s="125">
        <v>1</v>
      </c>
      <c r="P14" s="127">
        <v>2</v>
      </c>
      <c r="Q14" s="127">
        <v>6997</v>
      </c>
      <c r="R14" s="128" t="s">
        <v>152</v>
      </c>
      <c r="S14" s="129">
        <v>0.99</v>
      </c>
      <c r="T14" s="164">
        <v>1543000</v>
      </c>
      <c r="U14" s="144"/>
      <c r="V14" s="130"/>
      <c r="W14" s="144"/>
      <c r="X14" s="172">
        <v>1543000</v>
      </c>
      <c r="Y14" s="181">
        <v>220.47</v>
      </c>
      <c r="Z14" s="134">
        <v>0</v>
      </c>
      <c r="AA14" s="134">
        <v>0</v>
      </c>
      <c r="AB14" s="31">
        <v>1993</v>
      </c>
      <c r="AC14" s="31">
        <v>1993</v>
      </c>
      <c r="AD14" s="31">
        <v>1993</v>
      </c>
      <c r="AE14" s="31">
        <v>1993</v>
      </c>
      <c r="AF14" s="135" t="s">
        <v>150</v>
      </c>
      <c r="AG14" s="135" t="s">
        <v>167</v>
      </c>
      <c r="AH14" s="135" t="s">
        <v>150</v>
      </c>
      <c r="AI14" s="136" t="s">
        <v>150</v>
      </c>
      <c r="AJ14" s="136" t="s">
        <v>165</v>
      </c>
      <c r="AK14" s="137">
        <v>0</v>
      </c>
      <c r="AL14" s="182">
        <v>0</v>
      </c>
      <c r="AM14" s="137">
        <v>0</v>
      </c>
      <c r="AN14" s="137" t="s">
        <v>168</v>
      </c>
      <c r="AO14" s="137" t="s">
        <v>169</v>
      </c>
    </row>
    <row r="15" spans="1:41" ht="15.95" customHeight="1" x14ac:dyDescent="0.25">
      <c r="A15" s="119"/>
      <c r="B15" s="119"/>
      <c r="C15" s="120"/>
      <c r="D15" s="120"/>
      <c r="E15" s="31" t="s">
        <v>142</v>
      </c>
      <c r="F15" s="140"/>
      <c r="G15" s="121" t="s">
        <v>146</v>
      </c>
      <c r="H15" s="121" t="s">
        <v>147</v>
      </c>
      <c r="I15" s="122">
        <v>89005</v>
      </c>
      <c r="J15" s="121" t="s">
        <v>166</v>
      </c>
      <c r="K15" s="123" t="s">
        <v>148</v>
      </c>
      <c r="L15" s="123">
        <v>1997</v>
      </c>
      <c r="M15" s="142"/>
      <c r="N15" s="123">
        <v>2</v>
      </c>
      <c r="O15" s="125">
        <v>1</v>
      </c>
      <c r="P15" s="127">
        <v>2</v>
      </c>
      <c r="Q15" s="127">
        <v>6164</v>
      </c>
      <c r="R15" s="128" t="s">
        <v>152</v>
      </c>
      <c r="S15" s="129">
        <v>0.99</v>
      </c>
      <c r="T15" s="164">
        <v>1424000</v>
      </c>
      <c r="U15" s="144"/>
      <c r="V15" s="130"/>
      <c r="W15" s="144"/>
      <c r="X15" s="172">
        <v>1424000</v>
      </c>
      <c r="Y15" s="181">
        <v>230.99</v>
      </c>
      <c r="Z15" s="134">
        <v>0</v>
      </c>
      <c r="AA15" s="134">
        <v>0</v>
      </c>
      <c r="AB15" s="31">
        <v>1997</v>
      </c>
      <c r="AC15" s="31">
        <v>1997</v>
      </c>
      <c r="AD15" s="31">
        <v>1997</v>
      </c>
      <c r="AE15" s="31">
        <v>1997</v>
      </c>
      <c r="AF15" s="135" t="s">
        <v>150</v>
      </c>
      <c r="AG15" s="135" t="s">
        <v>167</v>
      </c>
      <c r="AH15" s="135" t="s">
        <v>150</v>
      </c>
      <c r="AI15" s="136" t="s">
        <v>150</v>
      </c>
      <c r="AJ15" s="136" t="s">
        <v>165</v>
      </c>
      <c r="AK15" s="137">
        <v>0</v>
      </c>
      <c r="AL15" s="182">
        <v>0</v>
      </c>
      <c r="AM15" s="137">
        <v>0</v>
      </c>
      <c r="AN15" s="137" t="s">
        <v>168</v>
      </c>
      <c r="AO15" s="137" t="s">
        <v>169</v>
      </c>
    </row>
    <row r="16" spans="1:41" ht="15.95" customHeight="1" x14ac:dyDescent="0.25">
      <c r="A16" s="119"/>
      <c r="B16" s="119"/>
      <c r="C16" s="120"/>
      <c r="D16" s="120"/>
      <c r="E16" s="31" t="s">
        <v>143</v>
      </c>
      <c r="F16" s="140"/>
      <c r="G16" s="121" t="s">
        <v>146</v>
      </c>
      <c r="H16" s="121" t="s">
        <v>147</v>
      </c>
      <c r="I16" s="122">
        <v>89005</v>
      </c>
      <c r="J16" s="121" t="s">
        <v>166</v>
      </c>
      <c r="K16" s="123" t="s">
        <v>148</v>
      </c>
      <c r="L16" s="123">
        <v>1997</v>
      </c>
      <c r="M16" s="142"/>
      <c r="N16" s="123">
        <v>2</v>
      </c>
      <c r="O16" s="125">
        <v>1</v>
      </c>
      <c r="P16" s="127">
        <v>2</v>
      </c>
      <c r="Q16" s="127">
        <v>6164</v>
      </c>
      <c r="R16" s="128" t="s">
        <v>152</v>
      </c>
      <c r="S16" s="129">
        <v>0.99</v>
      </c>
      <c r="T16" s="164">
        <v>1424000</v>
      </c>
      <c r="U16" s="144"/>
      <c r="V16" s="130"/>
      <c r="W16" s="144"/>
      <c r="X16" s="172">
        <v>1424000</v>
      </c>
      <c r="Y16" s="181">
        <v>230.99</v>
      </c>
      <c r="Z16" s="134">
        <v>0</v>
      </c>
      <c r="AA16" s="134">
        <v>0</v>
      </c>
      <c r="AB16" s="31">
        <v>1997</v>
      </c>
      <c r="AC16" s="31">
        <v>1997</v>
      </c>
      <c r="AD16" s="31">
        <v>1997</v>
      </c>
      <c r="AE16" s="31">
        <v>1997</v>
      </c>
      <c r="AF16" s="135" t="s">
        <v>150</v>
      </c>
      <c r="AG16" s="135" t="s">
        <v>167</v>
      </c>
      <c r="AH16" s="135" t="s">
        <v>150</v>
      </c>
      <c r="AI16" s="136" t="s">
        <v>150</v>
      </c>
      <c r="AJ16" s="136" t="s">
        <v>165</v>
      </c>
      <c r="AK16" s="137">
        <v>0</v>
      </c>
      <c r="AL16" s="182">
        <v>0</v>
      </c>
      <c r="AM16" s="137">
        <v>0</v>
      </c>
      <c r="AN16" s="137" t="s">
        <v>168</v>
      </c>
      <c r="AO16" s="137" t="s">
        <v>169</v>
      </c>
    </row>
    <row r="17" spans="1:41" ht="15.95" customHeight="1" x14ac:dyDescent="0.25">
      <c r="A17" s="119"/>
      <c r="B17" s="119"/>
      <c r="C17" s="120"/>
      <c r="D17" s="120"/>
      <c r="E17" s="140"/>
      <c r="F17" s="140"/>
      <c r="G17" s="121"/>
      <c r="H17" s="121"/>
      <c r="I17" s="122"/>
      <c r="J17" s="121"/>
      <c r="K17" s="123"/>
      <c r="L17" s="123"/>
      <c r="M17" s="142"/>
      <c r="N17" s="123"/>
      <c r="O17" s="125"/>
      <c r="P17" s="127"/>
      <c r="Q17" s="127"/>
      <c r="R17" s="128"/>
      <c r="S17" s="129"/>
      <c r="T17" s="164"/>
      <c r="U17" s="144"/>
      <c r="V17" s="130"/>
      <c r="W17" s="144"/>
      <c r="X17" s="172"/>
      <c r="Y17" s="146"/>
      <c r="Z17" s="134"/>
      <c r="AA17" s="134"/>
      <c r="AB17" s="135"/>
      <c r="AC17" s="135"/>
      <c r="AD17" s="135"/>
      <c r="AE17" s="135"/>
      <c r="AF17" s="135"/>
      <c r="AG17" s="135"/>
      <c r="AH17" s="135"/>
      <c r="AI17" s="136"/>
      <c r="AJ17" s="136"/>
      <c r="AK17" s="137"/>
      <c r="AL17" s="137"/>
      <c r="AM17" s="137"/>
      <c r="AN17" s="137"/>
      <c r="AO17" s="137"/>
    </row>
    <row r="18" spans="1:41" ht="15.95" customHeight="1" x14ac:dyDescent="0.25">
      <c r="A18" s="119"/>
      <c r="B18" s="119"/>
      <c r="C18" s="120"/>
      <c r="D18" s="120"/>
      <c r="E18" s="140"/>
      <c r="F18" s="140"/>
      <c r="G18" s="121"/>
      <c r="H18" s="121"/>
      <c r="I18" s="122"/>
      <c r="J18" s="121"/>
      <c r="K18" s="123"/>
      <c r="L18" s="123"/>
      <c r="M18" s="142"/>
      <c r="N18" s="123"/>
      <c r="O18" s="125"/>
      <c r="P18" s="127"/>
      <c r="Q18" s="127"/>
      <c r="R18" s="45" t="s">
        <v>170</v>
      </c>
      <c r="S18" s="129"/>
      <c r="T18" s="164"/>
      <c r="U18" s="144"/>
      <c r="V18" s="130"/>
      <c r="W18" s="183">
        <v>25000</v>
      </c>
      <c r="X18" s="172"/>
      <c r="Y18" s="146"/>
      <c r="Z18" s="134"/>
      <c r="AA18" s="134"/>
      <c r="AB18" s="135"/>
      <c r="AC18" s="135"/>
      <c r="AD18" s="135"/>
      <c r="AE18" s="135"/>
      <c r="AF18" s="135"/>
      <c r="AG18" s="135"/>
      <c r="AH18" s="135"/>
      <c r="AI18" s="136"/>
      <c r="AJ18" s="136"/>
      <c r="AK18" s="137"/>
      <c r="AL18" s="137"/>
      <c r="AM18" s="137"/>
      <c r="AN18" s="137"/>
      <c r="AO18" s="137"/>
    </row>
    <row r="19" spans="1:41" ht="15.95" customHeight="1" x14ac:dyDescent="0.25">
      <c r="A19" s="119"/>
      <c r="B19" s="119"/>
      <c r="C19" s="120"/>
      <c r="D19" s="120"/>
      <c r="E19" s="138"/>
      <c r="F19" s="140"/>
      <c r="G19" s="121"/>
      <c r="H19" s="121"/>
      <c r="I19" s="122"/>
      <c r="J19" s="121"/>
      <c r="K19" s="123"/>
      <c r="L19" s="123"/>
      <c r="M19" s="142"/>
      <c r="N19" s="123"/>
      <c r="O19" s="125"/>
      <c r="P19" s="126"/>
      <c r="Q19" s="127"/>
      <c r="R19" s="45" t="s">
        <v>171</v>
      </c>
      <c r="S19" s="137"/>
      <c r="T19" s="163"/>
      <c r="U19" s="144"/>
      <c r="V19" s="130"/>
      <c r="W19" s="183">
        <v>15000</v>
      </c>
      <c r="X19" s="171"/>
      <c r="Y19" s="146"/>
      <c r="Z19" s="134"/>
      <c r="AA19" s="134"/>
      <c r="AB19" s="135"/>
      <c r="AC19" s="135"/>
      <c r="AD19" s="135"/>
      <c r="AE19" s="135"/>
      <c r="AF19" s="135"/>
      <c r="AG19" s="135"/>
      <c r="AH19" s="135"/>
      <c r="AI19" s="136"/>
      <c r="AJ19" s="136"/>
      <c r="AK19" s="137"/>
      <c r="AL19" s="137"/>
      <c r="AM19" s="137"/>
      <c r="AN19" s="137"/>
      <c r="AO19" s="137"/>
    </row>
    <row r="20" spans="1:41" ht="15.95" customHeight="1" x14ac:dyDescent="0.25">
      <c r="A20" s="119"/>
      <c r="B20" s="119"/>
      <c r="C20" s="120"/>
      <c r="D20" s="120"/>
      <c r="E20" s="138"/>
      <c r="F20" s="138"/>
      <c r="G20" s="121"/>
      <c r="H20" s="121"/>
      <c r="I20" s="122"/>
      <c r="J20" s="121"/>
      <c r="K20" s="123"/>
      <c r="L20" s="123"/>
      <c r="M20" s="124"/>
      <c r="N20" s="123"/>
      <c r="O20" s="125"/>
      <c r="P20" s="126"/>
      <c r="Q20" s="127"/>
      <c r="R20" s="45" t="s">
        <v>172</v>
      </c>
      <c r="S20" s="129"/>
      <c r="T20" s="163"/>
      <c r="U20" s="131"/>
      <c r="V20" s="130"/>
      <c r="W20" s="183">
        <v>20000</v>
      </c>
      <c r="X20" s="171"/>
      <c r="Y20" s="133"/>
      <c r="Z20" s="134"/>
      <c r="AA20" s="134"/>
      <c r="AB20" s="135"/>
      <c r="AC20" s="135"/>
      <c r="AD20" s="135"/>
      <c r="AE20" s="135"/>
      <c r="AF20" s="135"/>
      <c r="AG20" s="135"/>
      <c r="AH20" s="135"/>
      <c r="AI20" s="136"/>
      <c r="AJ20" s="136"/>
      <c r="AK20" s="137"/>
      <c r="AL20" s="137"/>
      <c r="AM20" s="137"/>
      <c r="AN20" s="137"/>
      <c r="AO20" s="137"/>
    </row>
    <row r="21" spans="1:41" ht="15.95" customHeight="1" x14ac:dyDescent="0.25">
      <c r="A21" s="119"/>
      <c r="B21" s="119"/>
      <c r="C21" s="120"/>
      <c r="D21" s="120"/>
      <c r="E21" s="120"/>
      <c r="F21" s="138"/>
      <c r="G21" s="121"/>
      <c r="H21" s="121"/>
      <c r="I21" s="122"/>
      <c r="J21" s="121"/>
      <c r="K21" s="123"/>
      <c r="L21" s="123"/>
      <c r="M21" s="124"/>
      <c r="N21" s="123"/>
      <c r="O21" s="125"/>
      <c r="P21" s="126"/>
      <c r="Q21" s="127"/>
      <c r="R21" s="45" t="s">
        <v>173</v>
      </c>
      <c r="S21" s="129"/>
      <c r="T21" s="130"/>
      <c r="U21" s="131"/>
      <c r="V21" s="130"/>
      <c r="W21" s="183">
        <v>50000</v>
      </c>
      <c r="X21" s="132"/>
      <c r="Y21" s="133"/>
      <c r="Z21" s="134"/>
      <c r="AA21" s="134"/>
      <c r="AB21" s="135"/>
      <c r="AC21" s="135"/>
      <c r="AD21" s="135"/>
      <c r="AE21" s="135"/>
      <c r="AF21" s="135"/>
      <c r="AG21" s="135"/>
      <c r="AH21" s="135"/>
      <c r="AI21" s="136"/>
      <c r="AJ21" s="136"/>
      <c r="AK21" s="137"/>
      <c r="AL21" s="137"/>
      <c r="AM21" s="137"/>
      <c r="AN21" s="137"/>
      <c r="AO21" s="137"/>
    </row>
    <row r="22" spans="1:41" ht="15.95" customHeight="1" x14ac:dyDescent="0.25">
      <c r="A22" s="119"/>
      <c r="B22" s="119"/>
      <c r="C22" s="120"/>
      <c r="D22" s="120"/>
      <c r="E22" s="120"/>
      <c r="F22" s="138"/>
      <c r="G22" s="121"/>
      <c r="H22" s="121"/>
      <c r="I22" s="122"/>
      <c r="J22" s="121"/>
      <c r="K22" s="123"/>
      <c r="L22" s="123"/>
      <c r="M22" s="124"/>
      <c r="N22" s="123"/>
      <c r="O22" s="125"/>
      <c r="P22" s="126"/>
      <c r="Q22" s="127"/>
      <c r="R22" s="45" t="s">
        <v>174</v>
      </c>
      <c r="S22" s="129"/>
      <c r="T22" s="130"/>
      <c r="U22" s="131"/>
      <c r="V22" s="130"/>
      <c r="W22" s="183">
        <v>50000</v>
      </c>
      <c r="X22" s="132"/>
      <c r="Y22" s="133"/>
      <c r="Z22" s="134"/>
      <c r="AA22" s="134"/>
      <c r="AB22" s="135"/>
      <c r="AC22" s="135"/>
      <c r="AD22" s="135"/>
      <c r="AE22" s="135"/>
      <c r="AF22" s="135"/>
      <c r="AG22" s="135"/>
      <c r="AH22" s="135"/>
      <c r="AI22" s="136"/>
      <c r="AJ22" s="136"/>
      <c r="AK22" s="137"/>
      <c r="AL22" s="137"/>
      <c r="AM22" s="137"/>
      <c r="AN22" s="137"/>
      <c r="AO22" s="137"/>
    </row>
    <row r="23" spans="1:41" ht="15.95" customHeight="1" x14ac:dyDescent="0.25">
      <c r="A23" s="119"/>
      <c r="B23" s="119"/>
      <c r="C23" s="120"/>
      <c r="D23" s="120"/>
      <c r="E23" s="120"/>
      <c r="F23" s="138"/>
      <c r="G23" s="121"/>
      <c r="H23" s="121"/>
      <c r="I23" s="122"/>
      <c r="J23" s="121"/>
      <c r="K23" s="123"/>
      <c r="L23" s="123"/>
      <c r="M23" s="124"/>
      <c r="N23" s="123"/>
      <c r="O23" s="125"/>
      <c r="P23" s="126"/>
      <c r="Q23" s="127"/>
      <c r="R23" s="45" t="s">
        <v>175</v>
      </c>
      <c r="S23" s="129"/>
      <c r="T23" s="130"/>
      <c r="U23" s="131"/>
      <c r="V23" s="130"/>
      <c r="W23" s="183">
        <v>10000</v>
      </c>
      <c r="X23" s="132"/>
      <c r="Y23" s="133"/>
      <c r="Z23" s="134"/>
      <c r="AA23" s="134"/>
      <c r="AB23" s="135"/>
      <c r="AC23" s="135"/>
      <c r="AD23" s="135"/>
      <c r="AE23" s="135"/>
      <c r="AF23" s="135"/>
      <c r="AG23" s="135"/>
      <c r="AH23" s="135"/>
      <c r="AI23" s="136"/>
      <c r="AJ23" s="136"/>
      <c r="AK23" s="137"/>
      <c r="AL23" s="137"/>
      <c r="AM23" s="137"/>
      <c r="AN23" s="137"/>
      <c r="AO23" s="137"/>
    </row>
    <row r="24" spans="1:41" ht="15.95" customHeight="1" x14ac:dyDescent="0.25">
      <c r="A24" s="119"/>
      <c r="B24" s="119"/>
      <c r="C24" s="120"/>
      <c r="D24" s="120"/>
      <c r="E24" s="120"/>
      <c r="F24" s="138"/>
      <c r="G24" s="121"/>
      <c r="H24" s="121"/>
      <c r="I24" s="122"/>
      <c r="J24" s="121"/>
      <c r="K24" s="123"/>
      <c r="L24" s="123"/>
      <c r="M24" s="124"/>
      <c r="N24" s="123"/>
      <c r="O24" s="125"/>
      <c r="P24" s="126"/>
      <c r="Q24" s="127"/>
      <c r="R24" s="45" t="s">
        <v>176</v>
      </c>
      <c r="S24" s="129"/>
      <c r="T24" s="130"/>
      <c r="U24" s="131"/>
      <c r="V24" s="130"/>
      <c r="W24" s="183">
        <v>50000</v>
      </c>
      <c r="X24" s="132"/>
      <c r="Y24" s="133"/>
      <c r="Z24" s="134"/>
      <c r="AA24" s="134"/>
      <c r="AB24" s="135"/>
      <c r="AC24" s="135"/>
      <c r="AD24" s="135"/>
      <c r="AE24" s="135"/>
      <c r="AF24" s="135"/>
      <c r="AG24" s="135"/>
      <c r="AH24" s="135"/>
      <c r="AI24" s="136"/>
      <c r="AJ24" s="136"/>
      <c r="AK24" s="137"/>
      <c r="AL24" s="137"/>
      <c r="AM24" s="137"/>
      <c r="AN24" s="137"/>
      <c r="AO24" s="137"/>
    </row>
    <row r="25" spans="1:41" ht="15.95" customHeight="1" x14ac:dyDescent="0.25">
      <c r="A25" s="119"/>
      <c r="B25" s="119"/>
      <c r="C25" s="120"/>
      <c r="D25" s="120"/>
      <c r="E25" s="120"/>
      <c r="F25" s="138"/>
      <c r="G25" s="121"/>
      <c r="H25" s="121"/>
      <c r="I25" s="122"/>
      <c r="J25" s="121"/>
      <c r="K25" s="123"/>
      <c r="L25" s="123"/>
      <c r="M25" s="124"/>
      <c r="N25" s="123"/>
      <c r="O25" s="125"/>
      <c r="P25" s="126"/>
      <c r="Q25" s="127"/>
      <c r="R25" s="45" t="s">
        <v>177</v>
      </c>
      <c r="S25" s="129"/>
      <c r="T25" s="130"/>
      <c r="U25" s="131"/>
      <c r="V25" s="130"/>
      <c r="W25" s="183">
        <v>25000</v>
      </c>
      <c r="X25" s="132"/>
      <c r="Y25" s="133"/>
      <c r="Z25" s="134"/>
      <c r="AA25" s="134"/>
      <c r="AB25" s="135"/>
      <c r="AC25" s="135"/>
      <c r="AD25" s="135"/>
      <c r="AE25" s="135"/>
      <c r="AF25" s="135"/>
      <c r="AG25" s="135"/>
      <c r="AH25" s="135"/>
      <c r="AI25" s="136"/>
      <c r="AJ25" s="136"/>
      <c r="AK25" s="137"/>
      <c r="AL25" s="137"/>
      <c r="AM25" s="137"/>
      <c r="AN25" s="137"/>
      <c r="AO25" s="137"/>
    </row>
    <row r="26" spans="1:41" ht="15.95" customHeight="1" x14ac:dyDescent="0.25">
      <c r="A26" s="119"/>
      <c r="B26" s="119"/>
      <c r="C26" s="120"/>
      <c r="D26" s="120"/>
      <c r="E26" s="120"/>
      <c r="F26" s="138"/>
      <c r="G26" s="121"/>
      <c r="H26" s="121"/>
      <c r="I26" s="122"/>
      <c r="J26" s="121"/>
      <c r="K26" s="123"/>
      <c r="L26" s="123"/>
      <c r="M26" s="124"/>
      <c r="N26" s="123"/>
      <c r="O26" s="125"/>
      <c r="P26" s="126"/>
      <c r="Q26" s="127"/>
      <c r="R26" s="45" t="s">
        <v>178</v>
      </c>
      <c r="S26" s="129"/>
      <c r="T26" s="130"/>
      <c r="U26" s="131"/>
      <c r="V26" s="130"/>
      <c r="W26" s="183">
        <v>25000</v>
      </c>
      <c r="X26" s="132"/>
      <c r="Y26" s="133"/>
      <c r="Z26" s="134"/>
      <c r="AA26" s="134"/>
      <c r="AB26" s="135"/>
      <c r="AC26" s="135"/>
      <c r="AD26" s="135"/>
      <c r="AE26" s="135"/>
      <c r="AF26" s="135"/>
      <c r="AG26" s="135"/>
      <c r="AH26" s="135"/>
      <c r="AI26" s="136"/>
      <c r="AJ26" s="136"/>
      <c r="AK26" s="137"/>
      <c r="AL26" s="137"/>
      <c r="AM26" s="137"/>
      <c r="AN26" s="137"/>
      <c r="AO26" s="137"/>
    </row>
    <row r="27" spans="1:41" ht="15.95" customHeight="1" x14ac:dyDescent="0.25">
      <c r="A27" s="119"/>
      <c r="B27" s="119"/>
      <c r="C27" s="120"/>
      <c r="D27" s="120"/>
      <c r="E27" s="120"/>
      <c r="F27" s="138"/>
      <c r="G27" s="121"/>
      <c r="H27" s="121"/>
      <c r="I27" s="122"/>
      <c r="J27" s="121"/>
      <c r="K27" s="123"/>
      <c r="L27" s="123"/>
      <c r="M27" s="124"/>
      <c r="N27" s="123"/>
      <c r="O27" s="125"/>
      <c r="P27" s="126"/>
      <c r="Q27" s="127"/>
      <c r="R27" s="128" t="s">
        <v>179</v>
      </c>
      <c r="S27" s="129"/>
      <c r="T27" s="130"/>
      <c r="U27" s="131"/>
      <c r="V27" s="130"/>
      <c r="W27" s="131">
        <v>150000</v>
      </c>
      <c r="X27" s="132"/>
      <c r="Y27" s="133"/>
      <c r="Z27" s="134"/>
      <c r="AA27" s="134"/>
      <c r="AB27" s="135"/>
      <c r="AC27" s="135"/>
      <c r="AD27" s="135"/>
      <c r="AE27" s="135"/>
      <c r="AF27" s="135"/>
      <c r="AG27" s="135"/>
      <c r="AH27" s="135"/>
      <c r="AI27" s="136"/>
      <c r="AJ27" s="136"/>
      <c r="AK27" s="137"/>
      <c r="AL27" s="137"/>
      <c r="AM27" s="137"/>
      <c r="AN27" s="137"/>
      <c r="AO27" s="137"/>
    </row>
    <row r="28" spans="1:41" ht="15.95" customHeight="1" x14ac:dyDescent="0.25">
      <c r="A28" s="119"/>
      <c r="B28" s="119"/>
      <c r="C28" s="120"/>
      <c r="D28" s="120"/>
      <c r="E28" s="120"/>
      <c r="F28" s="138"/>
      <c r="G28" s="121"/>
      <c r="H28" s="121"/>
      <c r="I28" s="122"/>
      <c r="J28" s="121"/>
      <c r="K28" s="123"/>
      <c r="L28" s="123"/>
      <c r="M28" s="124"/>
      <c r="N28" s="123"/>
      <c r="O28" s="125"/>
      <c r="P28" s="126"/>
      <c r="Q28" s="127"/>
      <c r="R28" s="128"/>
      <c r="S28" s="129"/>
      <c r="T28" s="130"/>
      <c r="U28" s="131"/>
      <c r="V28" s="130"/>
      <c r="W28" s="131"/>
      <c r="X28" s="132"/>
      <c r="Y28" s="133"/>
      <c r="Z28" s="134"/>
      <c r="AA28" s="134"/>
      <c r="AB28" s="135"/>
      <c r="AC28" s="135"/>
      <c r="AD28" s="135"/>
      <c r="AE28" s="135"/>
      <c r="AF28" s="135"/>
      <c r="AG28" s="135"/>
      <c r="AH28" s="135"/>
      <c r="AI28" s="136"/>
      <c r="AJ28" s="136"/>
      <c r="AK28" s="137"/>
      <c r="AL28" s="137"/>
      <c r="AM28" s="137"/>
      <c r="AN28" s="137"/>
      <c r="AO28" s="137"/>
    </row>
    <row r="29" spans="1:41" ht="15.95" customHeight="1" x14ac:dyDescent="0.25">
      <c r="A29" s="119"/>
      <c r="B29" s="119"/>
      <c r="C29" s="120"/>
      <c r="D29" s="120"/>
      <c r="E29" s="120"/>
      <c r="F29" s="138"/>
      <c r="G29" s="121"/>
      <c r="H29" s="121"/>
      <c r="I29" s="122"/>
      <c r="J29" s="121"/>
      <c r="K29" s="123"/>
      <c r="L29" s="123"/>
      <c r="M29" s="124"/>
      <c r="N29" s="123"/>
      <c r="O29" s="125"/>
      <c r="P29" s="126"/>
      <c r="Q29" s="127"/>
      <c r="R29" s="128"/>
      <c r="S29" s="129"/>
      <c r="T29" s="130"/>
      <c r="U29" s="131"/>
      <c r="V29" s="130"/>
      <c r="W29" s="131"/>
      <c r="X29" s="132"/>
      <c r="Y29" s="133"/>
      <c r="Z29" s="134"/>
      <c r="AA29" s="134"/>
      <c r="AB29" s="135"/>
      <c r="AC29" s="135"/>
      <c r="AD29" s="135"/>
      <c r="AE29" s="135"/>
      <c r="AF29" s="135"/>
      <c r="AG29" s="135"/>
      <c r="AH29" s="135"/>
      <c r="AI29" s="136"/>
      <c r="AJ29" s="136"/>
      <c r="AK29" s="137"/>
      <c r="AL29" s="137"/>
      <c r="AM29" s="137"/>
      <c r="AN29" s="137"/>
      <c r="AO29" s="137"/>
    </row>
    <row r="30" spans="1:41" ht="15.95" customHeight="1" x14ac:dyDescent="0.25">
      <c r="A30" s="119"/>
      <c r="B30" s="119"/>
      <c r="C30" s="120"/>
      <c r="D30" s="120"/>
      <c r="E30" s="120"/>
      <c r="F30" s="138"/>
      <c r="G30" s="121"/>
      <c r="H30" s="121"/>
      <c r="I30" s="122"/>
      <c r="J30" s="121"/>
      <c r="K30" s="123"/>
      <c r="L30" s="123"/>
      <c r="M30" s="124"/>
      <c r="N30" s="123"/>
      <c r="O30" s="125"/>
      <c r="P30" s="126"/>
      <c r="Q30" s="127"/>
      <c r="R30" s="128"/>
      <c r="S30" s="129"/>
      <c r="T30" s="130"/>
      <c r="U30" s="131"/>
      <c r="V30" s="130"/>
      <c r="W30" s="131"/>
      <c r="X30" s="132"/>
      <c r="Y30" s="133"/>
      <c r="Z30" s="134"/>
      <c r="AA30" s="134"/>
      <c r="AB30" s="135"/>
      <c r="AC30" s="135"/>
      <c r="AD30" s="135"/>
      <c r="AE30" s="135"/>
      <c r="AF30" s="135"/>
      <c r="AG30" s="135"/>
      <c r="AH30" s="135"/>
      <c r="AI30" s="136"/>
      <c r="AJ30" s="136"/>
      <c r="AK30" s="137"/>
      <c r="AL30" s="137"/>
      <c r="AM30" s="137"/>
      <c r="AN30" s="137"/>
      <c r="AO30" s="137"/>
    </row>
    <row r="31" spans="1:41" ht="15.95" customHeight="1" x14ac:dyDescent="0.25">
      <c r="A31" s="119"/>
      <c r="B31" s="119"/>
      <c r="C31" s="120"/>
      <c r="D31" s="120"/>
      <c r="E31" s="120"/>
      <c r="F31" s="138"/>
      <c r="G31" s="121"/>
      <c r="H31" s="121"/>
      <c r="I31" s="122"/>
      <c r="J31" s="121"/>
      <c r="K31" s="123"/>
      <c r="L31" s="123"/>
      <c r="M31" s="124"/>
      <c r="N31" s="123"/>
      <c r="O31" s="125"/>
      <c r="P31" s="126"/>
      <c r="Q31" s="127"/>
      <c r="R31" s="128"/>
      <c r="S31" s="129"/>
      <c r="T31" s="130"/>
      <c r="U31" s="131"/>
      <c r="V31" s="130"/>
      <c r="W31" s="131"/>
      <c r="X31" s="132"/>
      <c r="Y31" s="133"/>
      <c r="Z31" s="134"/>
      <c r="AA31" s="134"/>
      <c r="AB31" s="135"/>
      <c r="AC31" s="135"/>
      <c r="AD31" s="135"/>
      <c r="AE31" s="135"/>
      <c r="AF31" s="135"/>
      <c r="AG31" s="135"/>
      <c r="AH31" s="135"/>
      <c r="AI31" s="136"/>
      <c r="AJ31" s="136"/>
      <c r="AK31" s="137"/>
      <c r="AL31" s="137"/>
      <c r="AM31" s="137"/>
      <c r="AN31" s="137"/>
      <c r="AO31" s="137"/>
    </row>
    <row r="32" spans="1:41" ht="15.95" customHeight="1" x14ac:dyDescent="0.25">
      <c r="A32" s="119"/>
      <c r="B32" s="119"/>
      <c r="C32" s="120"/>
      <c r="D32" s="120"/>
      <c r="E32" s="120"/>
      <c r="F32" s="138"/>
      <c r="G32" s="121"/>
      <c r="H32" s="121"/>
      <c r="I32" s="122"/>
      <c r="J32" s="121"/>
      <c r="K32" s="123"/>
      <c r="L32" s="123"/>
      <c r="M32" s="124"/>
      <c r="N32" s="123"/>
      <c r="O32" s="125"/>
      <c r="P32" s="126"/>
      <c r="Q32" s="127"/>
      <c r="R32" s="128"/>
      <c r="S32" s="129"/>
      <c r="T32" s="130"/>
      <c r="U32" s="131"/>
      <c r="V32" s="130"/>
      <c r="W32" s="131"/>
      <c r="X32" s="132"/>
      <c r="Y32" s="133"/>
      <c r="Z32" s="134"/>
      <c r="AA32" s="134"/>
      <c r="AB32" s="135"/>
      <c r="AC32" s="135"/>
      <c r="AD32" s="135"/>
      <c r="AE32" s="135"/>
      <c r="AF32" s="135"/>
      <c r="AG32" s="135"/>
      <c r="AH32" s="135"/>
      <c r="AI32" s="136"/>
      <c r="AJ32" s="136"/>
      <c r="AK32" s="137"/>
      <c r="AL32" s="137"/>
      <c r="AM32" s="137"/>
      <c r="AN32" s="137"/>
      <c r="AO32" s="137"/>
    </row>
    <row r="33" spans="1:41" ht="15.95" customHeight="1" x14ac:dyDescent="0.25">
      <c r="A33" s="119"/>
      <c r="B33" s="119"/>
      <c r="C33" s="120"/>
      <c r="D33" s="120"/>
      <c r="E33" s="120"/>
      <c r="F33" s="138"/>
      <c r="G33" s="121"/>
      <c r="H33" s="121"/>
      <c r="I33" s="122"/>
      <c r="J33" s="121"/>
      <c r="K33" s="123"/>
      <c r="L33" s="123"/>
      <c r="M33" s="124"/>
      <c r="N33" s="123"/>
      <c r="O33" s="125"/>
      <c r="P33" s="126"/>
      <c r="Q33" s="127"/>
      <c r="R33" s="128"/>
      <c r="S33" s="129"/>
      <c r="T33" s="130"/>
      <c r="U33" s="131"/>
      <c r="V33" s="130"/>
      <c r="W33" s="131"/>
      <c r="X33" s="132"/>
      <c r="Y33" s="133"/>
      <c r="Z33" s="134"/>
      <c r="AA33" s="134"/>
      <c r="AB33" s="135"/>
      <c r="AC33" s="135"/>
      <c r="AD33" s="135"/>
      <c r="AE33" s="135"/>
      <c r="AF33" s="135"/>
      <c r="AG33" s="135"/>
      <c r="AH33" s="135"/>
      <c r="AI33" s="136"/>
      <c r="AJ33" s="136"/>
      <c r="AK33" s="137"/>
      <c r="AL33" s="137"/>
      <c r="AM33" s="137"/>
      <c r="AN33" s="137"/>
      <c r="AO33" s="137"/>
    </row>
    <row r="34" spans="1:41" ht="15.95" customHeight="1" x14ac:dyDescent="0.25">
      <c r="A34" s="119"/>
      <c r="B34" s="119"/>
      <c r="C34" s="120"/>
      <c r="D34" s="120"/>
      <c r="E34" s="120"/>
      <c r="F34" s="138"/>
      <c r="G34" s="121"/>
      <c r="H34" s="121"/>
      <c r="I34" s="122"/>
      <c r="J34" s="121"/>
      <c r="K34" s="123"/>
      <c r="L34" s="123"/>
      <c r="M34" s="124"/>
      <c r="N34" s="123"/>
      <c r="O34" s="125"/>
      <c r="P34" s="126"/>
      <c r="Q34" s="127"/>
      <c r="R34" s="128"/>
      <c r="S34" s="129"/>
      <c r="T34" s="130"/>
      <c r="U34" s="131"/>
      <c r="V34" s="130"/>
      <c r="W34" s="131"/>
      <c r="X34" s="132"/>
      <c r="Y34" s="133"/>
      <c r="Z34" s="134"/>
      <c r="AA34" s="134"/>
      <c r="AB34" s="135"/>
      <c r="AC34" s="135"/>
      <c r="AD34" s="135"/>
      <c r="AE34" s="135"/>
      <c r="AF34" s="135"/>
      <c r="AG34" s="135"/>
      <c r="AH34" s="135"/>
      <c r="AI34" s="136"/>
      <c r="AJ34" s="136"/>
      <c r="AK34" s="137"/>
      <c r="AL34" s="137"/>
      <c r="AM34" s="137"/>
      <c r="AN34" s="137"/>
      <c r="AO34" s="137"/>
    </row>
    <row r="35" spans="1:41" ht="15.95" customHeight="1" x14ac:dyDescent="0.25">
      <c r="A35" s="119"/>
      <c r="B35" s="119"/>
      <c r="C35" s="120"/>
      <c r="D35" s="120"/>
      <c r="E35" s="120"/>
      <c r="F35" s="138"/>
      <c r="G35" s="121"/>
      <c r="H35" s="121"/>
      <c r="I35" s="122"/>
      <c r="J35" s="121"/>
      <c r="K35" s="123"/>
      <c r="L35" s="123"/>
      <c r="M35" s="124"/>
      <c r="N35" s="123"/>
      <c r="O35" s="125"/>
      <c r="P35" s="126"/>
      <c r="Q35" s="127"/>
      <c r="R35" s="128"/>
      <c r="S35" s="129"/>
      <c r="T35" s="130"/>
      <c r="U35" s="131"/>
      <c r="V35" s="130"/>
      <c r="W35" s="131"/>
      <c r="X35" s="132"/>
      <c r="Y35" s="133"/>
      <c r="Z35" s="134"/>
      <c r="AA35" s="134"/>
      <c r="AB35" s="135"/>
      <c r="AC35" s="135"/>
      <c r="AD35" s="135"/>
      <c r="AE35" s="135"/>
      <c r="AF35" s="135"/>
      <c r="AG35" s="135"/>
      <c r="AH35" s="135"/>
      <c r="AI35" s="136"/>
      <c r="AJ35" s="136"/>
      <c r="AK35" s="137"/>
      <c r="AL35" s="137"/>
      <c r="AM35" s="137"/>
      <c r="AN35" s="137"/>
      <c r="AO35" s="137"/>
    </row>
    <row r="36" spans="1:41" ht="15.95" customHeight="1" x14ac:dyDescent="0.25">
      <c r="A36" s="119"/>
      <c r="B36" s="119"/>
      <c r="C36" s="120"/>
      <c r="D36" s="120"/>
      <c r="E36" s="120"/>
      <c r="F36" s="138"/>
      <c r="G36" s="121"/>
      <c r="H36" s="121"/>
      <c r="I36" s="122"/>
      <c r="J36" s="121"/>
      <c r="K36" s="123"/>
      <c r="L36" s="123"/>
      <c r="M36" s="124"/>
      <c r="N36" s="123"/>
      <c r="O36" s="125"/>
      <c r="P36" s="126"/>
      <c r="Q36" s="127"/>
      <c r="R36" s="128"/>
      <c r="S36" s="129"/>
      <c r="T36" s="130"/>
      <c r="U36" s="131"/>
      <c r="V36" s="130"/>
      <c r="W36" s="131"/>
      <c r="X36" s="132"/>
      <c r="Y36" s="133"/>
      <c r="Z36" s="134"/>
      <c r="AA36" s="134"/>
      <c r="AB36" s="135"/>
      <c r="AC36" s="135"/>
      <c r="AD36" s="135"/>
      <c r="AE36" s="135"/>
      <c r="AF36" s="135"/>
      <c r="AG36" s="135"/>
      <c r="AH36" s="135"/>
      <c r="AI36" s="136"/>
      <c r="AJ36" s="136"/>
      <c r="AK36" s="137"/>
      <c r="AL36" s="137"/>
      <c r="AM36" s="137"/>
      <c r="AN36" s="137"/>
      <c r="AO36" s="137"/>
    </row>
    <row r="37" spans="1:41" ht="15.95" customHeight="1" x14ac:dyDescent="0.25">
      <c r="A37" s="119"/>
      <c r="B37" s="119"/>
      <c r="C37" s="120"/>
      <c r="D37" s="120"/>
      <c r="E37" s="120"/>
      <c r="F37" s="138"/>
      <c r="G37" s="121"/>
      <c r="H37" s="121"/>
      <c r="I37" s="122"/>
      <c r="J37" s="121"/>
      <c r="K37" s="123"/>
      <c r="L37" s="123"/>
      <c r="M37" s="124"/>
      <c r="N37" s="123"/>
      <c r="O37" s="125"/>
      <c r="P37" s="126"/>
      <c r="Q37" s="127"/>
      <c r="R37" s="128"/>
      <c r="S37" s="129"/>
      <c r="T37" s="130"/>
      <c r="U37" s="131"/>
      <c r="V37" s="130"/>
      <c r="W37" s="131"/>
      <c r="X37" s="132"/>
      <c r="Y37" s="133"/>
      <c r="Z37" s="134"/>
      <c r="AA37" s="134"/>
      <c r="AB37" s="135"/>
      <c r="AC37" s="135"/>
      <c r="AD37" s="135"/>
      <c r="AE37" s="135"/>
      <c r="AF37" s="135"/>
      <c r="AG37" s="135"/>
      <c r="AH37" s="135"/>
      <c r="AI37" s="136"/>
      <c r="AJ37" s="136"/>
      <c r="AK37" s="137"/>
      <c r="AL37" s="137"/>
      <c r="AM37" s="137"/>
      <c r="AN37" s="137"/>
      <c r="AO37" s="137"/>
    </row>
    <row r="38" spans="1:41" ht="15.95" customHeight="1" x14ac:dyDescent="0.25">
      <c r="A38" s="119"/>
      <c r="B38" s="119"/>
      <c r="C38" s="120"/>
      <c r="D38" s="120"/>
      <c r="E38" s="120"/>
      <c r="F38" s="138"/>
      <c r="G38" s="121"/>
      <c r="H38" s="121"/>
      <c r="I38" s="122"/>
      <c r="J38" s="121"/>
      <c r="K38" s="123"/>
      <c r="L38" s="123"/>
      <c r="M38" s="124"/>
      <c r="N38" s="123"/>
      <c r="O38" s="125"/>
      <c r="P38" s="126"/>
      <c r="Q38" s="127"/>
      <c r="R38" s="128"/>
      <c r="S38" s="129"/>
      <c r="T38" s="130"/>
      <c r="U38" s="131"/>
      <c r="V38" s="130"/>
      <c r="W38" s="131"/>
      <c r="X38" s="132"/>
      <c r="Y38" s="133"/>
      <c r="Z38" s="134"/>
      <c r="AA38" s="134"/>
      <c r="AB38" s="135"/>
      <c r="AC38" s="135"/>
      <c r="AD38" s="135"/>
      <c r="AE38" s="135"/>
      <c r="AF38" s="135"/>
      <c r="AG38" s="135"/>
      <c r="AH38" s="135"/>
      <c r="AI38" s="136"/>
      <c r="AJ38" s="136"/>
      <c r="AK38" s="137"/>
      <c r="AL38" s="137"/>
      <c r="AM38" s="137"/>
      <c r="AN38" s="137"/>
      <c r="AO38" s="137"/>
    </row>
    <row r="39" spans="1:41" ht="15.95" customHeight="1" x14ac:dyDescent="0.25">
      <c r="A39" s="119"/>
      <c r="B39" s="119"/>
      <c r="C39" s="120"/>
      <c r="D39" s="120"/>
      <c r="E39" s="120"/>
      <c r="F39" s="138"/>
      <c r="G39" s="121"/>
      <c r="H39" s="121"/>
      <c r="I39" s="122"/>
      <c r="J39" s="121"/>
      <c r="K39" s="123"/>
      <c r="L39" s="123"/>
      <c r="M39" s="124"/>
      <c r="N39" s="123"/>
      <c r="O39" s="125"/>
      <c r="P39" s="126"/>
      <c r="Q39" s="127"/>
      <c r="R39" s="128"/>
      <c r="S39" s="129"/>
      <c r="T39" s="130"/>
      <c r="U39" s="131"/>
      <c r="V39" s="130"/>
      <c r="W39" s="131"/>
      <c r="X39" s="132"/>
      <c r="Y39" s="133"/>
      <c r="Z39" s="134"/>
      <c r="AA39" s="134"/>
      <c r="AB39" s="135"/>
      <c r="AC39" s="135"/>
      <c r="AD39" s="135"/>
      <c r="AE39" s="135"/>
      <c r="AF39" s="135"/>
      <c r="AG39" s="135"/>
      <c r="AH39" s="135"/>
      <c r="AI39" s="136"/>
      <c r="AJ39" s="136"/>
      <c r="AK39" s="137"/>
      <c r="AL39" s="137"/>
      <c r="AM39" s="137"/>
      <c r="AN39" s="137"/>
      <c r="AO39" s="137"/>
    </row>
    <row r="40" spans="1:41" ht="15.95" customHeight="1" x14ac:dyDescent="0.25">
      <c r="A40" s="119"/>
      <c r="B40" s="119"/>
      <c r="C40" s="120"/>
      <c r="D40" s="120"/>
      <c r="E40" s="120"/>
      <c r="F40" s="138"/>
      <c r="G40" s="121"/>
      <c r="H40" s="121"/>
      <c r="I40" s="122"/>
      <c r="J40" s="121"/>
      <c r="K40" s="123"/>
      <c r="L40" s="123"/>
      <c r="M40" s="124"/>
      <c r="N40" s="123"/>
      <c r="O40" s="125"/>
      <c r="P40" s="126"/>
      <c r="Q40" s="127"/>
      <c r="R40" s="128"/>
      <c r="S40" s="129"/>
      <c r="T40" s="130"/>
      <c r="U40" s="131"/>
      <c r="V40" s="130"/>
      <c r="W40" s="131"/>
      <c r="X40" s="132"/>
      <c r="Y40" s="133"/>
      <c r="Z40" s="134"/>
      <c r="AA40" s="134"/>
      <c r="AB40" s="135"/>
      <c r="AC40" s="135"/>
      <c r="AD40" s="135"/>
      <c r="AE40" s="135"/>
      <c r="AF40" s="135"/>
      <c r="AG40" s="135"/>
      <c r="AH40" s="135"/>
      <c r="AI40" s="136"/>
      <c r="AJ40" s="136"/>
      <c r="AK40" s="137"/>
      <c r="AL40" s="137"/>
      <c r="AM40" s="137"/>
      <c r="AN40" s="137"/>
      <c r="AO40" s="137"/>
    </row>
    <row r="41" spans="1:41" ht="15.95" customHeight="1" x14ac:dyDescent="0.25">
      <c r="A41" s="119"/>
      <c r="B41" s="119"/>
      <c r="C41" s="120"/>
      <c r="D41" s="120"/>
      <c r="E41" s="120"/>
      <c r="F41" s="138"/>
      <c r="G41" s="121"/>
      <c r="H41" s="121"/>
      <c r="I41" s="122"/>
      <c r="J41" s="121"/>
      <c r="K41" s="123"/>
      <c r="L41" s="123"/>
      <c r="M41" s="124"/>
      <c r="N41" s="123"/>
      <c r="O41" s="125"/>
      <c r="P41" s="126"/>
      <c r="Q41" s="127"/>
      <c r="R41" s="128"/>
      <c r="S41" s="129"/>
      <c r="T41" s="130"/>
      <c r="U41" s="131"/>
      <c r="V41" s="130"/>
      <c r="W41" s="131"/>
      <c r="X41" s="132"/>
      <c r="Y41" s="133"/>
      <c r="Z41" s="134"/>
      <c r="AA41" s="134"/>
      <c r="AB41" s="135"/>
      <c r="AC41" s="135"/>
      <c r="AD41" s="135"/>
      <c r="AE41" s="135"/>
      <c r="AF41" s="135"/>
      <c r="AG41" s="135"/>
      <c r="AH41" s="135"/>
      <c r="AI41" s="136"/>
      <c r="AJ41" s="136"/>
      <c r="AK41" s="137"/>
      <c r="AL41" s="137"/>
      <c r="AM41" s="137"/>
      <c r="AN41" s="137"/>
      <c r="AO41" s="137"/>
    </row>
    <row r="42" spans="1:41" ht="15.95" customHeight="1" x14ac:dyDescent="0.25">
      <c r="A42" s="119"/>
      <c r="B42" s="119"/>
      <c r="C42" s="120"/>
      <c r="D42" s="120"/>
      <c r="E42" s="120"/>
      <c r="F42" s="138"/>
      <c r="G42" s="121"/>
      <c r="H42" s="121"/>
      <c r="I42" s="122"/>
      <c r="J42" s="121"/>
      <c r="K42" s="123"/>
      <c r="L42" s="123"/>
      <c r="M42" s="124"/>
      <c r="N42" s="123"/>
      <c r="O42" s="125"/>
      <c r="P42" s="126"/>
      <c r="Q42" s="127"/>
      <c r="R42" s="128"/>
      <c r="S42" s="129"/>
      <c r="T42" s="130"/>
      <c r="U42" s="131"/>
      <c r="V42" s="130"/>
      <c r="W42" s="131"/>
      <c r="X42" s="132"/>
      <c r="Y42" s="133"/>
      <c r="Z42" s="134"/>
      <c r="AA42" s="134"/>
      <c r="AB42" s="135"/>
      <c r="AC42" s="135"/>
      <c r="AD42" s="135"/>
      <c r="AE42" s="135"/>
      <c r="AF42" s="135"/>
      <c r="AG42" s="135"/>
      <c r="AH42" s="135"/>
      <c r="AI42" s="136"/>
      <c r="AJ42" s="136"/>
      <c r="AK42" s="137"/>
      <c r="AL42" s="137"/>
      <c r="AM42" s="137"/>
      <c r="AN42" s="137"/>
      <c r="AO42" s="137"/>
    </row>
    <row r="43" spans="1:41" ht="15.95" customHeight="1" x14ac:dyDescent="0.25">
      <c r="A43" s="119"/>
      <c r="B43" s="119"/>
      <c r="C43" s="120"/>
      <c r="D43" s="120"/>
      <c r="E43" s="120"/>
      <c r="F43" s="138"/>
      <c r="G43" s="121"/>
      <c r="H43" s="121"/>
      <c r="I43" s="122"/>
      <c r="J43" s="121"/>
      <c r="K43" s="123"/>
      <c r="L43" s="123"/>
      <c r="M43" s="124"/>
      <c r="N43" s="123"/>
      <c r="O43" s="125"/>
      <c r="P43" s="126"/>
      <c r="Q43" s="127"/>
      <c r="R43" s="128"/>
      <c r="S43" s="129"/>
      <c r="T43" s="130"/>
      <c r="U43" s="131"/>
      <c r="V43" s="130"/>
      <c r="W43" s="131"/>
      <c r="X43" s="132"/>
      <c r="Y43" s="133"/>
      <c r="Z43" s="134"/>
      <c r="AA43" s="134"/>
      <c r="AB43" s="135"/>
      <c r="AC43" s="135"/>
      <c r="AD43" s="135"/>
      <c r="AE43" s="135"/>
      <c r="AF43" s="135"/>
      <c r="AG43" s="135"/>
      <c r="AH43" s="135"/>
      <c r="AI43" s="136"/>
      <c r="AJ43" s="136"/>
      <c r="AK43" s="137"/>
      <c r="AL43" s="137"/>
      <c r="AM43" s="137"/>
      <c r="AN43" s="137"/>
      <c r="AO43" s="137"/>
    </row>
    <row r="44" spans="1:41" ht="15.95" customHeight="1" x14ac:dyDescent="0.25">
      <c r="A44" s="119"/>
      <c r="B44" s="119"/>
      <c r="C44" s="120"/>
      <c r="D44" s="120"/>
      <c r="E44" s="120"/>
      <c r="F44" s="138"/>
      <c r="G44" s="121"/>
      <c r="H44" s="121"/>
      <c r="I44" s="122"/>
      <c r="J44" s="121"/>
      <c r="K44" s="123"/>
      <c r="L44" s="123"/>
      <c r="M44" s="124"/>
      <c r="N44" s="123"/>
      <c r="O44" s="125"/>
      <c r="P44" s="126"/>
      <c r="Q44" s="127"/>
      <c r="R44" s="128"/>
      <c r="S44" s="129"/>
      <c r="T44" s="130"/>
      <c r="U44" s="131"/>
      <c r="V44" s="130"/>
      <c r="W44" s="131"/>
      <c r="X44" s="132"/>
      <c r="Y44" s="133"/>
      <c r="Z44" s="134"/>
      <c r="AA44" s="134"/>
      <c r="AB44" s="135"/>
      <c r="AC44" s="135"/>
      <c r="AD44" s="135"/>
      <c r="AE44" s="135"/>
      <c r="AF44" s="135"/>
      <c r="AG44" s="135"/>
      <c r="AH44" s="135"/>
      <c r="AI44" s="136"/>
      <c r="AJ44" s="136"/>
      <c r="AK44" s="137"/>
      <c r="AL44" s="137"/>
      <c r="AM44" s="137"/>
      <c r="AN44" s="137"/>
      <c r="AO44" s="137"/>
    </row>
    <row r="45" spans="1:41" ht="15.95" customHeight="1" x14ac:dyDescent="0.25">
      <c r="A45" s="119"/>
      <c r="B45" s="119"/>
      <c r="C45" s="120"/>
      <c r="D45" s="120"/>
      <c r="E45" s="120"/>
      <c r="F45" s="138"/>
      <c r="G45" s="121"/>
      <c r="H45" s="121"/>
      <c r="I45" s="122"/>
      <c r="J45" s="121"/>
      <c r="K45" s="123"/>
      <c r="L45" s="123"/>
      <c r="M45" s="124"/>
      <c r="N45" s="123"/>
      <c r="O45" s="125"/>
      <c r="P45" s="126"/>
      <c r="Q45" s="127"/>
      <c r="R45" s="128"/>
      <c r="S45" s="129"/>
      <c r="T45" s="130"/>
      <c r="U45" s="131"/>
      <c r="V45" s="130"/>
      <c r="W45" s="131"/>
      <c r="X45" s="132"/>
      <c r="Y45" s="133"/>
      <c r="Z45" s="134"/>
      <c r="AA45" s="134"/>
      <c r="AB45" s="135"/>
      <c r="AC45" s="135"/>
      <c r="AD45" s="135"/>
      <c r="AE45" s="135"/>
      <c r="AF45" s="135"/>
      <c r="AG45" s="135"/>
      <c r="AH45" s="135"/>
      <c r="AI45" s="136"/>
      <c r="AJ45" s="136"/>
      <c r="AK45" s="137"/>
      <c r="AL45" s="137"/>
      <c r="AM45" s="137"/>
      <c r="AN45" s="137"/>
      <c r="AO45" s="137"/>
    </row>
    <row r="46" spans="1:41" ht="15.95" customHeight="1" x14ac:dyDescent="0.25">
      <c r="A46" s="147"/>
      <c r="B46" s="147"/>
      <c r="C46" s="148"/>
      <c r="D46" s="149"/>
      <c r="E46" s="140"/>
      <c r="F46" s="140"/>
      <c r="G46" s="141"/>
      <c r="H46" s="141"/>
      <c r="I46" s="150"/>
      <c r="J46" s="141"/>
      <c r="K46" s="151"/>
      <c r="L46" s="151"/>
      <c r="M46" s="142"/>
      <c r="N46" s="151"/>
      <c r="O46" s="152"/>
      <c r="P46" s="153"/>
      <c r="Q46" s="154"/>
      <c r="R46" s="155"/>
      <c r="S46" s="137"/>
      <c r="T46" s="143"/>
      <c r="U46" s="144"/>
      <c r="V46" s="143"/>
      <c r="W46" s="144"/>
      <c r="X46" s="145"/>
      <c r="Y46" s="146"/>
      <c r="Z46" s="134"/>
      <c r="AA46" s="134"/>
      <c r="AB46" s="135"/>
      <c r="AC46" s="135"/>
      <c r="AD46" s="135"/>
      <c r="AE46" s="135"/>
      <c r="AF46" s="135"/>
      <c r="AG46" s="135"/>
      <c r="AH46" s="135"/>
      <c r="AI46" s="156"/>
      <c r="AJ46" s="156"/>
      <c r="AK46" s="137"/>
      <c r="AL46" s="137"/>
      <c r="AM46" s="137"/>
      <c r="AN46" s="137"/>
      <c r="AO46" s="137"/>
    </row>
    <row r="47" spans="1:41" ht="15.95" customHeight="1" x14ac:dyDescent="0.25">
      <c r="A47" s="147"/>
      <c r="B47" s="147"/>
      <c r="C47" s="148"/>
      <c r="D47" s="149"/>
      <c r="E47" s="140"/>
      <c r="F47" s="140"/>
      <c r="G47" s="141"/>
      <c r="H47" s="141"/>
      <c r="I47" s="150"/>
      <c r="J47" s="141"/>
      <c r="K47" s="151"/>
      <c r="L47" s="151"/>
      <c r="M47" s="142"/>
      <c r="N47" s="151"/>
      <c r="O47" s="152"/>
      <c r="P47" s="153"/>
      <c r="Q47" s="154"/>
      <c r="R47" s="155"/>
      <c r="S47" s="137"/>
      <c r="T47" s="143"/>
      <c r="U47" s="144"/>
      <c r="V47" s="143"/>
      <c r="W47" s="144"/>
      <c r="X47" s="145"/>
      <c r="Y47" s="146"/>
      <c r="Z47" s="134"/>
      <c r="AA47" s="134"/>
      <c r="AB47" s="135"/>
      <c r="AC47" s="157"/>
      <c r="AD47" s="135"/>
      <c r="AE47" s="135"/>
      <c r="AF47" s="158"/>
      <c r="AG47" s="158"/>
      <c r="AH47" s="159"/>
      <c r="AI47" s="156"/>
      <c r="AJ47" s="156"/>
      <c r="AK47" s="137"/>
      <c r="AL47" s="160"/>
      <c r="AM47" s="161"/>
      <c r="AN47" s="162"/>
      <c r="AO47" s="160"/>
    </row>
  </sheetData>
  <conditionalFormatting sqref="A5:A47">
    <cfRule type="expression" dxfId="1" priority="2">
      <formula>COUNTIF(A$5:A5,A5)=1</formula>
    </cfRule>
  </conditionalFormatting>
  <conditionalFormatting sqref="B5:B47">
    <cfRule type="cellIs" dxfId="0" priority="1" operator="equal">
      <formula>1</formula>
    </cfRule>
  </conditionalFormatting>
  <dataValidations count="2">
    <dataValidation type="whole" allowBlank="1" showInputMessage="1" showErrorMessage="1" errorTitle="Invalid input" error="Values in this field should be an integer only." sqref="A5:A47 O5:O47" xr:uid="{6BE82D80-ADC5-403E-A55B-CF0E0E368E9E}">
      <formula1>1</formula1>
      <formula2>9999</formula2>
    </dataValidation>
    <dataValidation type="whole" allowBlank="1" showInputMessage="1" showErrorMessage="1" errorTitle="Invalid input" error="Values in this field should be an integer only. Descriptions of the Occupancy can be written in column Q." sqref="B5:B47" xr:uid="{CF2DE4EB-D2B7-4D90-A474-B46F948DAFC0}">
      <formula1>1</formula1>
      <formula2>9999</formula2>
    </dataValidation>
  </dataValidations>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CC358-6E98-4DD8-B7E9-0A6B89A93216}">
  <dimension ref="A1:B13"/>
  <sheetViews>
    <sheetView workbookViewId="0">
      <selection activeCell="B13" sqref="B13"/>
    </sheetView>
  </sheetViews>
  <sheetFormatPr defaultRowHeight="15" x14ac:dyDescent="0.25"/>
  <cols>
    <col min="2" max="2" width="12.42578125" bestFit="1" customWidth="1"/>
  </cols>
  <sheetData>
    <row r="1" spans="1:2" x14ac:dyDescent="0.25">
      <c r="A1" s="173" t="s">
        <v>144</v>
      </c>
      <c r="B1" s="174" t="s">
        <v>145</v>
      </c>
    </row>
    <row r="2" spans="1:2" x14ac:dyDescent="0.25">
      <c r="A2" s="173">
        <v>1</v>
      </c>
      <c r="B2" s="175">
        <v>444124793.06999999</v>
      </c>
    </row>
    <row r="3" spans="1:2" x14ac:dyDescent="0.25">
      <c r="A3" s="173">
        <v>2</v>
      </c>
      <c r="B3" s="175">
        <v>757816699.02999997</v>
      </c>
    </row>
    <row r="4" spans="1:2" x14ac:dyDescent="0.25">
      <c r="A4" s="173">
        <v>3</v>
      </c>
      <c r="B4" s="174">
        <v>757819663.02999997</v>
      </c>
    </row>
    <row r="5" spans="1:2" x14ac:dyDescent="0.25">
      <c r="A5" s="173">
        <v>4</v>
      </c>
      <c r="B5" s="174">
        <v>757820490.02999997</v>
      </c>
    </row>
    <row r="6" spans="1:2" x14ac:dyDescent="0.25">
      <c r="A6" s="173">
        <v>5</v>
      </c>
      <c r="B6" s="174">
        <v>757821727.02999997</v>
      </c>
    </row>
    <row r="7" spans="1:2" x14ac:dyDescent="0.25">
      <c r="A7" s="173">
        <v>6</v>
      </c>
      <c r="B7" s="174">
        <v>757824157.02999997</v>
      </c>
    </row>
    <row r="8" spans="1:2" x14ac:dyDescent="0.25">
      <c r="A8" s="173">
        <v>7</v>
      </c>
      <c r="B8" s="174">
        <v>757824567.02999997</v>
      </c>
    </row>
    <row r="9" spans="1:2" x14ac:dyDescent="0.25">
      <c r="A9" s="173">
        <v>8</v>
      </c>
      <c r="B9" s="174">
        <v>757825323.02999997</v>
      </c>
    </row>
    <row r="10" spans="1:2" x14ac:dyDescent="0.25">
      <c r="A10" s="173">
        <v>9</v>
      </c>
      <c r="B10" s="174">
        <v>757827228.02999997</v>
      </c>
    </row>
    <row r="11" spans="1:2" x14ac:dyDescent="0.25">
      <c r="A11" s="173">
        <v>10</v>
      </c>
      <c r="B11" s="174">
        <v>757826329.02999997</v>
      </c>
    </row>
    <row r="12" spans="1:2" x14ac:dyDescent="0.25">
      <c r="A12" s="173">
        <v>11</v>
      </c>
      <c r="B12" s="174">
        <v>757828127.02999997</v>
      </c>
    </row>
    <row r="13" spans="1:2" x14ac:dyDescent="0.25">
      <c r="A13" s="173">
        <v>12</v>
      </c>
      <c r="B13" s="174">
        <v>757828127.02999997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E91BB658AAD744BC06050D08E14EC1" ma:contentTypeVersion="15" ma:contentTypeDescription="Create a new document." ma:contentTypeScope="" ma:versionID="a7b45f469c3a8749d3b1c8df756339bc">
  <xsd:schema xmlns:xsd="http://www.w3.org/2001/XMLSchema" xmlns:xs="http://www.w3.org/2001/XMLSchema" xmlns:p="http://schemas.microsoft.com/office/2006/metadata/properties" xmlns:ns1="http://schemas.microsoft.com/sharepoint/v3" xmlns:ns2="6c743a47-ddfa-4df4-a65f-13e279f87d88" xmlns:ns3="f45f2fac-b4e8-4d14-a7ee-33cb9c867e3e" targetNamespace="http://schemas.microsoft.com/office/2006/metadata/properties" ma:root="true" ma:fieldsID="5f5ea314622a2715bfda7e9cc36199d3" ns1:_="" ns2:_="" ns3:_="">
    <xsd:import namespace="http://schemas.microsoft.com/sharepoint/v3"/>
    <xsd:import namespace="6c743a47-ddfa-4df4-a65f-13e279f87d88"/>
    <xsd:import namespace="f45f2fac-b4e8-4d14-a7ee-33cb9c867e3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743a47-ddfa-4df4-a65f-13e279f87d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bb23ffd-079d-4a99-afb0-679bec71cc67" ma:termSetId="09814cd3-568e-fe90-9814-8d621ff8fb84" ma:anchorId="fba54fb3-c3e1-fe81-a776-ca4b69148c4d" ma:open="true" ma:isKeyword="false">
      <xsd:complexType>
        <xsd:sequence>
          <xsd:element ref="pc:Terms" minOccurs="0" maxOccurs="1"/>
        </xsd:sequence>
      </xsd:complex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5f2fac-b4e8-4d14-a7ee-33cb9c867e3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1adb65c-c40a-4a63-833a-4044c4f332db}" ma:internalName="TaxCatchAll" ma:showField="CatchAllData" ma:web="f45f2fac-b4e8-4d14-a7ee-33cb9c867e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6c743a47-ddfa-4df4-a65f-13e279f87d88">
      <Terms xmlns="http://schemas.microsoft.com/office/infopath/2007/PartnerControls"/>
    </lcf76f155ced4ddcb4097134ff3c332f>
    <_ip_UnifiedCompliancePolicyProperties xmlns="http://schemas.microsoft.com/sharepoint/v3" xsi:nil="true"/>
    <TaxCatchAll xmlns="f45f2fac-b4e8-4d14-a7ee-33cb9c867e3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0D0323-8ABC-4218-B879-C0E6739178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743a47-ddfa-4df4-a65f-13e279f87d88"/>
    <ds:schemaRef ds:uri="f45f2fac-b4e8-4d14-a7ee-33cb9c867e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7980780-106A-4B92-92F6-58C233043F3D}">
  <ds:schemaRefs>
    <ds:schemaRef ds:uri="http://schemas.microsoft.com/office/2006/metadata/properties"/>
    <ds:schemaRef ds:uri="http://schemas.microsoft.com/office/infopath/2007/PartnerControls"/>
    <ds:schemaRef ds:uri="http://schemas.microsoft.com/sharepoint/v3"/>
    <ds:schemaRef ds:uri="6c743a47-ddfa-4df4-a65f-13e279f87d88"/>
    <ds:schemaRef ds:uri="f45f2fac-b4e8-4d14-a7ee-33cb9c867e3e"/>
  </ds:schemaRefs>
</ds:datastoreItem>
</file>

<file path=customXml/itemProps3.xml><?xml version="1.0" encoding="utf-8"?>
<ds:datastoreItem xmlns:ds="http://schemas.openxmlformats.org/officeDocument/2006/customXml" ds:itemID="{0984D202-0CA9-42EF-91F8-1B24B045AFB8}">
  <ds:schemaRefs>
    <ds:schemaRef ds:uri="http://schemas.microsoft.com/sharepoint/v3/contenttype/forms"/>
  </ds:schemaRefs>
</ds:datastoreItem>
</file>

<file path=docMetadata/LabelInfo.xml><?xml version="1.0" encoding="utf-8"?>
<clbl:labelList xmlns:clbl="http://schemas.microsoft.com/office/2020/mipLabelMetadata">
  <clbl:label id="{86cb77d9-abb9-4391-b661-af04a886e4bd}" enabled="1" method="Privileged" siteId="{b6b2f512-6fd0-42fe-9659-6c5ee67da46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COA SOV 1</vt:lpstr>
      <vt:lpstr>COA SOV 2</vt:lpstr>
      <vt:lpstr>Arden SOV</vt:lpstr>
      <vt:lpstr>Exact Values</vt:lpstr>
      <vt:lpstr>'COA SOV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Wright, Kendra</dc:creator>
  <cp:lastModifiedBy>Aguilar, Shawn</cp:lastModifiedBy>
  <cp:lastPrinted>2025-03-17T18:18:41Z</cp:lastPrinted>
  <dcterms:created xsi:type="dcterms:W3CDTF">2025-02-05T17:46:39Z</dcterms:created>
  <dcterms:modified xsi:type="dcterms:W3CDTF">2025-11-25T03:03:00Z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0x0101008FE91BB658AAD744BC06050D08E14EC1</vt:lpwstr>
  </property>
  <property fmtid="{D5CDD505-2E9C-101B-9397-08002B2CF9AE}" pid="3" name="MediaServiceImageTags">
    <vt:lpwstr/>
  </property>
</Properties>
</file>