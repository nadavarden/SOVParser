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baldwininsurance-my.sharepoint.com/personal/carol_soprych_baldwin_com/Documents/Marketing/January/Shermer Place Bldg 1 -18-26/"/>
    </mc:Choice>
  </mc:AlternateContent>
  <xr:revisionPtr revIDLastSave="11" documentId="8_{CA0EEF39-056D-48A5-B2EA-7570BE5A78DF}" xr6:coauthVersionLast="47" xr6:coauthVersionMax="47" xr10:uidLastSave="{C621CE30-908F-4194-9BA8-493733D62FB8}"/>
  <bookViews>
    <workbookView xWindow="28680" yWindow="-120" windowWidth="29040" windowHeight="15720" xr2:uid="{00000000-000D-0000-FFFF-FFFF00000000}"/>
  </bookViews>
  <sheets>
    <sheet name="Sheet1" sheetId="1" r:id="rId1"/>
    <sheet name="Sheet2" sheetId="2" state="hidden" r:id="rId2"/>
    <sheet name="Sheet3" sheetId="3" r:id="rId3"/>
  </sheets>
  <definedNames>
    <definedName name="assocfees">Sheet2!$F:$F</definedName>
    <definedName name="construction">Sheet2!$E:$E</definedName>
    <definedName name="garagetype">Sheet2!$B:$B</definedName>
    <definedName name="rooftype">Sheet2!$A:$A</definedName>
    <definedName name="smokedetector">Sheet2!$D:$D</definedName>
    <definedName name="sprinklered">Sheet2!$C:$C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60" i="1" l="1"/>
  <c r="D72" i="1"/>
  <c r="H60" i="1"/>
  <c r="G60" i="1"/>
  <c r="C72" i="1"/>
  <c r="E60" i="1"/>
  <c r="H69" i="1" s="1"/>
  <c r="H62" i="1" l="1"/>
</calcChain>
</file>

<file path=xl/sharedStrings.xml><?xml version="1.0" encoding="utf-8"?>
<sst xmlns="http://schemas.openxmlformats.org/spreadsheetml/2006/main" count="68" uniqueCount="61">
  <si>
    <t>STATEMENT OF VALUES FOR:</t>
  </si>
  <si>
    <t>EFFECTIVE DATE:</t>
  </si>
  <si>
    <t>LOCATION (STATE, CITY, ZIP):</t>
  </si>
  <si>
    <t>Bldg #</t>
  </si>
  <si>
    <t>Address #</t>
  </si>
  <si>
    <t>Street Name</t>
  </si>
  <si>
    <t>Unit #s (if applicable)</t>
  </si>
  <si>
    <t>Building Replacement Cost (including Garages)</t>
  </si>
  <si>
    <t># of Units</t>
  </si>
  <si>
    <t>Livable Square Footage</t>
  </si>
  <si>
    <t>Garage Square Footage</t>
  </si>
  <si>
    <t>TOTAL BUILDING REPLACEMENT COST:</t>
  </si>
  <si>
    <t>SEPARATE STRUCTURES / MISC.</t>
  </si>
  <si>
    <t>REPLACEMENT COST</t>
  </si>
  <si>
    <t>SQUARE FOOTAGE</t>
  </si>
  <si>
    <t>Number of Stories:</t>
  </si>
  <si>
    <t>TOTAL SQUARE FOOTAGE:</t>
  </si>
  <si>
    <t>Roof Type:</t>
  </si>
  <si>
    <t>Fences / Gates:</t>
  </si>
  <si>
    <t>Garage Type:</t>
  </si>
  <si>
    <t>Paved Surfaces:</t>
  </si>
  <si>
    <t>Sprinklered:</t>
  </si>
  <si>
    <t>Smoke Detectors:</t>
  </si>
  <si>
    <t>Carports:</t>
  </si>
  <si>
    <t>Construction Type:</t>
  </si>
  <si>
    <t>Detached Garages:</t>
  </si>
  <si>
    <t>Year of Construction:</t>
  </si>
  <si>
    <t>Pool Restroom Building:</t>
  </si>
  <si>
    <t>TOTAL BLANKET REPLACEMENT COST:</t>
  </si>
  <si>
    <t>Pergola:</t>
  </si>
  <si>
    <t>TOTAL BUSINESS PERSONAL PROPERTY:</t>
  </si>
  <si>
    <t>TOTAL BUILDING ORDINANCE:</t>
  </si>
  <si>
    <t>SEPARATE STRUCTURES TOTAL:</t>
  </si>
  <si>
    <t>TOTAL BUSINESS INCOME:</t>
  </si>
  <si>
    <t xml:space="preserve">Tile </t>
  </si>
  <si>
    <t>Habitational over Garage</t>
  </si>
  <si>
    <t>Yes</t>
  </si>
  <si>
    <t>Battery</t>
  </si>
  <si>
    <t>Frame</t>
  </si>
  <si>
    <t>Comp.</t>
  </si>
  <si>
    <t>Detached</t>
  </si>
  <si>
    <t>No</t>
  </si>
  <si>
    <t>Hard-Wired</t>
  </si>
  <si>
    <t>Joisted Masonry</t>
  </si>
  <si>
    <t>Actual Loss Sustained Total:</t>
  </si>
  <si>
    <t>Flat</t>
  </si>
  <si>
    <t>Attached</t>
  </si>
  <si>
    <t>Partially</t>
  </si>
  <si>
    <t>None</t>
  </si>
  <si>
    <t>Fire Resistive</t>
  </si>
  <si>
    <t>Shake</t>
  </si>
  <si>
    <t>Subterranean</t>
  </si>
  <si>
    <t>Steel Frame w/ Concrete Block</t>
  </si>
  <si>
    <t>Masonry Above-Ground</t>
  </si>
  <si>
    <t>Partial Subterranean</t>
  </si>
  <si>
    <t>Pool/Spa:</t>
  </si>
  <si>
    <t>QUANTITY</t>
  </si>
  <si>
    <t>Tot Lot/Playground</t>
  </si>
  <si>
    <t>Shermer Place Building One Condominium Association</t>
  </si>
  <si>
    <t>1950 Farnsworth Lane, Northbrook, IL 60062</t>
  </si>
  <si>
    <t>Farnsworth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</si>
</sst>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/>
    <xf numFmtId="0" fontId="2" fillId="0" borderId="0" xfId="0" applyFont="1"/>
    <xf numFmtId="164" fontId="1" fillId="2" borderId="0" xfId="0" applyNumberFormat="1" applyFont="1" applyFill="1"/>
    <xf numFmtId="0" fontId="4" fillId="0" borderId="3" xfId="0" applyFont="1" applyBorder="1"/>
    <xf numFmtId="0" fontId="4" fillId="0" borderId="1" xfId="0" applyFont="1" applyBorder="1"/>
    <xf numFmtId="0" fontId="5" fillId="0" borderId="3" xfId="0" applyFont="1" applyBorder="1"/>
    <xf numFmtId="164" fontId="5" fillId="0" borderId="1" xfId="0" applyNumberFormat="1" applyFont="1" applyBorder="1"/>
    <xf numFmtId="0" fontId="5" fillId="0" borderId="1" xfId="0" applyFont="1" applyBorder="1"/>
    <xf numFmtId="0" fontId="5" fillId="0" borderId="0" xfId="0" applyFont="1"/>
    <xf numFmtId="0" fontId="5" fillId="0" borderId="2" xfId="0" applyFont="1" applyBorder="1"/>
    <xf numFmtId="164" fontId="5" fillId="2" borderId="1" xfId="0" applyNumberFormat="1" applyFont="1" applyFill="1" applyBorder="1"/>
    <xf numFmtId="0" fontId="4" fillId="0" borderId="0" xfId="0" applyFont="1"/>
    <xf numFmtId="164" fontId="5" fillId="2" borderId="0" xfId="0" applyNumberFormat="1" applyFont="1" applyFill="1"/>
    <xf numFmtId="6" fontId="5" fillId="0" borderId="0" xfId="0" applyNumberFormat="1" applyFont="1"/>
    <xf numFmtId="0" fontId="5" fillId="3" borderId="0" xfId="0" applyFont="1" applyFill="1"/>
    <xf numFmtId="3" fontId="5" fillId="3" borderId="0" xfId="0" applyNumberFormat="1" applyFont="1" applyFill="1"/>
    <xf numFmtId="3" fontId="5" fillId="0" borderId="1" xfId="0" applyNumberFormat="1" applyFont="1" applyBorder="1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3" fontId="5" fillId="0" borderId="2" xfId="0" applyNumberFormat="1" applyFont="1" applyBorder="1"/>
    <xf numFmtId="3" fontId="5" fillId="3" borderId="1" xfId="0" applyNumberFormat="1" applyFont="1" applyFill="1" applyBorder="1"/>
    <xf numFmtId="6" fontId="5" fillId="0" borderId="1" xfId="0" applyNumberFormat="1" applyFont="1" applyBorder="1"/>
    <xf numFmtId="6" fontId="1" fillId="2" borderId="0" xfId="0" applyNumberFormat="1" applyFont="1" applyFill="1"/>
    <xf numFmtId="0" fontId="6" fillId="0" borderId="1" xfId="0" applyFont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4" fontId="3" fillId="4" borderId="1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zoomScale="110" zoomScaleNormal="110" zoomScalePageLayoutView="125" workbookViewId="0">
      <selection activeCell="J6" sqref="J6"/>
    </sheetView>
  </sheetViews>
  <sheetFormatPr defaultColWidth="8.81640625" defaultRowHeight="14.5" x14ac:dyDescent="0.35"/>
  <cols>
    <col min="1" max="1" width="40.1796875" bestFit="1" customWidth="1"/>
    <col min="2" max="2" width="13.7265625" bestFit="1" customWidth="1"/>
    <col min="3" max="3" width="26.453125" customWidth="1"/>
    <col min="4" max="4" width="27.1796875" customWidth="1"/>
    <col min="5" max="5" width="29.453125" customWidth="1"/>
    <col min="6" max="6" width="9" customWidth="1"/>
    <col min="7" max="7" width="27.7265625" customWidth="1"/>
    <col min="8" max="8" width="27.81640625" customWidth="1"/>
  </cols>
  <sheetData>
    <row r="1" spans="1:8" ht="17" x14ac:dyDescent="0.4">
      <c r="A1" s="31" t="s">
        <v>0</v>
      </c>
      <c r="B1" s="29"/>
      <c r="C1" s="34" t="s">
        <v>58</v>
      </c>
      <c r="D1" s="34"/>
    </row>
    <row r="2" spans="1:8" ht="17" x14ac:dyDescent="0.4">
      <c r="A2" s="32" t="s">
        <v>1</v>
      </c>
      <c r="B2" s="33">
        <v>46043</v>
      </c>
      <c r="C2" s="35"/>
      <c r="D2" s="34"/>
      <c r="E2" s="1"/>
      <c r="F2" s="1"/>
      <c r="G2" s="1"/>
      <c r="H2" s="1"/>
    </row>
    <row r="3" spans="1:8" ht="17" x14ac:dyDescent="0.4">
      <c r="A3" s="32" t="s">
        <v>2</v>
      </c>
      <c r="B3" s="30"/>
      <c r="C3" s="34" t="s">
        <v>59</v>
      </c>
      <c r="D3" s="34"/>
      <c r="E3" s="1"/>
      <c r="F3" s="1"/>
      <c r="G3" s="1"/>
      <c r="H3" s="1"/>
    </row>
    <row r="5" spans="1:8" s="2" customFormat="1" ht="34" x14ac:dyDescent="0.4">
      <c r="A5" s="28" t="s">
        <v>3</v>
      </c>
      <c r="B5" s="28" t="s">
        <v>4</v>
      </c>
      <c r="C5" s="28" t="s">
        <v>5</v>
      </c>
      <c r="D5" s="28" t="s">
        <v>6</v>
      </c>
      <c r="E5" s="28" t="s">
        <v>7</v>
      </c>
      <c r="F5" s="28" t="s">
        <v>8</v>
      </c>
      <c r="G5" s="28" t="s">
        <v>9</v>
      </c>
      <c r="H5" s="28" t="s">
        <v>10</v>
      </c>
    </row>
    <row r="6" spans="1:8" ht="15.5" x14ac:dyDescent="0.35">
      <c r="A6" s="11">
        <v>1</v>
      </c>
      <c r="B6" s="20">
        <v>1950</v>
      </c>
      <c r="C6" s="20" t="s">
        <v>60</v>
      </c>
      <c r="D6" s="11"/>
      <c r="E6" s="10">
        <v>15366915</v>
      </c>
      <c r="F6" s="11">
        <v>30</v>
      </c>
      <c r="G6" s="20">
        <v>54600</v>
      </c>
      <c r="H6" s="20">
        <v>9000</v>
      </c>
    </row>
    <row r="7" spans="1:8" ht="15.5" x14ac:dyDescent="0.35">
      <c r="A7" s="11">
        <v>2</v>
      </c>
      <c r="B7" s="11"/>
      <c r="C7" s="11"/>
      <c r="D7" s="11"/>
      <c r="E7" s="10"/>
      <c r="F7" s="11"/>
      <c r="G7" s="20"/>
      <c r="H7" s="20"/>
    </row>
    <row r="8" spans="1:8" ht="15.5" hidden="1" x14ac:dyDescent="0.35">
      <c r="A8" s="11">
        <v>3</v>
      </c>
      <c r="B8" s="11"/>
      <c r="C8" s="11"/>
      <c r="D8" s="11"/>
      <c r="E8" s="10"/>
      <c r="F8" s="11"/>
      <c r="G8" s="20"/>
      <c r="H8" s="20"/>
    </row>
    <row r="9" spans="1:8" ht="15.5" hidden="1" x14ac:dyDescent="0.35">
      <c r="A9" s="11">
        <v>4</v>
      </c>
      <c r="B9" s="11"/>
      <c r="C9" s="11"/>
      <c r="D9" s="11"/>
      <c r="E9" s="10"/>
      <c r="F9" s="11"/>
      <c r="G9" s="20"/>
      <c r="H9" s="20"/>
    </row>
    <row r="10" spans="1:8" ht="15.5" hidden="1" x14ac:dyDescent="0.35">
      <c r="A10" s="11">
        <v>5</v>
      </c>
      <c r="B10" s="11"/>
      <c r="C10" s="11"/>
      <c r="D10" s="11"/>
      <c r="E10" s="10"/>
      <c r="F10" s="11"/>
      <c r="G10" s="20"/>
      <c r="H10" s="20"/>
    </row>
    <row r="11" spans="1:8" ht="15.5" hidden="1" x14ac:dyDescent="0.35">
      <c r="A11" s="11">
        <v>6</v>
      </c>
      <c r="B11" s="11"/>
      <c r="C11" s="11"/>
      <c r="D11" s="11"/>
      <c r="E11" s="10"/>
      <c r="F11" s="11"/>
      <c r="G11" s="20"/>
      <c r="H11" s="20"/>
    </row>
    <row r="12" spans="1:8" ht="15.5" hidden="1" x14ac:dyDescent="0.35">
      <c r="A12" s="11">
        <v>7</v>
      </c>
      <c r="B12" s="11"/>
      <c r="C12" s="11"/>
      <c r="D12" s="11"/>
      <c r="E12" s="10"/>
      <c r="F12" s="11"/>
      <c r="G12" s="20"/>
      <c r="H12" s="20"/>
    </row>
    <row r="13" spans="1:8" ht="15.5" hidden="1" x14ac:dyDescent="0.35">
      <c r="A13" s="11">
        <v>8</v>
      </c>
      <c r="B13" s="11"/>
      <c r="C13" s="11"/>
      <c r="D13" s="11"/>
      <c r="E13" s="10"/>
      <c r="F13" s="11"/>
      <c r="G13" s="20"/>
      <c r="H13" s="20"/>
    </row>
    <row r="14" spans="1:8" ht="15.5" hidden="1" x14ac:dyDescent="0.35">
      <c r="A14" s="11">
        <v>9</v>
      </c>
      <c r="B14" s="11"/>
      <c r="C14" s="11"/>
      <c r="D14" s="11"/>
      <c r="E14" s="10"/>
      <c r="F14" s="11"/>
      <c r="G14" s="20"/>
      <c r="H14" s="20"/>
    </row>
    <row r="15" spans="1:8" ht="15.5" hidden="1" x14ac:dyDescent="0.35">
      <c r="A15" s="11">
        <v>10</v>
      </c>
      <c r="B15" s="11"/>
      <c r="C15" s="11"/>
      <c r="D15" s="11"/>
      <c r="E15" s="10"/>
      <c r="F15" s="11"/>
      <c r="G15" s="20"/>
      <c r="H15" s="20"/>
    </row>
    <row r="16" spans="1:8" ht="15.5" hidden="1" x14ac:dyDescent="0.35">
      <c r="A16" s="11">
        <v>11</v>
      </c>
      <c r="B16" s="11"/>
      <c r="C16" s="11"/>
      <c r="D16" s="11"/>
      <c r="E16" s="10"/>
      <c r="F16" s="11"/>
      <c r="G16" s="20"/>
      <c r="H16" s="20"/>
    </row>
    <row r="17" spans="1:8" ht="15.5" hidden="1" x14ac:dyDescent="0.35">
      <c r="A17" s="11">
        <v>12</v>
      </c>
      <c r="B17" s="11"/>
      <c r="C17" s="11"/>
      <c r="D17" s="11"/>
      <c r="E17" s="10"/>
      <c r="F17" s="11"/>
      <c r="G17" s="20"/>
      <c r="H17" s="20"/>
    </row>
    <row r="18" spans="1:8" ht="15.5" hidden="1" x14ac:dyDescent="0.35">
      <c r="A18" s="11">
        <v>13</v>
      </c>
      <c r="B18" s="11"/>
      <c r="C18" s="11"/>
      <c r="D18" s="11"/>
      <c r="E18" s="10"/>
      <c r="F18" s="11"/>
      <c r="G18" s="20"/>
      <c r="H18" s="20"/>
    </row>
    <row r="19" spans="1:8" ht="15.5" hidden="1" x14ac:dyDescent="0.35">
      <c r="A19" s="11">
        <v>14</v>
      </c>
      <c r="B19" s="11"/>
      <c r="C19" s="11"/>
      <c r="D19" s="11"/>
      <c r="E19" s="10"/>
      <c r="F19" s="11"/>
      <c r="G19" s="20"/>
      <c r="H19" s="20"/>
    </row>
    <row r="20" spans="1:8" ht="15.5" hidden="1" x14ac:dyDescent="0.35">
      <c r="A20" s="11">
        <v>15</v>
      </c>
      <c r="B20" s="11"/>
      <c r="C20" s="11"/>
      <c r="D20" s="11"/>
      <c r="E20" s="10"/>
      <c r="F20" s="11"/>
      <c r="G20" s="20"/>
      <c r="H20" s="20"/>
    </row>
    <row r="21" spans="1:8" ht="15.5" hidden="1" x14ac:dyDescent="0.35">
      <c r="A21" s="11">
        <v>16</v>
      </c>
      <c r="B21" s="11"/>
      <c r="C21" s="11"/>
      <c r="D21" s="11"/>
      <c r="E21" s="10"/>
      <c r="F21" s="11"/>
      <c r="G21" s="20"/>
      <c r="H21" s="20"/>
    </row>
    <row r="22" spans="1:8" ht="15.5" hidden="1" x14ac:dyDescent="0.35">
      <c r="A22" s="11">
        <v>17</v>
      </c>
      <c r="B22" s="11"/>
      <c r="C22" s="11"/>
      <c r="D22" s="11"/>
      <c r="E22" s="10"/>
      <c r="F22" s="11"/>
      <c r="G22" s="20"/>
      <c r="H22" s="20"/>
    </row>
    <row r="23" spans="1:8" ht="15.5" hidden="1" x14ac:dyDescent="0.35">
      <c r="A23" s="11">
        <v>18</v>
      </c>
      <c r="B23" s="11"/>
      <c r="C23" s="11"/>
      <c r="D23" s="11"/>
      <c r="E23" s="10"/>
      <c r="F23" s="11"/>
      <c r="G23" s="20"/>
      <c r="H23" s="20"/>
    </row>
    <row r="24" spans="1:8" ht="15.5" hidden="1" x14ac:dyDescent="0.35">
      <c r="A24" s="11">
        <v>19</v>
      </c>
      <c r="B24" s="11"/>
      <c r="C24" s="11"/>
      <c r="D24" s="11"/>
      <c r="E24" s="10"/>
      <c r="F24" s="11"/>
      <c r="G24" s="20"/>
      <c r="H24" s="20"/>
    </row>
    <row r="25" spans="1:8" ht="15.5" hidden="1" x14ac:dyDescent="0.35">
      <c r="A25" s="11">
        <v>20</v>
      </c>
      <c r="B25" s="11"/>
      <c r="C25" s="11"/>
      <c r="D25" s="11"/>
      <c r="E25" s="10"/>
      <c r="F25" s="11"/>
      <c r="G25" s="20"/>
      <c r="H25" s="20"/>
    </row>
    <row r="26" spans="1:8" ht="15.5" hidden="1" x14ac:dyDescent="0.35">
      <c r="A26" s="11">
        <v>21</v>
      </c>
      <c r="B26" s="11"/>
      <c r="C26" s="11"/>
      <c r="D26" s="11"/>
      <c r="E26" s="10"/>
      <c r="F26" s="11"/>
      <c r="G26" s="20"/>
      <c r="H26" s="20"/>
    </row>
    <row r="27" spans="1:8" ht="15.5" hidden="1" x14ac:dyDescent="0.35">
      <c r="A27" s="11">
        <v>22</v>
      </c>
      <c r="B27" s="11"/>
      <c r="C27" s="11"/>
      <c r="D27" s="11"/>
      <c r="E27" s="10"/>
      <c r="F27" s="11"/>
      <c r="G27" s="20"/>
      <c r="H27" s="20"/>
    </row>
    <row r="28" spans="1:8" ht="15.5" hidden="1" x14ac:dyDescent="0.35">
      <c r="A28" s="11">
        <v>23</v>
      </c>
      <c r="B28" s="11"/>
      <c r="C28" s="11"/>
      <c r="D28" s="11"/>
      <c r="E28" s="10"/>
      <c r="F28" s="11"/>
      <c r="G28" s="20"/>
      <c r="H28" s="20"/>
    </row>
    <row r="29" spans="1:8" ht="15.5" hidden="1" x14ac:dyDescent="0.35">
      <c r="A29" s="11">
        <v>24</v>
      </c>
      <c r="B29" s="11"/>
      <c r="C29" s="11"/>
      <c r="D29" s="11"/>
      <c r="E29" s="10"/>
      <c r="F29" s="11"/>
      <c r="G29" s="20"/>
      <c r="H29" s="20"/>
    </row>
    <row r="30" spans="1:8" ht="15.5" hidden="1" x14ac:dyDescent="0.35">
      <c r="A30" s="11">
        <v>25</v>
      </c>
      <c r="B30" s="11"/>
      <c r="C30" s="11"/>
      <c r="D30" s="11"/>
      <c r="E30" s="10"/>
      <c r="F30" s="11"/>
      <c r="G30" s="20"/>
      <c r="H30" s="20"/>
    </row>
    <row r="31" spans="1:8" ht="16" hidden="1" customHeight="1" x14ac:dyDescent="0.35">
      <c r="A31" s="11">
        <v>26</v>
      </c>
      <c r="B31" s="11"/>
      <c r="C31" s="11"/>
      <c r="D31" s="11"/>
      <c r="E31" s="10"/>
      <c r="F31" s="11"/>
      <c r="G31" s="20"/>
      <c r="H31" s="20"/>
    </row>
    <row r="32" spans="1:8" ht="15.5" hidden="1" x14ac:dyDescent="0.35">
      <c r="A32" s="11">
        <v>27</v>
      </c>
      <c r="B32" s="11"/>
      <c r="C32" s="11"/>
      <c r="D32" s="11"/>
      <c r="E32" s="10"/>
      <c r="F32" s="11"/>
      <c r="G32" s="20"/>
      <c r="H32" s="20"/>
    </row>
    <row r="33" spans="1:8" ht="15.5" hidden="1" x14ac:dyDescent="0.35">
      <c r="A33" s="11">
        <v>28</v>
      </c>
      <c r="B33" s="11"/>
      <c r="C33" s="11"/>
      <c r="D33" s="11"/>
      <c r="E33" s="10"/>
      <c r="F33" s="11"/>
      <c r="G33" s="20"/>
      <c r="H33" s="20"/>
    </row>
    <row r="34" spans="1:8" ht="15.5" hidden="1" x14ac:dyDescent="0.35">
      <c r="A34" s="11">
        <v>29</v>
      </c>
      <c r="B34" s="11"/>
      <c r="C34" s="11"/>
      <c r="D34" s="11"/>
      <c r="E34" s="10"/>
      <c r="F34" s="11"/>
      <c r="G34" s="20"/>
      <c r="H34" s="20"/>
    </row>
    <row r="35" spans="1:8" ht="15.5" hidden="1" x14ac:dyDescent="0.35">
      <c r="A35" s="11">
        <v>30</v>
      </c>
      <c r="B35" s="11"/>
      <c r="C35" s="11"/>
      <c r="D35" s="11"/>
      <c r="E35" s="10"/>
      <c r="F35" s="11"/>
      <c r="G35" s="20"/>
      <c r="H35" s="20"/>
    </row>
    <row r="36" spans="1:8" ht="15.5" hidden="1" x14ac:dyDescent="0.35">
      <c r="A36" s="11">
        <v>31</v>
      </c>
      <c r="B36" s="11"/>
      <c r="C36" s="11"/>
      <c r="D36" s="11"/>
      <c r="E36" s="10"/>
      <c r="F36" s="11"/>
      <c r="G36" s="20"/>
      <c r="H36" s="20"/>
    </row>
    <row r="37" spans="1:8" ht="15.5" hidden="1" x14ac:dyDescent="0.35">
      <c r="A37" s="11">
        <v>32</v>
      </c>
      <c r="B37" s="11"/>
      <c r="C37" s="11"/>
      <c r="D37" s="11"/>
      <c r="E37" s="10"/>
      <c r="F37" s="11"/>
      <c r="G37" s="20"/>
      <c r="H37" s="20"/>
    </row>
    <row r="38" spans="1:8" ht="15.5" hidden="1" x14ac:dyDescent="0.35">
      <c r="A38" s="11">
        <v>33</v>
      </c>
      <c r="B38" s="11"/>
      <c r="C38" s="11"/>
      <c r="D38" s="11"/>
      <c r="E38" s="10"/>
      <c r="F38" s="11"/>
      <c r="G38" s="20"/>
      <c r="H38" s="20"/>
    </row>
    <row r="39" spans="1:8" ht="15.5" hidden="1" x14ac:dyDescent="0.35">
      <c r="A39" s="11">
        <v>34</v>
      </c>
      <c r="B39" s="11"/>
      <c r="C39" s="11"/>
      <c r="D39" s="11"/>
      <c r="E39" s="10"/>
      <c r="F39" s="11"/>
      <c r="G39" s="20"/>
      <c r="H39" s="20"/>
    </row>
    <row r="40" spans="1:8" ht="15.5" hidden="1" x14ac:dyDescent="0.35">
      <c r="A40" s="11">
        <v>35</v>
      </c>
      <c r="B40" s="11"/>
      <c r="C40" s="11"/>
      <c r="D40" s="11"/>
      <c r="E40" s="10"/>
      <c r="F40" s="11"/>
      <c r="G40" s="20"/>
      <c r="H40" s="20"/>
    </row>
    <row r="41" spans="1:8" ht="15.5" hidden="1" x14ac:dyDescent="0.35">
      <c r="A41" s="11">
        <v>36</v>
      </c>
      <c r="B41" s="11"/>
      <c r="C41" s="11"/>
      <c r="D41" s="11"/>
      <c r="E41" s="10"/>
      <c r="F41" s="11"/>
      <c r="G41" s="20"/>
      <c r="H41" s="20"/>
    </row>
    <row r="42" spans="1:8" ht="15.5" hidden="1" x14ac:dyDescent="0.35">
      <c r="A42" s="11">
        <v>37</v>
      </c>
      <c r="B42" s="11"/>
      <c r="C42" s="11"/>
      <c r="D42" s="11"/>
      <c r="E42" s="10"/>
      <c r="F42" s="11"/>
      <c r="G42" s="20"/>
      <c r="H42" s="20"/>
    </row>
    <row r="43" spans="1:8" ht="15.5" hidden="1" x14ac:dyDescent="0.35">
      <c r="A43" s="11">
        <v>38</v>
      </c>
      <c r="B43" s="11"/>
      <c r="C43" s="11"/>
      <c r="D43" s="11"/>
      <c r="E43" s="10"/>
      <c r="F43" s="11"/>
      <c r="G43" s="20"/>
      <c r="H43" s="20"/>
    </row>
    <row r="44" spans="1:8" ht="15.5" hidden="1" x14ac:dyDescent="0.35">
      <c r="A44" s="11">
        <v>39</v>
      </c>
      <c r="B44" s="11"/>
      <c r="C44" s="11"/>
      <c r="D44" s="11"/>
      <c r="E44" s="10"/>
      <c r="F44" s="11"/>
      <c r="G44" s="20"/>
      <c r="H44" s="20"/>
    </row>
    <row r="45" spans="1:8" ht="15.5" hidden="1" x14ac:dyDescent="0.35">
      <c r="A45" s="11">
        <v>40</v>
      </c>
      <c r="B45" s="11"/>
      <c r="C45" s="11"/>
      <c r="D45" s="11"/>
      <c r="E45" s="10"/>
      <c r="F45" s="11"/>
      <c r="G45" s="20"/>
      <c r="H45" s="20"/>
    </row>
    <row r="46" spans="1:8" ht="15.5" hidden="1" x14ac:dyDescent="0.35">
      <c r="A46" s="11">
        <v>41</v>
      </c>
      <c r="B46" s="11"/>
      <c r="C46" s="11"/>
      <c r="D46" s="11"/>
      <c r="E46" s="10"/>
      <c r="F46" s="11"/>
      <c r="G46" s="20"/>
      <c r="H46" s="20"/>
    </row>
    <row r="47" spans="1:8" ht="15.5" hidden="1" x14ac:dyDescent="0.35">
      <c r="A47" s="11">
        <v>42</v>
      </c>
      <c r="B47" s="11"/>
      <c r="C47" s="11"/>
      <c r="D47" s="11"/>
      <c r="E47" s="10"/>
      <c r="F47" s="11"/>
      <c r="G47" s="20"/>
      <c r="H47" s="20"/>
    </row>
    <row r="48" spans="1:8" ht="15.5" hidden="1" x14ac:dyDescent="0.35">
      <c r="A48" s="11">
        <v>43</v>
      </c>
      <c r="B48" s="11"/>
      <c r="C48" s="11"/>
      <c r="D48" s="11"/>
      <c r="E48" s="10"/>
      <c r="F48" s="11"/>
      <c r="G48" s="20"/>
      <c r="H48" s="20"/>
    </row>
    <row r="49" spans="1:8" ht="15.5" hidden="1" x14ac:dyDescent="0.35">
      <c r="A49" s="11">
        <v>44</v>
      </c>
      <c r="B49" s="11"/>
      <c r="C49" s="11"/>
      <c r="D49" s="11"/>
      <c r="E49" s="10"/>
      <c r="F49" s="11"/>
      <c r="G49" s="20"/>
      <c r="H49" s="20"/>
    </row>
    <row r="50" spans="1:8" ht="15.5" hidden="1" x14ac:dyDescent="0.35">
      <c r="A50" s="11">
        <v>45</v>
      </c>
      <c r="B50" s="11"/>
      <c r="C50" s="11"/>
      <c r="D50" s="11"/>
      <c r="E50" s="10"/>
      <c r="F50" s="11"/>
      <c r="G50" s="20"/>
      <c r="H50" s="20"/>
    </row>
    <row r="51" spans="1:8" ht="15.5" hidden="1" x14ac:dyDescent="0.35">
      <c r="A51" s="11">
        <v>46</v>
      </c>
      <c r="B51" s="11"/>
      <c r="C51" s="11"/>
      <c r="D51" s="11"/>
      <c r="E51" s="10"/>
      <c r="F51" s="11"/>
      <c r="G51" s="20"/>
      <c r="H51" s="20"/>
    </row>
    <row r="52" spans="1:8" ht="15.5" hidden="1" x14ac:dyDescent="0.35">
      <c r="A52" s="11">
        <v>47</v>
      </c>
      <c r="B52" s="11"/>
      <c r="C52" s="11"/>
      <c r="D52" s="11"/>
      <c r="E52" s="10"/>
      <c r="F52" s="11"/>
      <c r="G52" s="20"/>
      <c r="H52" s="20"/>
    </row>
    <row r="53" spans="1:8" ht="15.5" hidden="1" x14ac:dyDescent="0.35">
      <c r="A53" s="11">
        <v>48</v>
      </c>
      <c r="B53" s="11"/>
      <c r="C53" s="11"/>
      <c r="D53" s="11"/>
      <c r="E53" s="10"/>
      <c r="F53" s="11"/>
      <c r="G53" s="20"/>
      <c r="H53" s="20"/>
    </row>
    <row r="54" spans="1:8" ht="15.5" hidden="1" x14ac:dyDescent="0.35">
      <c r="A54" s="11">
        <v>49</v>
      </c>
      <c r="B54" s="11"/>
      <c r="C54" s="11"/>
      <c r="D54" s="11"/>
      <c r="E54" s="10"/>
      <c r="F54" s="11"/>
      <c r="G54" s="20"/>
      <c r="H54" s="20"/>
    </row>
    <row r="55" spans="1:8" ht="15.5" hidden="1" x14ac:dyDescent="0.35">
      <c r="A55" s="11">
        <v>50</v>
      </c>
      <c r="B55" s="11"/>
      <c r="C55" s="11"/>
      <c r="D55" s="11"/>
      <c r="E55" s="10"/>
      <c r="F55" s="11"/>
      <c r="G55" s="20"/>
      <c r="H55" s="20"/>
    </row>
    <row r="56" spans="1:8" ht="15.5" hidden="1" x14ac:dyDescent="0.35">
      <c r="A56" s="11">
        <v>51</v>
      </c>
      <c r="B56" s="11"/>
      <c r="C56" s="11"/>
      <c r="D56" s="11"/>
      <c r="E56" s="10"/>
      <c r="F56" s="11"/>
      <c r="G56" s="20"/>
      <c r="H56" s="20"/>
    </row>
    <row r="57" spans="1:8" ht="15.5" hidden="1" x14ac:dyDescent="0.35">
      <c r="A57" s="11">
        <v>52</v>
      </c>
      <c r="B57" s="11"/>
      <c r="C57" s="11"/>
      <c r="D57" s="11"/>
      <c r="E57" s="10"/>
      <c r="F57" s="11"/>
      <c r="G57" s="20"/>
      <c r="H57" s="20"/>
    </row>
    <row r="58" spans="1:8" ht="15.5" hidden="1" x14ac:dyDescent="0.35">
      <c r="A58" s="11">
        <v>53</v>
      </c>
      <c r="B58" s="11"/>
      <c r="C58" s="11"/>
      <c r="D58" s="11"/>
      <c r="E58" s="10"/>
      <c r="F58" s="11"/>
      <c r="G58" s="20"/>
      <c r="H58" s="20"/>
    </row>
    <row r="59" spans="1:8" ht="15.5" x14ac:dyDescent="0.35">
      <c r="A59" s="11"/>
      <c r="B59" s="11"/>
      <c r="C59" s="11"/>
      <c r="D59" s="11"/>
      <c r="E59" s="10"/>
      <c r="F59" s="11"/>
      <c r="G59" s="20"/>
      <c r="H59" s="20"/>
    </row>
    <row r="60" spans="1:8" ht="15.5" x14ac:dyDescent="0.35">
      <c r="A60" s="22" t="s">
        <v>11</v>
      </c>
      <c r="B60" s="23"/>
      <c r="C60" s="23"/>
      <c r="D60" s="16"/>
      <c r="E60" s="16">
        <f>SUM(E6:E59)</f>
        <v>15366915</v>
      </c>
      <c r="F60" s="18">
        <f>SUM(F6:F59)</f>
        <v>30</v>
      </c>
      <c r="G60" s="19">
        <f>SUM(G6:G59)</f>
        <v>54600</v>
      </c>
      <c r="H60" s="19">
        <f>SUM(H6:H59)</f>
        <v>9000</v>
      </c>
    </row>
    <row r="61" spans="1:8" x14ac:dyDescent="0.35">
      <c r="E61" s="3"/>
    </row>
    <row r="62" spans="1:8" ht="15.5" x14ac:dyDescent="0.35">
      <c r="A62" s="8" t="s">
        <v>12</v>
      </c>
      <c r="B62" s="7" t="s">
        <v>56</v>
      </c>
      <c r="C62" s="8" t="s">
        <v>13</v>
      </c>
      <c r="D62" s="8" t="s">
        <v>14</v>
      </c>
      <c r="E62" s="12" t="s">
        <v>15</v>
      </c>
      <c r="F62" s="1">
        <v>4</v>
      </c>
      <c r="G62" s="15" t="s">
        <v>16</v>
      </c>
      <c r="H62" s="19">
        <f>G60+H60+D72</f>
        <v>63600</v>
      </c>
    </row>
    <row r="63" spans="1:8" ht="15.5" x14ac:dyDescent="0.35">
      <c r="A63" s="11" t="s">
        <v>55</v>
      </c>
      <c r="B63" s="9">
        <v>0</v>
      </c>
      <c r="C63" s="10"/>
      <c r="D63" s="11"/>
      <c r="E63" s="12" t="s">
        <v>17</v>
      </c>
      <c r="F63" t="s">
        <v>39</v>
      </c>
    </row>
    <row r="64" spans="1:8" ht="15.5" x14ac:dyDescent="0.35">
      <c r="A64" s="11" t="s">
        <v>18</v>
      </c>
      <c r="B64" s="9">
        <v>0</v>
      </c>
      <c r="C64" s="10"/>
      <c r="D64" s="11"/>
      <c r="E64" s="12" t="s">
        <v>19</v>
      </c>
      <c r="F64" t="s">
        <v>35</v>
      </c>
    </row>
    <row r="65" spans="1:8" ht="15.5" x14ac:dyDescent="0.35">
      <c r="A65" s="11" t="s">
        <v>20</v>
      </c>
      <c r="B65" s="9"/>
      <c r="C65" s="10"/>
      <c r="D65" s="11">
        <v>2700</v>
      </c>
      <c r="E65" s="12" t="s">
        <v>21</v>
      </c>
      <c r="F65" t="s">
        <v>36</v>
      </c>
    </row>
    <row r="66" spans="1:8" ht="15.5" x14ac:dyDescent="0.35">
      <c r="A66" s="11" t="s">
        <v>57</v>
      </c>
      <c r="B66" s="9">
        <v>0</v>
      </c>
      <c r="C66" s="10"/>
      <c r="D66" s="11"/>
      <c r="E66" s="12" t="s">
        <v>22</v>
      </c>
      <c r="F66" t="s">
        <v>37</v>
      </c>
    </row>
    <row r="67" spans="1:8" ht="15.5" x14ac:dyDescent="0.35">
      <c r="A67" s="11" t="s">
        <v>23</v>
      </c>
      <c r="B67" s="9">
        <v>0</v>
      </c>
      <c r="C67" s="10"/>
      <c r="D67" s="20"/>
      <c r="E67" s="12" t="s">
        <v>24</v>
      </c>
      <c r="F67" t="s">
        <v>43</v>
      </c>
    </row>
    <row r="68" spans="1:8" ht="15.5" x14ac:dyDescent="0.35">
      <c r="A68" s="11" t="s">
        <v>25</v>
      </c>
      <c r="B68" s="9">
        <v>0</v>
      </c>
      <c r="C68" s="10"/>
      <c r="D68" s="20"/>
      <c r="E68" s="12" t="s">
        <v>26</v>
      </c>
      <c r="F68" s="1">
        <v>2004</v>
      </c>
    </row>
    <row r="69" spans="1:8" ht="18.5" x14ac:dyDescent="0.45">
      <c r="A69" s="11" t="s">
        <v>27</v>
      </c>
      <c r="B69" s="9">
        <v>0</v>
      </c>
      <c r="C69" s="10"/>
      <c r="D69" s="20"/>
      <c r="E69" s="5" t="s">
        <v>28</v>
      </c>
      <c r="F69" s="4"/>
      <c r="G69" s="4"/>
      <c r="H69" s="6">
        <f>E60+C72</f>
        <v>15366915</v>
      </c>
    </row>
    <row r="70" spans="1:8" ht="18.5" x14ac:dyDescent="0.45">
      <c r="A70" s="11" t="s">
        <v>29</v>
      </c>
      <c r="B70" s="9">
        <v>0</v>
      </c>
      <c r="C70" s="26"/>
      <c r="D70" s="20"/>
      <c r="E70" s="5" t="s">
        <v>30</v>
      </c>
      <c r="F70" s="4"/>
      <c r="G70" s="4"/>
      <c r="H70" s="27">
        <v>1000</v>
      </c>
    </row>
    <row r="71" spans="1:8" ht="18.5" x14ac:dyDescent="0.45">
      <c r="A71" s="11"/>
      <c r="B71" s="12"/>
      <c r="C71" s="13"/>
      <c r="D71" s="24"/>
      <c r="E71" s="5" t="s">
        <v>31</v>
      </c>
      <c r="F71" s="4"/>
      <c r="G71" s="21"/>
      <c r="H71" s="21">
        <v>1000000</v>
      </c>
    </row>
    <row r="72" spans="1:8" ht="18.5" x14ac:dyDescent="0.45">
      <c r="A72" s="8" t="s">
        <v>32</v>
      </c>
      <c r="B72" s="7"/>
      <c r="C72" s="14">
        <f>SUM(C63:C71)</f>
        <v>0</v>
      </c>
      <c r="D72" s="25">
        <f>SUM(D67:D71)</f>
        <v>0</v>
      </c>
      <c r="E72" s="5" t="s">
        <v>33</v>
      </c>
      <c r="F72" s="4"/>
      <c r="G72" s="6" t="s">
        <v>44</v>
      </c>
      <c r="H72" s="4">
        <v>139200</v>
      </c>
    </row>
  </sheetData>
  <mergeCells count="3">
    <mergeCell ref="C1:D1"/>
    <mergeCell ref="C2:D2"/>
    <mergeCell ref="C3:D3"/>
  </mergeCells>
  <dataValidations count="6">
    <dataValidation type="list" allowBlank="1" showInputMessage="1" showErrorMessage="1" sqref="F63" xr:uid="{00000000-0002-0000-0000-000000000000}">
      <formula1>rooftype</formula1>
    </dataValidation>
    <dataValidation type="list" allowBlank="1" showInputMessage="1" showErrorMessage="1" sqref="F65" xr:uid="{00000000-0002-0000-0000-000001000000}">
      <formula1>sprinklered</formula1>
    </dataValidation>
    <dataValidation type="list" allowBlank="1" showInputMessage="1" showErrorMessage="1" sqref="F66" xr:uid="{00000000-0002-0000-0000-000002000000}">
      <formula1>smokedetector</formula1>
    </dataValidation>
    <dataValidation type="list" allowBlank="1" showInputMessage="1" showErrorMessage="1" sqref="F67" xr:uid="{00000000-0002-0000-0000-000003000000}">
      <formula1>construction</formula1>
    </dataValidation>
    <dataValidation type="list" allowBlank="1" showInputMessage="1" showErrorMessage="1" sqref="G72" xr:uid="{00000000-0002-0000-0000-000004000000}">
      <formula1>assocfees</formula1>
    </dataValidation>
    <dataValidation type="list" allowBlank="1" showInputMessage="1" showErrorMessage="1" sqref="F64" xr:uid="{00000000-0002-0000-0000-000005000000}">
      <formula1>garagetype</formula1>
    </dataValidation>
  </dataValidations>
  <pageMargins left="0.25" right="0.25" top="0.75" bottom="0.75" header="0.3" footer="0.3"/>
  <pageSetup scale="74" orientation="landscape" verticalDpi="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F1" sqref="F1"/>
    </sheetView>
  </sheetViews>
  <sheetFormatPr defaultColWidth="8.81640625" defaultRowHeight="14.5" x14ac:dyDescent="0.35"/>
  <cols>
    <col min="2" max="2" width="28.453125" customWidth="1"/>
    <col min="4" max="4" width="11.26953125" bestFit="1" customWidth="1"/>
    <col min="5" max="5" width="28.453125" bestFit="1" customWidth="1"/>
    <col min="6" max="6" width="27.453125" bestFit="1" customWidth="1"/>
  </cols>
  <sheetData>
    <row r="1" spans="1:7" ht="15.5" x14ac:dyDescent="0.35">
      <c r="A1" s="12" t="s">
        <v>34</v>
      </c>
      <c r="B1" s="12" t="s">
        <v>35</v>
      </c>
      <c r="C1" s="12" t="s">
        <v>36</v>
      </c>
      <c r="D1" s="12" t="s">
        <v>37</v>
      </c>
      <c r="E1" s="12" t="s">
        <v>38</v>
      </c>
      <c r="F1" s="17">
        <v>100000</v>
      </c>
    </row>
    <row r="2" spans="1:7" ht="15.5" x14ac:dyDescent="0.35">
      <c r="A2" s="12" t="s">
        <v>39</v>
      </c>
      <c r="B2" s="12" t="s">
        <v>40</v>
      </c>
      <c r="C2" s="12" t="s">
        <v>41</v>
      </c>
      <c r="D2" s="12" t="s">
        <v>42</v>
      </c>
      <c r="E2" s="12" t="s">
        <v>43</v>
      </c>
      <c r="F2" s="12" t="s">
        <v>44</v>
      </c>
    </row>
    <row r="3" spans="1:7" ht="15.5" x14ac:dyDescent="0.35">
      <c r="A3" s="12" t="s">
        <v>45</v>
      </c>
      <c r="B3" s="12" t="s">
        <v>46</v>
      </c>
      <c r="C3" s="12" t="s">
        <v>47</v>
      </c>
      <c r="D3" s="12" t="s">
        <v>48</v>
      </c>
      <c r="E3" s="12" t="s">
        <v>49</v>
      </c>
      <c r="F3" s="12" t="s">
        <v>48</v>
      </c>
      <c r="G3" s="12"/>
    </row>
    <row r="4" spans="1:7" ht="15.5" x14ac:dyDescent="0.35">
      <c r="A4" s="12" t="s">
        <v>50</v>
      </c>
      <c r="B4" s="12" t="s">
        <v>51</v>
      </c>
      <c r="C4" s="12"/>
      <c r="D4" s="12"/>
      <c r="E4" s="12" t="s">
        <v>52</v>
      </c>
      <c r="F4" s="12"/>
    </row>
    <row r="5" spans="1:7" ht="15.5" x14ac:dyDescent="0.35">
      <c r="A5" s="12"/>
      <c r="B5" s="12" t="s">
        <v>53</v>
      </c>
      <c r="C5" s="12"/>
      <c r="D5" s="12"/>
      <c r="E5" s="12"/>
      <c r="F5" s="12"/>
    </row>
    <row r="6" spans="1:7" ht="15.5" x14ac:dyDescent="0.35">
      <c r="A6" s="12"/>
      <c r="B6" s="12" t="s">
        <v>54</v>
      </c>
      <c r="C6" s="12"/>
      <c r="D6" s="12"/>
      <c r="E6" s="12"/>
      <c r="F6" s="12"/>
    </row>
    <row r="7" spans="1:7" ht="15.5" x14ac:dyDescent="0.35">
      <c r="A7" s="12"/>
      <c r="B7" s="12"/>
      <c r="C7" s="12"/>
      <c r="D7" s="12"/>
      <c r="E7" s="12"/>
      <c r="F7" s="1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1640625" defaultRowHeight="14.5" x14ac:dyDescent="0.3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0D5C853A1DE4F8949B78BEBF0E4DC" ma:contentTypeVersion="19" ma:contentTypeDescription="Create a new document." ma:contentTypeScope="" ma:versionID="d38392f2f6992ef45a4236bbc4137265">
  <xsd:schema xmlns:xsd="http://www.w3.org/2001/XMLSchema" xmlns:xs="http://www.w3.org/2001/XMLSchema" xmlns:p="http://schemas.microsoft.com/office/2006/metadata/properties" xmlns:ns2="8a41ad68-e0e0-4f41-8011-1d1bc4d7905e" xmlns:ns3="03572007-efe5-4fb3-aed7-a41d0c924ebd" targetNamespace="http://schemas.microsoft.com/office/2006/metadata/properties" ma:root="true" ma:fieldsID="4ee140ba5d276b6624eb537f06ce516e" ns2:_="" ns3:_="">
    <xsd:import namespace="8a41ad68-e0e0-4f41-8011-1d1bc4d7905e"/>
    <xsd:import namespace="03572007-efe5-4fb3-aed7-a41d0c924e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at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ad68-e0e0-4f41-8011-1d1bc4d790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Date" ma:index="14" nillable="true" ma:displayName="Date" ma:format="DateTime" ma:internalName="Date">
      <xsd:simpleType>
        <xsd:restriction base="dms:DateTim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344de64-a3b7-4a41-b424-6b5622b54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72007-efe5-4fb3-aed7-a41d0c924eb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f0e9d81-9041-4675-a257-c1090fff7026}" ma:internalName="TaxCatchAll" ma:showField="CatchAllData" ma:web="03572007-efe5-4fb3-aed7-a41d0c924e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8a41ad68-e0e0-4f41-8011-1d1bc4d7905e" xsi:nil="true"/>
    <TaxCatchAll xmlns="03572007-efe5-4fb3-aed7-a41d0c924ebd" xsi:nil="true"/>
    <lcf76f155ced4ddcb4097134ff3c332f xmlns="8a41ad68-e0e0-4f41-8011-1d1bc4d790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62A7DA-A3EB-4E9D-9341-BD5191EFD7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4EAE9D-932E-4826-9975-C4F7A9E84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41ad68-e0e0-4f41-8011-1d1bc4d7905e"/>
    <ds:schemaRef ds:uri="03572007-efe5-4fb3-aed7-a41d0c924e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DF815B-F12F-475E-9F30-9FD44FD0DF71}">
  <ds:schemaRefs>
    <ds:schemaRef ds:uri="http://schemas.microsoft.com/office/2006/metadata/properties"/>
    <ds:schemaRef ds:uri="http://schemas.microsoft.com/office/infopath/2007/PartnerControls"/>
    <ds:schemaRef ds:uri="8a41ad68-e0e0-4f41-8011-1d1bc4d7905e"/>
    <ds:schemaRef ds:uri="03572007-efe5-4fb3-aed7-a41d0c924ebd"/>
  </ds:schemaRefs>
</ds:datastoreItem>
</file>

<file path=docMetadata/LabelInfo.xml><?xml version="1.0" encoding="utf-8"?>
<clbl:labelList xmlns:clbl="http://schemas.microsoft.com/office/2020/mipLabelMetadata">
  <clbl:label id="{0fae1cea-e49a-40f0-94b3-be5e19bbdd91}" enabled="0" method="" siteId="{0fae1cea-e49a-40f0-94b3-be5e19bbdd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Sheet2</vt:lpstr>
      <vt:lpstr>Sheet3</vt:lpstr>
      <vt:lpstr>assocfees</vt:lpstr>
      <vt:lpstr>construction</vt:lpstr>
      <vt:lpstr>garagetype</vt:lpstr>
      <vt:lpstr>rooftype</vt:lpstr>
      <vt:lpstr>smokedetector</vt:lpstr>
      <vt:lpstr>sprinklered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Ware</dc:creator>
  <cp:keywords/>
  <dc:description/>
  <cp:lastModifiedBy>Carol Soprych</cp:lastModifiedBy>
  <cp:revision/>
  <dcterms:created xsi:type="dcterms:W3CDTF">2012-01-09T17:03:03Z</dcterms:created>
  <dcterms:modified xsi:type="dcterms:W3CDTF">2025-12-01T16:11:13Z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0x01010071D0D5C853A1DE4F8949B78BEBF0E4DC</vt:lpwstr>
  </property>
  <property fmtid="{D5CDD505-2E9C-101B-9397-08002B2CF9AE}" pid="3" name="Order">
    <vt:r8>285200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