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baldwininsurance-my.sharepoint.com/personal/darlene_jacus_bks-partners_com/Documents/Documents/Work in Progress/Minsky Team/Remington Trails II 12-18/2526/SUBM/"/>
    </mc:Choice>
  </mc:AlternateContent>
  <xr:revisionPtr revIDLastSave="3" documentId="8_{A4703B65-DF62-4D6B-B470-75454C996981}" xr6:coauthVersionLast="47" xr6:coauthVersionMax="47" xr10:uidLastSave="{EDEFE605-64B4-4B3C-8ABD-835A4C09B118}"/>
  <bookViews>
    <workbookView xWindow="675" yWindow="3120" windowWidth="26220" windowHeight="11295" xr2:uid="{00000000-000D-0000-FFFF-FFFF00000000}"/>
  </bookViews>
  <sheets>
    <sheet name="Sheet1" sheetId="1" r:id="rId1"/>
    <sheet name="Sheet2" sheetId="2" state="hidden" r:id="rId2"/>
    <sheet name="Sheet3" sheetId="3" r:id="rId3"/>
  </sheets>
  <definedNames>
    <definedName name="assocfees">Sheet2!$F:$F</definedName>
    <definedName name="construction">Sheet2!$E:$E</definedName>
    <definedName name="garagetype">Sheet2!$B:$B</definedName>
    <definedName name="rooftype">Sheet2!$A:$A</definedName>
    <definedName name="smokedetector">Sheet2!$D:$D</definedName>
    <definedName name="sprinklered">Sheet2!$C:$C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1" l="1"/>
  <c r="H46" i="1"/>
  <c r="G37" i="1"/>
  <c r="H37" i="1" l="1"/>
  <c r="F37" i="1"/>
  <c r="E37" i="1"/>
  <c r="D37" i="1"/>
  <c r="C49" i="1" l="1"/>
</calcChain>
</file>

<file path=xl/sharedStrings.xml><?xml version="1.0" encoding="utf-8"?>
<sst xmlns="http://schemas.openxmlformats.org/spreadsheetml/2006/main" count="129" uniqueCount="95">
  <si>
    <t>Bldg #</t>
  </si>
  <si>
    <t># of Units</t>
  </si>
  <si>
    <t>Livable Square Footage</t>
  </si>
  <si>
    <t>Garage Square Footage</t>
  </si>
  <si>
    <t>Address #</t>
  </si>
  <si>
    <t>Street Name</t>
  </si>
  <si>
    <t>STATEMENT OF VALUES FOR:</t>
  </si>
  <si>
    <t>EFFECTIVE DATE:</t>
  </si>
  <si>
    <t>REPLACEMENT COST</t>
  </si>
  <si>
    <t>Paved Surfaces:</t>
  </si>
  <si>
    <t>Fences / Gates:</t>
  </si>
  <si>
    <t>Carports:</t>
  </si>
  <si>
    <t>Detached Garages:</t>
  </si>
  <si>
    <t>Building Replacement Cost (including Garages)</t>
  </si>
  <si>
    <t>SEPARATE STRUCTURES TOTAL:</t>
  </si>
  <si>
    <t>SEPARATE STRUCTURES / MISC.</t>
  </si>
  <si>
    <t>Garage Type:</t>
  </si>
  <si>
    <t>Sprinklered:</t>
  </si>
  <si>
    <t>Smoke Detectors:</t>
  </si>
  <si>
    <t>TOTAL BLANKET REPLACEMENT COST:</t>
  </si>
  <si>
    <t>TOTAL BUSINESS PERSONAL PROPERTY:</t>
  </si>
  <si>
    <t>TOTAL BUSINESS INCOME:</t>
  </si>
  <si>
    <t>Roof Type:</t>
  </si>
  <si>
    <t xml:space="preserve">Tile </t>
  </si>
  <si>
    <t>Comp.</t>
  </si>
  <si>
    <t>Flat</t>
  </si>
  <si>
    <t>Shake</t>
  </si>
  <si>
    <t>Detached</t>
  </si>
  <si>
    <t>Attached</t>
  </si>
  <si>
    <t>Subterranean</t>
  </si>
  <si>
    <t>Masonry Above-Ground</t>
  </si>
  <si>
    <t>Partial Subterranean</t>
  </si>
  <si>
    <t>Habitational over Garage</t>
  </si>
  <si>
    <t>Yes</t>
  </si>
  <si>
    <t>No</t>
  </si>
  <si>
    <t>Partially</t>
  </si>
  <si>
    <t>Battery</t>
  </si>
  <si>
    <t>Hard-Wired</t>
  </si>
  <si>
    <t>None</t>
  </si>
  <si>
    <t>Construction Type:</t>
  </si>
  <si>
    <t>Frame</t>
  </si>
  <si>
    <t>Joisted Masonry</t>
  </si>
  <si>
    <t>Fire Resistive</t>
  </si>
  <si>
    <t>Steel Frame w/ Concrete Block</t>
  </si>
  <si>
    <t>TOTAL BUILDING REPLACEMENT COST:</t>
  </si>
  <si>
    <t>Actual Loss Sustained Total:</t>
  </si>
  <si>
    <t>TOTAL BUILDING ORDINANCE:</t>
  </si>
  <si>
    <t>TOTAL SQUARE FOOTAGE:</t>
  </si>
  <si>
    <t>Year of Construction:</t>
  </si>
  <si>
    <t>Number of Stories:</t>
  </si>
  <si>
    <t>1 Tot Lot:</t>
  </si>
  <si>
    <t>Pergola:</t>
  </si>
  <si>
    <t>Pool Restroom Building:</t>
  </si>
  <si>
    <t>LOCATION:</t>
  </si>
  <si>
    <t>N/A</t>
  </si>
  <si>
    <t xml:space="preserve">1 Pool / 1 Spa:  </t>
  </si>
  <si>
    <t>A: Up to Building Limit</t>
  </si>
  <si>
    <t>B&amp;C: 10%</t>
  </si>
  <si>
    <t>Remington Trails II Townhome Association</t>
  </si>
  <si>
    <t>Round Lake, IL 60073</t>
  </si>
  <si>
    <t>1528-32</t>
  </si>
  <si>
    <t>1</t>
  </si>
  <si>
    <t>W Remington Lane</t>
  </si>
  <si>
    <t xml:space="preserve">1514-18 </t>
  </si>
  <si>
    <t xml:space="preserve">1500-04 </t>
  </si>
  <si>
    <t xml:space="preserve">1476-80 </t>
  </si>
  <si>
    <t xml:space="preserve">1454-58 </t>
  </si>
  <si>
    <t>Fox Trail</t>
  </si>
  <si>
    <t xml:space="preserve">Business Income </t>
  </si>
  <si>
    <t xml:space="preserve">1429-33 </t>
  </si>
  <si>
    <t xml:space="preserve">1520-26 </t>
  </si>
  <si>
    <t xml:space="preserve">1506-12 </t>
  </si>
  <si>
    <t xml:space="preserve">1492-98 </t>
  </si>
  <si>
    <t xml:space="preserve">1473-79 </t>
  </si>
  <si>
    <t xml:space="preserve">1468-74 </t>
  </si>
  <si>
    <t xml:space="preserve">1461-71 </t>
  </si>
  <si>
    <t xml:space="preserve">1460-66 </t>
  </si>
  <si>
    <t xml:space="preserve">1453-59 </t>
  </si>
  <si>
    <t xml:space="preserve">1446-52 </t>
  </si>
  <si>
    <t xml:space="preserve">1438-44 </t>
  </si>
  <si>
    <t xml:space="preserve">1430-36 </t>
  </si>
  <si>
    <t xml:space="preserve">1422-28 </t>
  </si>
  <si>
    <t xml:space="preserve">1414-20 </t>
  </si>
  <si>
    <t xml:space="preserve">1406-12 </t>
  </si>
  <si>
    <t xml:space="preserve">678-96 </t>
  </si>
  <si>
    <t xml:space="preserve">619-43 </t>
  </si>
  <si>
    <t xml:space="preserve">645-57 </t>
  </si>
  <si>
    <t xml:space="preserve">636-52 </t>
  </si>
  <si>
    <t xml:space="preserve">1521-29 </t>
  </si>
  <si>
    <t xml:space="preserve">1531-39 </t>
  </si>
  <si>
    <t xml:space="preserve">1501-09 </t>
  </si>
  <si>
    <t xml:space="preserve">1482-1490 </t>
  </si>
  <si>
    <t xml:space="preserve">1409-1417 </t>
  </si>
  <si>
    <t xml:space="preserve">1419-1427 </t>
  </si>
  <si>
    <t>1541-49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</si>
</sst>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3">
    <xf numFmtId="0" fontId="0" fillId="0" borderId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 applyBorder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0" borderId="0" applyBorder="0"/>
    <xf numFmtId="0" fontId="7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4" fontId="0" fillId="0" borderId="0" xfId="0" applyNumberFormat="1"/>
    <xf numFmtId="0" fontId="1" fillId="0" borderId="0" xfId="0" applyFont="1"/>
    <xf numFmtId="0" fontId="2" fillId="0" borderId="0" xfId="0" applyFont="1"/>
    <xf numFmtId="164" fontId="1" fillId="2" borderId="0" xfId="0" applyNumberFormat="1" applyFont="1" applyFill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4" xfId="0" applyFont="1" applyBorder="1"/>
    <xf numFmtId="0" fontId="4" fillId="0" borderId="5" xfId="0" applyFont="1" applyBorder="1"/>
    <xf numFmtId="0" fontId="4" fillId="0" borderId="1" xfId="0" applyFont="1" applyBorder="1"/>
    <xf numFmtId="0" fontId="5" fillId="0" borderId="4" xfId="0" applyFont="1" applyBorder="1"/>
    <xf numFmtId="0" fontId="5" fillId="0" borderId="5" xfId="0" applyFont="1" applyBorder="1"/>
    <xf numFmtId="164" fontId="5" fillId="0" borderId="1" xfId="0" applyNumberFormat="1" applyFont="1" applyBorder="1"/>
    <xf numFmtId="0" fontId="5" fillId="0" borderId="2" xfId="0" applyFont="1" applyBorder="1"/>
    <xf numFmtId="0" fontId="5" fillId="0" borderId="0" xfId="0" applyFont="1"/>
    <xf numFmtId="0" fontId="5" fillId="0" borderId="3" xfId="0" applyFont="1" applyBorder="1"/>
    <xf numFmtId="164" fontId="5" fillId="2" borderId="1" xfId="0" applyNumberFormat="1" applyFont="1" applyFill="1" applyBorder="1"/>
    <xf numFmtId="0" fontId="4" fillId="0" borderId="0" xfId="0" applyFont="1"/>
    <xf numFmtId="164" fontId="5" fillId="2" borderId="0" xfId="0" applyNumberFormat="1" applyFont="1" applyFill="1"/>
    <xf numFmtId="6" fontId="5" fillId="0" borderId="0" xfId="0" applyNumberFormat="1" applyFont="1"/>
    <xf numFmtId="0" fontId="5" fillId="3" borderId="0" xfId="0" applyFont="1" applyFill="1"/>
    <xf numFmtId="3" fontId="5" fillId="3" borderId="0" xfId="0" applyNumberFormat="1" applyFont="1" applyFill="1"/>
    <xf numFmtId="0" fontId="1" fillId="2" borderId="0" xfId="0" applyFont="1" applyFill="1"/>
    <xf numFmtId="0" fontId="4" fillId="2" borderId="0" xfId="0" applyFont="1" applyFill="1"/>
    <xf numFmtId="0" fontId="5" fillId="2" borderId="0" xfId="0" applyFont="1" applyFill="1"/>
    <xf numFmtId="6" fontId="5" fillId="0" borderId="1" xfId="0" applyNumberFormat="1" applyFont="1" applyBorder="1"/>
    <xf numFmtId="6" fontId="1" fillId="2" borderId="0" xfId="0" applyNumberFormat="1" applyFont="1" applyFill="1"/>
    <xf numFmtId="0" fontId="6" fillId="0" borderId="1" xfId="0" applyFont="1" applyBorder="1" applyAlignment="1">
      <alignment wrapText="1"/>
    </xf>
    <xf numFmtId="14" fontId="0" fillId="0" borderId="0" xfId="0" applyNumberFormat="1" applyAlignment="1">
      <alignment horizontal="center"/>
    </xf>
    <xf numFmtId="0" fontId="5" fillId="4" borderId="1" xfId="0" applyFont="1" applyFill="1" applyBorder="1"/>
    <xf numFmtId="3" fontId="5" fillId="4" borderId="1" xfId="0" applyNumberFormat="1" applyFont="1" applyFill="1" applyBorder="1"/>
    <xf numFmtId="0" fontId="0" fillId="4" borderId="0" xfId="0" applyFill="1"/>
    <xf numFmtId="49" fontId="5" fillId="4" borderId="1" xfId="0" applyNumberFormat="1" applyFont="1" applyFill="1" applyBorder="1" applyAlignment="1">
      <alignment horizontal="right"/>
    </xf>
    <xf numFmtId="0" fontId="0" fillId="0" borderId="1" xfId="0" applyBorder="1"/>
    <xf numFmtId="6" fontId="0" fillId="0" borderId="1" xfId="0" applyNumberFormat="1" applyBorder="1"/>
    <xf numFmtId="3" fontId="5" fillId="4" borderId="6" xfId="0" applyNumberFormat="1" applyFont="1" applyFill="1" applyBorder="1"/>
    <xf numFmtId="3" fontId="1" fillId="2" borderId="0" xfId="0" applyNumberFormat="1" applyFont="1" applyFill="1"/>
    <xf numFmtId="3" fontId="4" fillId="0" borderId="0" xfId="0" applyNumberFormat="1" applyFont="1"/>
    <xf numFmtId="164" fontId="0" fillId="4" borderId="0" xfId="0" applyNumberFormat="1" applyFill="1"/>
    <xf numFmtId="165" fontId="0" fillId="4" borderId="0" xfId="0" applyNumberFormat="1" applyFill="1"/>
    <xf numFmtId="44" fontId="0" fillId="4" borderId="0" xfId="1" applyFont="1" applyFill="1"/>
    <xf numFmtId="0" fontId="0" fillId="0" borderId="7" xfId="0" applyBorder="1"/>
    <xf numFmtId="166" fontId="7" fillId="0" borderId="1" xfId="2" applyNumberFormat="1" applyFont="1" applyBorder="1" applyAlignment="1">
      <alignment horizontal="right"/>
    </xf>
    <xf numFmtId="166" fontId="0" fillId="0" borderId="1" xfId="2" applyNumberFormat="1" applyFont="1" applyFill="1" applyBorder="1" applyAlignment="1" applyProtection="1">
      <alignment horizontal="right"/>
      <protection locked="0"/>
    </xf>
    <xf numFmtId="166" fontId="0" fillId="0" borderId="1" xfId="2" applyNumberFormat="1" applyFont="1" applyBorder="1" applyAlignment="1" applyProtection="1">
      <alignment horizontal="right"/>
      <protection locked="0"/>
    </xf>
    <xf numFmtId="0" fontId="0" fillId="0" borderId="0" xfId="0" applyAlignment="1">
      <alignment horizontal="left"/>
    </xf>
  </cellXfs>
  <cellStyles count="13">
    <cellStyle name="Comma" xfId="2" builtinId="3"/>
    <cellStyle name="Comma 2" xfId="5" xr:uid="{2092115D-D597-4819-994C-4E394FB31632}"/>
    <cellStyle name="Comma 3" xfId="6" xr:uid="{4D03DFDC-FA52-45F7-9780-09A192FE7695}"/>
    <cellStyle name="Comma 4" xfId="4" xr:uid="{68DFFE78-A5EF-466A-99F8-6A8FC76AAFBE}"/>
    <cellStyle name="Currency" xfId="1" builtinId="4"/>
    <cellStyle name="Currency 2" xfId="8" xr:uid="{34628643-7EEE-4446-9FEF-6FBEABB8BC99}"/>
    <cellStyle name="Currency 3" xfId="9" xr:uid="{7A6248B8-F43F-44E2-BB64-4F34485F5946}"/>
    <cellStyle name="Currency 4" xfId="10" xr:uid="{43AA2DD7-B36C-4BD1-9917-83F3863AC876}"/>
    <cellStyle name="Currency 5" xfId="7" xr:uid="{A5E28A20-4C62-42E9-9CF2-E115F544F1F7}"/>
    <cellStyle name="Normal" xfId="0" builtinId="0"/>
    <cellStyle name="Normal 2" xfId="11" xr:uid="{7AF5E1D2-30E0-456C-BFAE-72F7C05C7540}"/>
    <cellStyle name="Normal 3" xfId="12" xr:uid="{9253A7CF-C92A-44F5-AEB6-C8C27067FF56}"/>
    <cellStyle name="Normal 4" xfId="3" xr:uid="{CBF8E0CD-F6BC-42A2-A9AB-3A00D98F6683}"/>
  </cellStyles>
  <dxfs count="0"/>
  <tableStyles count="0" defaultTableStyle="TableStyleMedium9" defaultPivotStyle="PivotStyleLight16"/>
  <colors>
    <mruColors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1"/>
  <sheetViews>
    <sheetView tabSelected="1" topLeftCell="A2" zoomScale="90" zoomScaleNormal="90" zoomScalePageLayoutView="125" workbookViewId="0">
      <selection activeCell="H48" sqref="H48"/>
    </sheetView>
  </sheetViews>
  <sheetFormatPr defaultColWidth="8.85546875" defaultRowHeight="15" x14ac:dyDescent="0.25"/>
  <cols>
    <col min="1" max="1" width="11.7109375" customWidth="1"/>
    <col min="2" max="2" width="25" customWidth="1"/>
    <col min="3" max="3" width="26.42578125" customWidth="1"/>
    <col min="4" max="4" width="29.42578125" customWidth="1"/>
    <col min="5" max="5" width="9" customWidth="1"/>
    <col min="6" max="7" width="27.7109375" customWidth="1"/>
    <col min="8" max="8" width="27.85546875" customWidth="1"/>
    <col min="9" max="9" width="13.5703125" bestFit="1" customWidth="1"/>
    <col min="10" max="10" width="15" bestFit="1" customWidth="1"/>
    <col min="12" max="12" width="12" bestFit="1" customWidth="1"/>
  </cols>
  <sheetData>
    <row r="1" spans="1:10" ht="17.100000000000001" customHeight="1" x14ac:dyDescent="0.3">
      <c r="A1" s="7" t="s">
        <v>6</v>
      </c>
      <c r="B1" s="7"/>
      <c r="C1" s="47" t="s">
        <v>58</v>
      </c>
      <c r="D1" s="47"/>
      <c r="E1" s="47"/>
      <c r="F1" s="47"/>
      <c r="G1" s="47"/>
      <c r="H1" s="47"/>
    </row>
    <row r="2" spans="1:10" ht="17.25" x14ac:dyDescent="0.3">
      <c r="A2" s="8" t="s">
        <v>7</v>
      </c>
      <c r="B2" s="8"/>
      <c r="C2" s="30">
        <v>46033</v>
      </c>
      <c r="D2" s="1"/>
      <c r="E2" s="1"/>
      <c r="F2" s="1"/>
      <c r="G2" s="1"/>
      <c r="H2" s="1"/>
    </row>
    <row r="3" spans="1:10" ht="17.25" x14ac:dyDescent="0.3">
      <c r="A3" s="8" t="s">
        <v>53</v>
      </c>
      <c r="B3" s="8"/>
      <c r="C3" s="1" t="s">
        <v>59</v>
      </c>
      <c r="D3" s="1"/>
      <c r="E3" s="1"/>
      <c r="F3" s="1"/>
      <c r="G3" s="1"/>
      <c r="H3" s="1"/>
    </row>
    <row r="5" spans="1:10" s="2" customFormat="1" ht="34.5" x14ac:dyDescent="0.3">
      <c r="A5" s="29" t="s">
        <v>0</v>
      </c>
      <c r="B5" s="29" t="s">
        <v>4</v>
      </c>
      <c r="C5" s="29" t="s">
        <v>5</v>
      </c>
      <c r="D5" s="29" t="s">
        <v>13</v>
      </c>
      <c r="E5" s="29" t="s">
        <v>1</v>
      </c>
      <c r="F5" s="29" t="s">
        <v>2</v>
      </c>
      <c r="G5" s="29" t="s">
        <v>3</v>
      </c>
      <c r="H5" s="29" t="s">
        <v>68</v>
      </c>
    </row>
    <row r="6" spans="1:10" s="33" customFormat="1" ht="15.75" x14ac:dyDescent="0.25">
      <c r="A6" s="34" t="s">
        <v>61</v>
      </c>
      <c r="B6" s="31" t="s">
        <v>60</v>
      </c>
      <c r="C6" s="32" t="s">
        <v>62</v>
      </c>
      <c r="D6" s="46">
        <v>1175553</v>
      </c>
      <c r="E6" s="31">
        <v>3</v>
      </c>
      <c r="F6" s="32">
        <v>5028</v>
      </c>
      <c r="G6" s="32">
        <v>1080</v>
      </c>
      <c r="H6" s="32">
        <v>6690</v>
      </c>
      <c r="I6" s="41"/>
      <c r="J6" s="42"/>
    </row>
    <row r="7" spans="1:10" s="33" customFormat="1" ht="15.75" x14ac:dyDescent="0.25">
      <c r="A7" s="31">
        <v>2</v>
      </c>
      <c r="B7" s="35" t="s">
        <v>63</v>
      </c>
      <c r="C7" s="35" t="s">
        <v>62</v>
      </c>
      <c r="D7" s="46">
        <v>1175553</v>
      </c>
      <c r="E7" s="31">
        <v>3</v>
      </c>
      <c r="F7" s="32">
        <v>5028</v>
      </c>
      <c r="G7" s="32">
        <v>1080</v>
      </c>
      <c r="H7" s="32">
        <v>6690</v>
      </c>
      <c r="I7" s="41"/>
      <c r="J7" s="42"/>
    </row>
    <row r="8" spans="1:10" s="33" customFormat="1" ht="15.75" x14ac:dyDescent="0.25">
      <c r="A8" s="31">
        <v>3</v>
      </c>
      <c r="B8" s="31" t="s">
        <v>64</v>
      </c>
      <c r="C8" s="35" t="s">
        <v>62</v>
      </c>
      <c r="D8" s="46">
        <v>1175553</v>
      </c>
      <c r="E8" s="31">
        <v>3</v>
      </c>
      <c r="F8" s="32">
        <v>5028</v>
      </c>
      <c r="G8" s="32">
        <v>1080</v>
      </c>
      <c r="H8" s="32">
        <v>6690</v>
      </c>
      <c r="I8" s="41"/>
      <c r="J8" s="42"/>
    </row>
    <row r="9" spans="1:10" s="33" customFormat="1" ht="15.75" x14ac:dyDescent="0.25">
      <c r="A9" s="31">
        <v>4</v>
      </c>
      <c r="B9" s="35" t="s">
        <v>65</v>
      </c>
      <c r="C9" s="35" t="s">
        <v>62</v>
      </c>
      <c r="D9" s="46">
        <v>1175553</v>
      </c>
      <c r="E9" s="31">
        <v>3</v>
      </c>
      <c r="F9" s="32">
        <v>5028</v>
      </c>
      <c r="G9" s="32">
        <v>1080</v>
      </c>
      <c r="H9" s="32">
        <v>6690</v>
      </c>
      <c r="I9" s="41"/>
      <c r="J9" s="42"/>
    </row>
    <row r="10" spans="1:10" s="33" customFormat="1" ht="15.75" x14ac:dyDescent="0.25">
      <c r="A10" s="31">
        <v>5</v>
      </c>
      <c r="B10" s="35" t="s">
        <v>66</v>
      </c>
      <c r="C10" s="35" t="s">
        <v>62</v>
      </c>
      <c r="D10" s="46">
        <v>1175553</v>
      </c>
      <c r="E10" s="31">
        <v>3</v>
      </c>
      <c r="F10" s="32">
        <v>5028</v>
      </c>
      <c r="G10" s="32">
        <v>1080</v>
      </c>
      <c r="H10" s="32">
        <v>6690</v>
      </c>
      <c r="I10" s="41"/>
      <c r="J10" s="42"/>
    </row>
    <row r="11" spans="1:10" s="33" customFormat="1" ht="15.75" x14ac:dyDescent="0.25">
      <c r="A11" s="31">
        <v>6</v>
      </c>
      <c r="B11" s="35" t="s">
        <v>69</v>
      </c>
      <c r="C11" s="35" t="s">
        <v>62</v>
      </c>
      <c r="D11" s="46">
        <v>1175553</v>
      </c>
      <c r="E11" s="31">
        <v>3</v>
      </c>
      <c r="F11" s="32">
        <v>5028</v>
      </c>
      <c r="G11" s="32">
        <v>1080</v>
      </c>
      <c r="H11" s="32">
        <v>6690</v>
      </c>
      <c r="I11" s="41"/>
      <c r="J11" s="42"/>
    </row>
    <row r="12" spans="1:10" s="33" customFormat="1" ht="15.75" x14ac:dyDescent="0.25">
      <c r="A12" s="31">
        <v>7</v>
      </c>
      <c r="B12" s="35" t="s">
        <v>94</v>
      </c>
      <c r="C12" s="35" t="s">
        <v>62</v>
      </c>
      <c r="D12" s="45">
        <v>1508478</v>
      </c>
      <c r="E12" s="31">
        <v>4</v>
      </c>
      <c r="F12" s="32">
        <v>6704</v>
      </c>
      <c r="G12" s="32">
        <v>1440</v>
      </c>
      <c r="H12" s="36">
        <v>8919</v>
      </c>
      <c r="I12" s="41"/>
      <c r="J12" s="42"/>
    </row>
    <row r="13" spans="1:10" s="33" customFormat="1" ht="15.75" x14ac:dyDescent="0.25">
      <c r="A13" s="31">
        <v>8</v>
      </c>
      <c r="B13" s="35" t="s">
        <v>70</v>
      </c>
      <c r="C13" s="35" t="s">
        <v>62</v>
      </c>
      <c r="D13" s="45">
        <v>1508478</v>
      </c>
      <c r="E13" s="31">
        <v>4</v>
      </c>
      <c r="F13" s="32">
        <v>6704</v>
      </c>
      <c r="G13" s="32">
        <v>1440</v>
      </c>
      <c r="H13" s="36">
        <v>8919</v>
      </c>
      <c r="I13" s="41"/>
      <c r="J13" s="42"/>
    </row>
    <row r="14" spans="1:10" s="33" customFormat="1" ht="15.75" x14ac:dyDescent="0.25">
      <c r="A14" s="31">
        <v>9</v>
      </c>
      <c r="B14" s="35" t="s">
        <v>71</v>
      </c>
      <c r="C14" s="35" t="s">
        <v>62</v>
      </c>
      <c r="D14" s="45">
        <v>1508478</v>
      </c>
      <c r="E14" s="31">
        <v>4</v>
      </c>
      <c r="F14" s="32">
        <v>6704</v>
      </c>
      <c r="G14" s="32">
        <v>1440</v>
      </c>
      <c r="H14" s="36">
        <v>8919</v>
      </c>
      <c r="I14" s="41"/>
      <c r="J14" s="42"/>
    </row>
    <row r="15" spans="1:10" s="33" customFormat="1" ht="15.75" x14ac:dyDescent="0.25">
      <c r="A15" s="31">
        <v>10</v>
      </c>
      <c r="B15" s="35" t="s">
        <v>72</v>
      </c>
      <c r="C15" s="35" t="s">
        <v>62</v>
      </c>
      <c r="D15" s="45">
        <v>1508478</v>
      </c>
      <c r="E15" s="31">
        <v>4</v>
      </c>
      <c r="F15" s="32">
        <v>6704</v>
      </c>
      <c r="G15" s="32">
        <v>1440</v>
      </c>
      <c r="H15" s="36">
        <v>8919</v>
      </c>
      <c r="I15" s="41"/>
      <c r="J15" s="42"/>
    </row>
    <row r="16" spans="1:10" s="33" customFormat="1" ht="15.75" x14ac:dyDescent="0.25">
      <c r="A16" s="31">
        <v>11</v>
      </c>
      <c r="B16" s="35" t="s">
        <v>73</v>
      </c>
      <c r="C16" s="35" t="s">
        <v>62</v>
      </c>
      <c r="D16" s="45">
        <v>1508478</v>
      </c>
      <c r="E16" s="31">
        <v>4</v>
      </c>
      <c r="F16" s="32">
        <v>6704</v>
      </c>
      <c r="G16" s="32">
        <v>1440</v>
      </c>
      <c r="H16" s="36">
        <v>8919</v>
      </c>
      <c r="I16" s="41"/>
      <c r="J16" s="42"/>
    </row>
    <row r="17" spans="1:12" s="33" customFormat="1" ht="15.75" x14ac:dyDescent="0.25">
      <c r="A17" s="31">
        <v>12</v>
      </c>
      <c r="B17" s="35" t="s">
        <v>74</v>
      </c>
      <c r="C17" s="35" t="s">
        <v>62</v>
      </c>
      <c r="D17" s="45">
        <v>1508478</v>
      </c>
      <c r="E17" s="31">
        <v>4</v>
      </c>
      <c r="F17" s="32">
        <v>6704</v>
      </c>
      <c r="G17" s="32">
        <v>1440</v>
      </c>
      <c r="H17" s="36">
        <v>8919</v>
      </c>
      <c r="I17" s="41"/>
      <c r="J17" s="42"/>
    </row>
    <row r="18" spans="1:12" s="33" customFormat="1" ht="15.75" x14ac:dyDescent="0.25">
      <c r="A18" s="31">
        <v>13</v>
      </c>
      <c r="B18" s="35" t="s">
        <v>75</v>
      </c>
      <c r="C18" s="35" t="s">
        <v>62</v>
      </c>
      <c r="D18" s="45">
        <v>1508478</v>
      </c>
      <c r="E18" s="31">
        <v>4</v>
      </c>
      <c r="F18" s="32">
        <v>6704</v>
      </c>
      <c r="G18" s="32">
        <v>1440</v>
      </c>
      <c r="H18" s="36">
        <v>8919</v>
      </c>
      <c r="I18" s="41"/>
      <c r="J18" s="42"/>
    </row>
    <row r="19" spans="1:12" s="33" customFormat="1" ht="15.75" x14ac:dyDescent="0.25">
      <c r="A19" s="31">
        <v>14</v>
      </c>
      <c r="B19" s="35" t="s">
        <v>76</v>
      </c>
      <c r="C19" s="35" t="s">
        <v>62</v>
      </c>
      <c r="D19" s="45">
        <v>1508478</v>
      </c>
      <c r="E19" s="31">
        <v>4</v>
      </c>
      <c r="F19" s="32">
        <v>6704</v>
      </c>
      <c r="G19" s="32">
        <v>1440</v>
      </c>
      <c r="H19" s="36">
        <v>8919</v>
      </c>
      <c r="I19" s="41"/>
      <c r="J19" s="42"/>
    </row>
    <row r="20" spans="1:12" s="33" customFormat="1" ht="15.75" x14ac:dyDescent="0.25">
      <c r="A20" s="31">
        <v>15</v>
      </c>
      <c r="B20" s="35" t="s">
        <v>77</v>
      </c>
      <c r="C20" s="35" t="s">
        <v>62</v>
      </c>
      <c r="D20" s="45">
        <v>1508478</v>
      </c>
      <c r="E20" s="31">
        <v>4</v>
      </c>
      <c r="F20" s="32">
        <v>6704</v>
      </c>
      <c r="G20" s="32">
        <v>1440</v>
      </c>
      <c r="H20" s="36">
        <v>8919</v>
      </c>
      <c r="I20" s="41"/>
      <c r="J20" s="42"/>
    </row>
    <row r="21" spans="1:12" s="33" customFormat="1" ht="15.75" x14ac:dyDescent="0.25">
      <c r="A21" s="31">
        <v>16</v>
      </c>
      <c r="B21" s="35" t="s">
        <v>78</v>
      </c>
      <c r="C21" s="35" t="s">
        <v>62</v>
      </c>
      <c r="D21" s="45">
        <v>1508478</v>
      </c>
      <c r="E21" s="31">
        <v>4</v>
      </c>
      <c r="F21" s="32">
        <v>6704</v>
      </c>
      <c r="G21" s="32">
        <v>1440</v>
      </c>
      <c r="H21" s="36">
        <v>8919</v>
      </c>
      <c r="I21" s="41"/>
      <c r="J21" s="42"/>
    </row>
    <row r="22" spans="1:12" s="33" customFormat="1" ht="15.75" x14ac:dyDescent="0.25">
      <c r="A22" s="31">
        <v>17</v>
      </c>
      <c r="B22" s="35" t="s">
        <v>79</v>
      </c>
      <c r="C22" s="35" t="s">
        <v>62</v>
      </c>
      <c r="D22" s="45">
        <v>1508478</v>
      </c>
      <c r="E22" s="31">
        <v>4</v>
      </c>
      <c r="F22" s="32">
        <v>6704</v>
      </c>
      <c r="G22" s="32">
        <v>1440</v>
      </c>
      <c r="H22" s="36">
        <v>8919</v>
      </c>
      <c r="I22" s="41"/>
      <c r="J22" s="42"/>
    </row>
    <row r="23" spans="1:12" s="33" customFormat="1" ht="15.75" x14ac:dyDescent="0.25">
      <c r="A23" s="31">
        <v>18</v>
      </c>
      <c r="B23" s="35" t="s">
        <v>80</v>
      </c>
      <c r="C23" s="35" t="s">
        <v>62</v>
      </c>
      <c r="D23" s="45">
        <v>1508478</v>
      </c>
      <c r="E23" s="31">
        <v>4</v>
      </c>
      <c r="F23" s="32">
        <v>6704</v>
      </c>
      <c r="G23" s="32">
        <v>1440</v>
      </c>
      <c r="H23" s="36">
        <v>8919</v>
      </c>
      <c r="I23" s="41"/>
      <c r="J23" s="42"/>
    </row>
    <row r="24" spans="1:12" s="33" customFormat="1" ht="15.75" x14ac:dyDescent="0.25">
      <c r="A24" s="31">
        <v>19</v>
      </c>
      <c r="B24" s="35" t="s">
        <v>81</v>
      </c>
      <c r="C24" s="35" t="s">
        <v>62</v>
      </c>
      <c r="D24" s="45">
        <v>1508478</v>
      </c>
      <c r="E24" s="31">
        <v>4</v>
      </c>
      <c r="F24" s="32">
        <v>6704</v>
      </c>
      <c r="G24" s="32">
        <v>1440</v>
      </c>
      <c r="H24" s="36">
        <v>8919</v>
      </c>
      <c r="I24" s="41"/>
      <c r="J24" s="42"/>
    </row>
    <row r="25" spans="1:12" s="33" customFormat="1" ht="15.75" x14ac:dyDescent="0.25">
      <c r="A25" s="31">
        <v>20</v>
      </c>
      <c r="B25" s="35" t="s">
        <v>82</v>
      </c>
      <c r="C25" s="35" t="s">
        <v>62</v>
      </c>
      <c r="D25" s="45">
        <v>1508478</v>
      </c>
      <c r="E25" s="31">
        <v>4</v>
      </c>
      <c r="F25" s="32">
        <v>6704</v>
      </c>
      <c r="G25" s="32">
        <v>1440</v>
      </c>
      <c r="H25" s="36">
        <v>8919</v>
      </c>
      <c r="I25" s="41"/>
      <c r="J25" s="42"/>
    </row>
    <row r="26" spans="1:12" s="33" customFormat="1" ht="15.75" x14ac:dyDescent="0.25">
      <c r="A26" s="31">
        <v>21</v>
      </c>
      <c r="B26" s="35" t="s">
        <v>83</v>
      </c>
      <c r="C26" s="35" t="s">
        <v>62</v>
      </c>
      <c r="D26" s="45">
        <v>1508478</v>
      </c>
      <c r="E26" s="31">
        <v>4</v>
      </c>
      <c r="F26" s="32">
        <v>6704</v>
      </c>
      <c r="G26" s="32">
        <v>1440</v>
      </c>
      <c r="H26" s="36">
        <v>8919</v>
      </c>
      <c r="I26" s="41"/>
      <c r="J26" s="42"/>
    </row>
    <row r="27" spans="1:12" s="33" customFormat="1" ht="15.75" x14ac:dyDescent="0.25">
      <c r="A27" s="31">
        <v>22</v>
      </c>
      <c r="B27" s="35" t="s">
        <v>84</v>
      </c>
      <c r="C27" s="35" t="s">
        <v>67</v>
      </c>
      <c r="D27" s="45">
        <v>1508478</v>
      </c>
      <c r="E27" s="31">
        <v>4</v>
      </c>
      <c r="F27" s="32">
        <v>6704</v>
      </c>
      <c r="G27" s="32">
        <v>1440</v>
      </c>
      <c r="H27" s="36">
        <v>8919</v>
      </c>
      <c r="I27" s="41"/>
      <c r="J27" s="42"/>
      <c r="L27" s="40"/>
    </row>
    <row r="28" spans="1:12" s="33" customFormat="1" ht="15.75" x14ac:dyDescent="0.25">
      <c r="A28" s="31">
        <v>23</v>
      </c>
      <c r="B28" s="35" t="s">
        <v>85</v>
      </c>
      <c r="C28" s="35" t="s">
        <v>67</v>
      </c>
      <c r="D28" s="44">
        <v>2154041</v>
      </c>
      <c r="E28" s="31">
        <v>5</v>
      </c>
      <c r="F28" s="37">
        <v>10145</v>
      </c>
      <c r="G28" s="32">
        <v>1800</v>
      </c>
      <c r="H28" s="36">
        <v>13497</v>
      </c>
      <c r="I28" s="41"/>
      <c r="J28" s="42"/>
      <c r="L28" s="41"/>
    </row>
    <row r="29" spans="1:12" s="33" customFormat="1" ht="15.75" x14ac:dyDescent="0.25">
      <c r="A29" s="31">
        <v>24</v>
      </c>
      <c r="B29" s="35" t="s">
        <v>86</v>
      </c>
      <c r="C29" s="35" t="s">
        <v>67</v>
      </c>
      <c r="D29" s="44">
        <v>2154041</v>
      </c>
      <c r="E29" s="31">
        <v>5</v>
      </c>
      <c r="F29" s="37">
        <v>10145</v>
      </c>
      <c r="G29" s="32">
        <v>1800</v>
      </c>
      <c r="H29" s="36">
        <v>13497</v>
      </c>
      <c r="I29" s="41"/>
      <c r="J29" s="42"/>
    </row>
    <row r="30" spans="1:12" s="33" customFormat="1" ht="15.75" x14ac:dyDescent="0.25">
      <c r="A30" s="31">
        <v>25</v>
      </c>
      <c r="B30" s="35" t="s">
        <v>87</v>
      </c>
      <c r="C30" s="35" t="s">
        <v>67</v>
      </c>
      <c r="D30" s="44">
        <v>2154041</v>
      </c>
      <c r="E30" s="31">
        <v>5</v>
      </c>
      <c r="F30" s="37">
        <v>10145</v>
      </c>
      <c r="G30" s="32">
        <v>1800</v>
      </c>
      <c r="H30" s="36">
        <v>13497</v>
      </c>
      <c r="I30" s="41"/>
      <c r="J30" s="42"/>
    </row>
    <row r="31" spans="1:12" s="33" customFormat="1" ht="15.75" x14ac:dyDescent="0.25">
      <c r="A31" s="31">
        <v>26</v>
      </c>
      <c r="B31" s="35" t="s">
        <v>88</v>
      </c>
      <c r="C31" s="35" t="s">
        <v>62</v>
      </c>
      <c r="D31" s="44">
        <v>2154041</v>
      </c>
      <c r="E31" s="31">
        <v>5</v>
      </c>
      <c r="F31" s="37">
        <v>10145</v>
      </c>
      <c r="G31" s="32">
        <v>1800</v>
      </c>
      <c r="H31" s="36">
        <v>13497</v>
      </c>
      <c r="I31" s="41"/>
      <c r="J31" s="42"/>
    </row>
    <row r="32" spans="1:12" s="33" customFormat="1" ht="15.75" x14ac:dyDescent="0.25">
      <c r="A32" s="31">
        <v>27</v>
      </c>
      <c r="B32" s="35" t="s">
        <v>89</v>
      </c>
      <c r="C32" s="35" t="s">
        <v>62</v>
      </c>
      <c r="D32" s="44">
        <v>2154041</v>
      </c>
      <c r="E32" s="31">
        <v>5</v>
      </c>
      <c r="F32" s="32">
        <v>10145</v>
      </c>
      <c r="G32" s="32">
        <v>1800</v>
      </c>
      <c r="H32" s="36">
        <v>13497</v>
      </c>
      <c r="I32" s="41"/>
      <c r="J32" s="42"/>
    </row>
    <row r="33" spans="1:10" s="33" customFormat="1" ht="15.75" x14ac:dyDescent="0.25">
      <c r="A33" s="31">
        <v>28</v>
      </c>
      <c r="B33" s="35" t="s">
        <v>90</v>
      </c>
      <c r="C33" s="35" t="s">
        <v>62</v>
      </c>
      <c r="D33" s="44">
        <v>2154041</v>
      </c>
      <c r="E33" s="31">
        <v>5</v>
      </c>
      <c r="F33" s="32">
        <v>10145</v>
      </c>
      <c r="G33" s="32">
        <v>1800</v>
      </c>
      <c r="H33" s="36">
        <v>13497</v>
      </c>
      <c r="I33" s="41"/>
      <c r="J33" s="42"/>
    </row>
    <row r="34" spans="1:10" s="33" customFormat="1" ht="15.75" x14ac:dyDescent="0.25">
      <c r="A34" s="31">
        <v>29</v>
      </c>
      <c r="B34" s="35" t="s">
        <v>91</v>
      </c>
      <c r="C34" s="35" t="s">
        <v>62</v>
      </c>
      <c r="D34" s="44">
        <v>2154041</v>
      </c>
      <c r="E34" s="31">
        <v>5</v>
      </c>
      <c r="F34" s="32">
        <v>10145</v>
      </c>
      <c r="G34" s="32">
        <v>1800</v>
      </c>
      <c r="H34" s="36">
        <v>13497</v>
      </c>
      <c r="I34" s="41"/>
      <c r="J34" s="42"/>
    </row>
    <row r="35" spans="1:10" s="33" customFormat="1" ht="15.75" x14ac:dyDescent="0.25">
      <c r="A35" s="31">
        <v>30</v>
      </c>
      <c r="B35" s="35" t="s">
        <v>92</v>
      </c>
      <c r="C35" s="35" t="s">
        <v>62</v>
      </c>
      <c r="D35" s="44">
        <v>2154041</v>
      </c>
      <c r="E35" s="31">
        <v>5</v>
      </c>
      <c r="F35" s="32">
        <v>10145</v>
      </c>
      <c r="G35" s="32">
        <v>1800</v>
      </c>
      <c r="H35" s="36">
        <v>13497</v>
      </c>
      <c r="I35" s="41"/>
      <c r="J35" s="42"/>
    </row>
    <row r="36" spans="1:10" s="33" customFormat="1" ht="15.75" x14ac:dyDescent="0.25">
      <c r="A36" s="31">
        <v>31</v>
      </c>
      <c r="B36" s="35" t="s">
        <v>93</v>
      </c>
      <c r="C36" s="35" t="s">
        <v>62</v>
      </c>
      <c r="D36" s="44">
        <v>2154041</v>
      </c>
      <c r="E36" s="31">
        <v>5</v>
      </c>
      <c r="F36" s="32">
        <v>10145</v>
      </c>
      <c r="G36" s="32">
        <v>1800</v>
      </c>
      <c r="H36" s="36">
        <v>13497</v>
      </c>
      <c r="I36" s="41"/>
      <c r="J36" s="42"/>
    </row>
    <row r="37" spans="1:10" ht="15.75" x14ac:dyDescent="0.25">
      <c r="A37" s="25" t="s">
        <v>44</v>
      </c>
      <c r="B37" s="26"/>
      <c r="C37" s="26"/>
      <c r="D37" s="20">
        <f>SUM(D6:D36)</f>
        <v>50575335</v>
      </c>
      <c r="E37" s="22">
        <f>SUM(E6:E36)</f>
        <v>127</v>
      </c>
      <c r="F37" s="23">
        <f>SUM(F6:F36)</f>
        <v>228737</v>
      </c>
      <c r="G37" s="23">
        <f>SUM(G6:G36)</f>
        <v>45720</v>
      </c>
      <c r="H37" s="23">
        <f>SUM(H6:H36)</f>
        <v>304317</v>
      </c>
    </row>
    <row r="38" spans="1:10" x14ac:dyDescent="0.25">
      <c r="D38" s="3"/>
    </row>
    <row r="39" spans="1:10" ht="15.75" x14ac:dyDescent="0.25">
      <c r="A39" s="9" t="s">
        <v>15</v>
      </c>
      <c r="B39" s="10"/>
      <c r="C39" s="11" t="s">
        <v>8</v>
      </c>
      <c r="D39" s="16" t="s">
        <v>49</v>
      </c>
      <c r="E39" s="1">
        <v>2</v>
      </c>
      <c r="F39" s="19" t="s">
        <v>47</v>
      </c>
      <c r="G39" s="39"/>
      <c r="H39" s="23">
        <f>F37+G37</f>
        <v>274457</v>
      </c>
    </row>
    <row r="40" spans="1:10" ht="15.75" x14ac:dyDescent="0.25">
      <c r="A40" s="12" t="s">
        <v>55</v>
      </c>
      <c r="B40" s="13"/>
      <c r="C40" s="14"/>
      <c r="D40" s="16" t="s">
        <v>22</v>
      </c>
    </row>
    <row r="41" spans="1:10" ht="15.75" x14ac:dyDescent="0.25">
      <c r="A41" s="12" t="s">
        <v>10</v>
      </c>
      <c r="B41" s="13"/>
      <c r="C41" s="14"/>
      <c r="D41" s="16" t="s">
        <v>16</v>
      </c>
    </row>
    <row r="42" spans="1:10" ht="15.75" x14ac:dyDescent="0.25">
      <c r="A42" s="12" t="s">
        <v>9</v>
      </c>
      <c r="B42" s="13"/>
      <c r="C42" s="14"/>
      <c r="D42" s="16" t="s">
        <v>17</v>
      </c>
      <c r="E42" t="s">
        <v>34</v>
      </c>
    </row>
    <row r="43" spans="1:10" ht="15.75" x14ac:dyDescent="0.25">
      <c r="A43" s="12" t="s">
        <v>50</v>
      </c>
      <c r="B43" s="13"/>
      <c r="C43" s="14"/>
      <c r="D43" s="16" t="s">
        <v>18</v>
      </c>
      <c r="E43" t="s">
        <v>36</v>
      </c>
    </row>
    <row r="44" spans="1:10" ht="15.75" x14ac:dyDescent="0.25">
      <c r="A44" s="12" t="s">
        <v>11</v>
      </c>
      <c r="B44" s="13"/>
      <c r="C44" s="14"/>
      <c r="D44" s="16" t="s">
        <v>39</v>
      </c>
      <c r="E44" t="s">
        <v>40</v>
      </c>
    </row>
    <row r="45" spans="1:10" ht="15.75" x14ac:dyDescent="0.25">
      <c r="A45" s="12" t="s">
        <v>12</v>
      </c>
      <c r="B45" s="13"/>
      <c r="C45" s="14"/>
      <c r="D45" s="16" t="s">
        <v>48</v>
      </c>
      <c r="E45" s="1">
        <v>2004</v>
      </c>
    </row>
    <row r="46" spans="1:10" ht="18.75" x14ac:dyDescent="0.3">
      <c r="A46" s="12" t="s">
        <v>52</v>
      </c>
      <c r="B46" s="13"/>
      <c r="C46" s="14"/>
      <c r="D46" s="5" t="s">
        <v>19</v>
      </c>
      <c r="E46" s="4"/>
      <c r="F46" s="4"/>
      <c r="G46" s="4"/>
      <c r="H46" s="6">
        <f>D37</f>
        <v>50575335</v>
      </c>
    </row>
    <row r="47" spans="1:10" ht="18.75" x14ac:dyDescent="0.3">
      <c r="A47" s="12" t="s">
        <v>51</v>
      </c>
      <c r="B47" s="13"/>
      <c r="C47" s="27"/>
      <c r="D47" s="5" t="s">
        <v>20</v>
      </c>
      <c r="E47" s="4"/>
      <c r="F47" s="4"/>
      <c r="G47" s="4"/>
      <c r="H47" s="28" t="s">
        <v>54</v>
      </c>
    </row>
    <row r="48" spans="1:10" ht="18.75" x14ac:dyDescent="0.3">
      <c r="A48" s="15"/>
      <c r="B48" s="16"/>
      <c r="C48" s="17"/>
      <c r="D48" s="5" t="s">
        <v>46</v>
      </c>
      <c r="E48" s="4"/>
      <c r="F48" s="24" t="s">
        <v>56</v>
      </c>
      <c r="G48" s="38"/>
      <c r="H48" s="24" t="s">
        <v>57</v>
      </c>
    </row>
    <row r="49" spans="1:8" ht="18.75" x14ac:dyDescent="0.3">
      <c r="A49" s="9" t="s">
        <v>14</v>
      </c>
      <c r="B49" s="10"/>
      <c r="C49" s="18">
        <f>SUM(C40:C48)</f>
        <v>0</v>
      </c>
      <c r="D49" s="5" t="s">
        <v>21</v>
      </c>
      <c r="E49" s="4"/>
      <c r="F49" s="6"/>
      <c r="G49" s="6" t="s">
        <v>45</v>
      </c>
      <c r="H49" s="6">
        <v>304317</v>
      </c>
    </row>
    <row r="51" spans="1:8" x14ac:dyDescent="0.25">
      <c r="D51" s="43"/>
      <c r="E51" s="43"/>
      <c r="F51" s="43"/>
    </row>
  </sheetData>
  <mergeCells count="1">
    <mergeCell ref="C1:H1"/>
  </mergeCells>
  <dataValidations count="6">
    <dataValidation type="list" allowBlank="1" showInputMessage="1" showErrorMessage="1" sqref="E40" xr:uid="{00000000-0002-0000-0000-000000000000}">
      <formula1>rooftype</formula1>
    </dataValidation>
    <dataValidation type="list" allowBlank="1" showInputMessage="1" showErrorMessage="1" sqref="E42" xr:uid="{00000000-0002-0000-0000-000001000000}">
      <formula1>sprinklered</formula1>
    </dataValidation>
    <dataValidation type="list" allowBlank="1" showInputMessage="1" showErrorMessage="1" sqref="E43" xr:uid="{00000000-0002-0000-0000-000002000000}">
      <formula1>smokedetector</formula1>
    </dataValidation>
    <dataValidation type="list" allowBlank="1" showInputMessage="1" showErrorMessage="1" sqref="E44" xr:uid="{00000000-0002-0000-0000-000003000000}">
      <formula1>construction</formula1>
    </dataValidation>
    <dataValidation type="list" allowBlank="1" showInputMessage="1" showErrorMessage="1" sqref="F49:H49" xr:uid="{00000000-0002-0000-0000-000004000000}">
      <formula1>assocfees</formula1>
    </dataValidation>
    <dataValidation type="list" allowBlank="1" showInputMessage="1" showErrorMessage="1" sqref="E41" xr:uid="{00000000-0002-0000-0000-000005000000}">
      <formula1>garagetype</formula1>
    </dataValidation>
  </dataValidations>
  <pageMargins left="0.25" right="0.25" top="0.75" bottom="0.75" header="0.3" footer="0.3"/>
  <pageSetup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F1" sqref="F1"/>
    </sheetView>
  </sheetViews>
  <sheetFormatPr defaultColWidth="8.85546875" defaultRowHeight="15" x14ac:dyDescent="0.25"/>
  <cols>
    <col min="2" max="2" width="28.42578125" customWidth="1"/>
    <col min="4" max="4" width="11.28515625" bestFit="1" customWidth="1"/>
    <col min="5" max="5" width="28.42578125" bestFit="1" customWidth="1"/>
    <col min="6" max="6" width="27.42578125" bestFit="1" customWidth="1"/>
  </cols>
  <sheetData>
    <row r="1" spans="1:7" ht="15.75" x14ac:dyDescent="0.25">
      <c r="A1" s="16" t="s">
        <v>23</v>
      </c>
      <c r="B1" s="16" t="s">
        <v>32</v>
      </c>
      <c r="C1" s="16" t="s">
        <v>33</v>
      </c>
      <c r="D1" s="16" t="s">
        <v>36</v>
      </c>
      <c r="E1" s="16" t="s">
        <v>40</v>
      </c>
      <c r="F1" s="21">
        <v>100000</v>
      </c>
    </row>
    <row r="2" spans="1:7" ht="15.75" x14ac:dyDescent="0.25">
      <c r="A2" s="16" t="s">
        <v>24</v>
      </c>
      <c r="B2" s="16" t="s">
        <v>27</v>
      </c>
      <c r="C2" s="16" t="s">
        <v>34</v>
      </c>
      <c r="D2" s="16" t="s">
        <v>37</v>
      </c>
      <c r="E2" s="16" t="s">
        <v>41</v>
      </c>
      <c r="F2" s="16" t="s">
        <v>45</v>
      </c>
    </row>
    <row r="3" spans="1:7" ht="15.75" x14ac:dyDescent="0.25">
      <c r="A3" s="16" t="s">
        <v>25</v>
      </c>
      <c r="B3" s="16" t="s">
        <v>28</v>
      </c>
      <c r="C3" s="16" t="s">
        <v>35</v>
      </c>
      <c r="D3" s="16" t="s">
        <v>38</v>
      </c>
      <c r="E3" s="16" t="s">
        <v>42</v>
      </c>
      <c r="F3" s="16" t="s">
        <v>38</v>
      </c>
      <c r="G3" s="16"/>
    </row>
    <row r="4" spans="1:7" ht="15.75" x14ac:dyDescent="0.25">
      <c r="A4" s="16" t="s">
        <v>26</v>
      </c>
      <c r="B4" s="16" t="s">
        <v>29</v>
      </c>
      <c r="C4" s="16"/>
      <c r="D4" s="16"/>
      <c r="E4" s="16" t="s">
        <v>43</v>
      </c>
      <c r="F4" s="16"/>
    </row>
    <row r="5" spans="1:7" ht="15.75" x14ac:dyDescent="0.25">
      <c r="A5" s="16"/>
      <c r="B5" s="16" t="s">
        <v>30</v>
      </c>
      <c r="C5" s="16"/>
      <c r="D5" s="16"/>
      <c r="E5" s="16"/>
      <c r="F5" s="16"/>
    </row>
    <row r="6" spans="1:7" ht="15.75" x14ac:dyDescent="0.25">
      <c r="A6" s="16"/>
      <c r="B6" s="16" t="s">
        <v>31</v>
      </c>
      <c r="C6" s="16"/>
      <c r="D6" s="16"/>
      <c r="E6" s="16"/>
      <c r="F6" s="16"/>
    </row>
    <row r="7" spans="1:7" ht="15.75" x14ac:dyDescent="0.25">
      <c r="A7" s="16"/>
      <c r="B7" s="16"/>
      <c r="C7" s="16"/>
      <c r="D7" s="16"/>
      <c r="E7" s="16"/>
      <c r="F7" s="16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Sheet1</vt:lpstr>
      <vt:lpstr>Sheet2</vt:lpstr>
      <vt:lpstr>Sheet3</vt:lpstr>
      <vt:lpstr>assocfees</vt:lpstr>
      <vt:lpstr>construction</vt:lpstr>
      <vt:lpstr>garagetype</vt:lpstr>
      <vt:lpstr>rooftype</vt:lpstr>
      <vt:lpstr>smokedetector</vt:lpstr>
      <vt:lpstr>sprinklered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Ware</dc:creator>
  <cp:lastModifiedBy>Darlene Jacus</cp:lastModifiedBy>
  <cp:lastPrinted>2021-12-09T19:10:31Z</cp:lastPrinted>
  <dcterms:created xsi:type="dcterms:W3CDTF">2012-01-09T17:03:03Z</dcterms:created>
  <dcterms:modified xsi:type="dcterms:W3CDTF">2025-12-01T15:21:41Z</dcterms:modified>
</cp:coreProperties>
</file>