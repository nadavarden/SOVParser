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/Users/nadavkolevesoh/Documents/work/SOVParser/tests/data/"/>
    </mc:Choice>
  </mc:AlternateContent>
  <xr:revisionPtr revIDLastSave="0" documentId="13_ncr:1_{CF102C16-618F-A446-9598-09E6798A8FFB}" xr6:coauthVersionLast="47" xr6:coauthVersionMax="47" xr10:uidLastSave="{00000000-0000-0000-0000-000000000000}"/>
  <bookViews>
    <workbookView xWindow="0" yWindow="760" windowWidth="30240" windowHeight="18040" tabRatio="895" xr2:uid="{00000000-000D-0000-FFFF-FFFF00000000}"/>
  </bookViews>
  <sheets>
    <sheet name="Submission Details" sheetId="48" r:id="rId1"/>
    <sheet name="Statement of Values" sheetId="50" r:id="rId2"/>
    <sheet name="Platinum &amp; Gold Details" sheetId="52" state="hidden" r:id="rId3"/>
    <sheet name="Lists" sheetId="51" state="hidden" r:id="rId4"/>
    <sheet name="AS Template" sheetId="53" state="hidden" r:id="rId5"/>
  </sheets>
  <externalReferences>
    <externalReference r:id="rId6"/>
    <externalReference r:id="rId7"/>
    <externalReference r:id="rId8"/>
  </externalReferences>
  <definedNames>
    <definedName name="_xlnm._FilterDatabase" localSheetId="0" hidden="1">'Submission Details'!#REF!</definedName>
    <definedName name="assocfees">[1]Sheet2!$F:$F</definedName>
    <definedName name="construction">[1]Sheet2!$E:$E</definedName>
    <definedName name="DropDown_AOP_Deductible">#REF!</definedName>
    <definedName name="DropDown_BCEG">#REF!</definedName>
    <definedName name="DropDown_Business_Income">#REF!</definedName>
    <definedName name="DropDown_Coinsurance_Options">#REF!</definedName>
    <definedName name="DropDown_ConstGrp2">#REF!</definedName>
    <definedName name="DropDown_ConstrGrp1">#REF!</definedName>
    <definedName name="DropDown_Construction_Open">#REF!</definedName>
    <definedName name="DropDown_County">#REF!</definedName>
    <definedName name="DropDown_CoverageType">#REF!</definedName>
    <definedName name="DropDown_FormType">#REF!</definedName>
    <definedName name="DropDown_Hurricane_Deductible_Type">#REF!</definedName>
    <definedName name="Dropdown_Inflation_Guard">#REF!</definedName>
    <definedName name="DropDown_Monthly_Limitation_Options">#REF!</definedName>
    <definedName name="DropDown_Occupancy">#REF!</definedName>
    <definedName name="DropDown_Ordinance_Or_Law">#REF!</definedName>
    <definedName name="DropDown_Ordinance_Or_Law_Coverage_Limit">#REF!</definedName>
    <definedName name="DropDown_Property_Type_Open">#REF!</definedName>
    <definedName name="DropDown_ProtectionClass">#REF!</definedName>
    <definedName name="DropDown_Sinkhole_Deductible">#REF!</definedName>
    <definedName name="DropDown_Territory">#REF!</definedName>
    <definedName name="DropDown_Theft">#REF!</definedName>
    <definedName name="DropDown_Units">#REF!</definedName>
    <definedName name="DropDown_Wind_Deductible">#REF!</definedName>
    <definedName name="DropDown_YesNo">#REF!</definedName>
    <definedName name="GAAP_Summary">'[2]DM 1'!#REF!</definedName>
    <definedName name="garagetype">[1]Sheet2!$B:$B</definedName>
    <definedName name="Grp2ConstructionLookUp">#REF!</definedName>
    <definedName name="IRPM_Credit_Options">#REF!</definedName>
    <definedName name="ISRTStandardDesignExposureID">#REF!</definedName>
    <definedName name="IsRTStandardDesignSpeedID">#REF!</definedName>
    <definedName name="IsRTStandardFBCWindSpeedID">#REF!</definedName>
    <definedName name="Key.tblFBCequivalentCredits">[3]MAIN!$F$116</definedName>
    <definedName name="Key.tblRnfConcrtRoofDeckOnOrAfter2002">[3]MAIN!$F$118</definedName>
    <definedName name="Key.tblRnfConcrtRoofDeckPriorTo2002">[3]MAIN!$F$117</definedName>
    <definedName name="Key.tblTerrainBOtherRoofDeck">[3]MAIN!$F$119</definedName>
    <definedName name="Key.tblTerrainCOtherRoofDeck">[3]MAIN!$F$120</definedName>
    <definedName name="Key.tblType_II_III_pre2002">[3]MAIN!$F$121</definedName>
    <definedName name="Key.tblType_II_III_Terr_B_post2002">[3]MAIN!$F$122</definedName>
    <definedName name="Key.tblType_II_III_Terr_C_post2002">[3]MAIN!$F$123</definedName>
    <definedName name="Key.tblTypeI_New_Construction">#REF!</definedName>
    <definedName name="Key.tblTypeI_Old_Construction_Other_Roof">#REF!</definedName>
    <definedName name="Key.tblTypeI_Old_Construction_RCR">#REF!</definedName>
    <definedName name="Key.tblTypeII_New_Construction">#REF!</definedName>
    <definedName name="Key.tblTypeII_Old_Construction">#REF!</definedName>
    <definedName name="Key.tblTypeIII_New_Construction">#REF!</definedName>
    <definedName name="Key.tblTypeIII_Old_Construction">#REF!</definedName>
    <definedName name="Lookup_CSPCodes">#REF!</definedName>
    <definedName name="lstAgeDwell">'[3]Building Residence'!#REF!</definedName>
    <definedName name="lstBCEGgrade">'[3]Building Residence'!$C$188:$C$200</definedName>
    <definedName name="lstCovBPct">'[3]Policy Coverage'!#REF!</definedName>
    <definedName name="lstCovCPct">'[3]Policy Coverage'!#REF!</definedName>
    <definedName name="lstCoverageE">'[3]Policy Coverage'!$B$63:$B$64</definedName>
    <definedName name="lstExcludeWindRate">'[3]PolicyInfo &amp; Yes-No'!$B$8:$B$9</definedName>
    <definedName name="lstFungiProp">'[3]Optional Coverages'!$B$14:$B$16</definedName>
    <definedName name="lstIncidentalOccupancy">'[3]Building Residence'!$B$309:$B$310</definedName>
    <definedName name="lstIncreasedDeductibles">'[3]Policy Coverage'!$B$189:$B$201</definedName>
    <definedName name="lstIncreasedLossAssessment">'[3]Optional Coverages'!$B$27:$B$28</definedName>
    <definedName name="lstnumFireUnits">'[3]Building Residence'!$B$337:$B$346</definedName>
    <definedName name="lstOccupancy">'[3]Building Residence'!$B$300:$B$304</definedName>
    <definedName name="lstOrdinanceOrLaw">'[3]Optional Coverages'!$B$8:$B$9</definedName>
    <definedName name="lstOthStrutCvg_B">'[3]Policy Coverage'!#REF!</definedName>
    <definedName name="lstProtectionClass">'[3]Building Residence'!$B$314:$B$324</definedName>
    <definedName name="lstRTStandardFBCWindDesignID">#REF!</definedName>
    <definedName name="lstRTStandardOpenProtectionID">#REF!</definedName>
    <definedName name="lstRTStandardRoofCoverID">#REF!</definedName>
    <definedName name="lstRTStandardRoofDeckAttachmentID">#REF!</definedName>
    <definedName name="lstRTStandardRoofShapeID">#REF!</definedName>
    <definedName name="lstRTStandardRoofWallConnectionID">#REF!</definedName>
    <definedName name="lstRTStandardSecondaryWaterResID">#REF!</definedName>
    <definedName name="lstRTStandardTerrainID">#REF!</definedName>
    <definedName name="lstSeasonalMonths">'[3]Building Residence'!#REF!</definedName>
    <definedName name="lstSprinkler">'[3]Building Residence'!$B$61:$B$63</definedName>
    <definedName name="lstTrueFalse">'[3]PolicyInfo &amp; Yes-No'!$B$3:$B$4</definedName>
    <definedName name="lstTypeConstruction">'[3]Building Residence'!$B$328:$B$333</definedName>
    <definedName name="Master_Individual_Risk_Premium_Modifier">#REF!</definedName>
    <definedName name="Master_Location_Type_1_Description">#REF!</definedName>
    <definedName name="Master_Location_Type_1_Number_of_Risks">#REF!</definedName>
    <definedName name="Master_Location_Type_10_Description">#REF!</definedName>
    <definedName name="Master_Location_Type_10_Number_of_Risks">#REF!</definedName>
    <definedName name="Master_Location_Type_2_Description">#REF!</definedName>
    <definedName name="Master_Location_Type_2_Number_of_Risks">#REF!</definedName>
    <definedName name="Master_Location_Type_3_Description">#REF!</definedName>
    <definedName name="Master_Location_Type_3_Number_of_Risks">#REF!</definedName>
    <definedName name="Master_Location_Type_4_Description">#REF!</definedName>
    <definedName name="Master_Location_Type_4_Number_of_Risks">#REF!</definedName>
    <definedName name="Master_Location_Type_5_Description">#REF!</definedName>
    <definedName name="Master_Location_Type_5_Number_of_Risks">#REF!</definedName>
    <definedName name="Master_Location_Type_6_Description">#REF!</definedName>
    <definedName name="Master_Location_Type_6_Number_of_Risks">#REF!</definedName>
    <definedName name="Master_Location_Type_7_Description">#REF!</definedName>
    <definedName name="Master_Location_Type_7_Number_of_Risks">#REF!</definedName>
    <definedName name="Master_Location_Type_8_Description">#REF!</definedName>
    <definedName name="Master_Location_Type_8_Number_of_Risks">#REF!</definedName>
    <definedName name="Master_Location_Type_9_Description">#REF!</definedName>
    <definedName name="Master_Location_Type_9_Number_of_Risks">#REF!</definedName>
    <definedName name="Master_Policy_Number">#REF!</definedName>
    <definedName name="PolicyInfo.BCEG">[3]MAIN!$E$10</definedName>
    <definedName name="PolicyInfo.BurglarAlarm">[3]MAIN!$E$29</definedName>
    <definedName name="PolicyInfo.CitizensPremMod">[3]MAIN!$E$130</definedName>
    <definedName name="PolicyInfo.CoverageC">[3]MAIN!$E$19</definedName>
    <definedName name="PolicyInfo.CoverageE">[3]MAIN!$E$20</definedName>
    <definedName name="PolicyInfo.DwellingCvg">[3]MAIN!$E$18</definedName>
    <definedName name="PolicyInfo.ExcludeWindRate">[3]MAIN!$E$26</definedName>
    <definedName name="PolicyInfo.FireAlarm">[3]MAIN!$E$30</definedName>
    <definedName name="PolicyInfo.FungiLiab">[3]MAIN!$E$32</definedName>
    <definedName name="PolicyInfo.FungiProp">[3]MAIN!$E$31</definedName>
    <definedName name="PolicyInfo.FutEffChangeFlag">[3]MAIN!$E$131</definedName>
    <definedName name="PolicyInfo.IncidentalOccupancy">[3]MAIN!$E$12</definedName>
    <definedName name="PolicyInfo.IncreasedDeductibles">[3]MAIN!$E$21</definedName>
    <definedName name="PolicyInfo.IncreasedLossAssessment">[3]MAIN!$E$25</definedName>
    <definedName name="PolicyInfo.LocCounty">[3]MAIN!$E$8</definedName>
    <definedName name="PolicyInfo.numFireUnits">[3]MAIN!$E$15</definedName>
    <definedName name="PolicyInfo.numStories">[3]MAIN!$E$16</definedName>
    <definedName name="PolicyInfo.Occupancy">[3]MAIN!$E$11</definedName>
    <definedName name="PolicyInfo.OrdinanceOrLaw">[3]MAIN!$E$23</definedName>
    <definedName name="PolicyInfo.OthStrutCvg_B">[3]MAIN!#REF!</definedName>
    <definedName name="PolicyInfo.PlatinumPreferred">[3]MAIN!$E$35</definedName>
    <definedName name="PolicyInfo.ProtectionClass">[3]MAIN!$E$14</definedName>
    <definedName name="PolicyInfo.PrviousCitiPremAmountHUR">[3]MAIN!$E$132</definedName>
    <definedName name="PolicyInfo.PrviousCitiPremAmountNHR">[3]MAIN!$E$133</definedName>
    <definedName name="PolicyInfo.RentedToOthersCovB">[3]MAIN!#REF!</definedName>
    <definedName name="PolicyInfo.ReplacementCostOnContent">[3]MAIN!$E$28</definedName>
    <definedName name="PolicyInfo.RTStandardFBCWindDesignID">[3]MAIN!$E$45</definedName>
    <definedName name="PolicyInfo.RTStandardFBCWindSpeedID">[3]MAIN!$E$44</definedName>
    <definedName name="PolicyInfo.RTStandardOpenProtectionID">[3]MAIN!$E$40</definedName>
    <definedName name="PolicyInfo.RTStandardRoofCoverID">[3]MAIN!$E$37</definedName>
    <definedName name="PolicyInfo.RTStandardRoofDeckAttachmentID">[3]MAIN!$E$38</definedName>
    <definedName name="PolicyInfo.RTStandardRoofShapeID">[3]MAIN!$E$42</definedName>
    <definedName name="PolicyInfo.RTStandardRoofWallConnectionID">[3]MAIN!$E$39</definedName>
    <definedName name="PolicyInfo.RTStandardSecondaryWaterResID">[3]MAIN!$E$43</definedName>
    <definedName name="PolicyInfo.RTStandardTerrainID">[3]MAIN!$E$41</definedName>
    <definedName name="PolicyInfo.SeasonalMonths">[3]MAIN!#REF!</definedName>
    <definedName name="PolicyInfo.SinkholeLossCoverage">[3]MAIN!#REF!</definedName>
    <definedName name="PolicyInfo.SpecialCoverageA">[3]MAIN!$E$33</definedName>
    <definedName name="PolicyInfo.SpecificOtherStructure">[3]MAIN!#REF!</definedName>
    <definedName name="PolicyInfo.Sprinkler">[3]MAIN!$E$24</definedName>
    <definedName name="PolicyInfo.TerritoryID">[3]MAIN!$E$7</definedName>
    <definedName name="PolicyInfo.TransactionType">[3]MAIN!$E$5</definedName>
    <definedName name="PolicyInfo.TypeConstruction">[3]MAIN!$E$9</definedName>
    <definedName name="PolicyInfo.URRented">[3]MAIN!$E$34</definedName>
    <definedName name="PolicyInfo.YearBuilt">[3]MAIN!$E$13</definedName>
    <definedName name="Rate_BCEG">#REF!</definedName>
    <definedName name="Rate_Business_Income_Coinsurance">#REF!</definedName>
    <definedName name="Rate_Business_Income_Monthly_Limitation">#REF!</definedName>
    <definedName name="Rate_ClassAptBldgGrp1">#REF!</definedName>
    <definedName name="Rate_ClassAptBldgGrp2">#REF!</definedName>
    <definedName name="Rate_ClassAptContGrp1">#REF!</definedName>
    <definedName name="Rate_ClassAptContGrp2">#REF!</definedName>
    <definedName name="Rate_FormCoverage">#REF!</definedName>
    <definedName name="Rate_FormCoverages">#REF!</definedName>
    <definedName name="Rate_Group1_Class_Rates_Open">#REF!</definedName>
    <definedName name="Rate_Group1AOPDeductibles">#REF!</definedName>
    <definedName name="Rate_Group1AOPDEductibles2">#REF!</definedName>
    <definedName name="Rate_Group2_Class_Rates_Open">#REF!</definedName>
    <definedName name="Rate_Group2WindDeductible2">#REF!</definedName>
    <definedName name="Rate_Group2WindDeductibles">#REF!</definedName>
    <definedName name="Rate_Heritage_Loss_Cost_Multiplier">#REF!</definedName>
    <definedName name="Rate_Inflation_Gaurd">#REF!</definedName>
    <definedName name="Rate_IRPM">#REF!</definedName>
    <definedName name="Rate_IRPMOPTIONS">#REF!</definedName>
    <definedName name="Rate_Ordinance_Or_Law">#REF!</definedName>
    <definedName name="Rate_Percent_of_Coinsurance">#REF!</definedName>
    <definedName name="Rate_Sinkhole_Deductible">#REF!</definedName>
    <definedName name="Rate_Sinkhole_Exclusion">#REF!</definedName>
    <definedName name="Rate_Sinkhole_Residential_Credit">#REF!</definedName>
    <definedName name="Rate_SprinklerNo">#REF!</definedName>
    <definedName name="Rate_SprinklerYes">#REF!</definedName>
    <definedName name="Rate_VandExcl">#REF!</definedName>
    <definedName name="Rate_Wind_Exclusion">#REF!</definedName>
    <definedName name="Rate_WindPercentages">#REF!</definedName>
    <definedName name="rooftype">[1]Sheet2!$A:$A</definedName>
    <definedName name="smokedetector">[1]Sheet2!$D:$D</definedName>
    <definedName name="sprinklered">[1]Sheet2!$C:$C</definedName>
    <definedName name="tblAgeDwell">'[3]Building Residence'!#REF!</definedName>
    <definedName name="tblBaseRate">'[3]Terr &amp; Base Rate'!$B$3:$C$6</definedName>
    <definedName name="tblBCEGgrade">'[3]Building Residence'!$D$188:$F$296</definedName>
    <definedName name="tblBurglarAlarm">'[3]Building Residence'!$B$56:$D$57</definedName>
    <definedName name="tblCovBPct">'[3]Policy Coverage'!#REF!</definedName>
    <definedName name="tblCoverageA">'[3]Policy Coverage'!#REF!</definedName>
    <definedName name="tblCoverageE">'[3]Policy Coverage'!$B$63:$F$64</definedName>
    <definedName name="tblFBCequivalentCredits">#REF!</definedName>
    <definedName name="tblFungiIncrease">'[3]Optional Coverages'!$B$21:$C$22</definedName>
    <definedName name="tblFungiProp">'[3]Optional Coverages'!$B$14:$E$16</definedName>
    <definedName name="tblIncreasedDeductibles2">'[3]Policy Coverage'!$D$69:$E$185</definedName>
    <definedName name="tblIncreasedDeductibles3">'[3]Policy Coverage'!$B$69:$E$185</definedName>
    <definedName name="tblIncreasedLossAssessment">'[3]Optional Coverages'!$B$27:$E$28</definedName>
    <definedName name="tblLossAssessment">'[3]Optional Coverages'!$D$143:$E$172</definedName>
    <definedName name="tblNumberofUnits">'[3]Building Residence'!#REF!</definedName>
    <definedName name="tblOccupancy">'[3]Building Residence'!$B$300:$H$304</definedName>
    <definedName name="tblOrdinanceOrLaw">'[3]Optional Coverages'!$B$8:$E$9</definedName>
    <definedName name="tblOthStrutCvg_B">'[3]Policy Coverage'!#REF!</definedName>
    <definedName name="tblPPCLookup">'[3]Building Residence'!$B$3:$F$52</definedName>
    <definedName name="tblPrsPropCvg_C">'[3]Policy Coverage'!$B$3:$F$59</definedName>
    <definedName name="tblReplacementCostContents">'[3]Optional Coverages'!$B$3:$H$4</definedName>
    <definedName name="tblRTStandardDesignExposureID">#REF!</definedName>
    <definedName name="tblRTStandardDesignSpeedID">#REF!</definedName>
    <definedName name="tblRTStandardFBCWindDesignID">#REF!</definedName>
    <definedName name="tblRTStandardFBCWindSpeedID">#REF!</definedName>
    <definedName name="tblRTStandardOpenProtectionID">#REF!</definedName>
    <definedName name="tblRTStandardRoofCoverID">#REF!</definedName>
    <definedName name="tblRTStandardRoofDeckAttachmentID">#REF!</definedName>
    <definedName name="tblRTStandardRoofShapeID">#REF!</definedName>
    <definedName name="tblRTStandardRoofWallConnectionID">#REF!</definedName>
    <definedName name="tblRTStandardSecondaryWaterResID">#REF!</definedName>
    <definedName name="tblRTStandardTerrainID">#REF!</definedName>
    <definedName name="tblSeasonalMonths">'[3]Building Residence'!#REF!</definedName>
    <definedName name="tblSinkholeLossCoverage">'[3]Optional Coverages'!#REF!</definedName>
    <definedName name="tblSprinklerFire">'[3]Building Residence'!$B$68:$E$73</definedName>
    <definedName name="tblTerrainCOtherRoofDeck">#REF!</definedName>
    <definedName name="tblTerritoryCode">'[3]Building Residence'!$B$77:$C$184</definedName>
    <definedName name="tblTerritoryGroup">'[3]Optional Coverages'!$B$32:$C$139</definedName>
    <definedName name="tblTrueFalse">'[3]PolicyInfo &amp; Yes-No'!$B$3:$D$4</definedName>
    <definedName name="tblTypeI_New_Construction">#REF!</definedName>
    <definedName name="tblTypeI_Old_Construction_Other_Roof">#REF!</definedName>
    <definedName name="tblTypeI_Old_Construction_RCR">#REF!</definedName>
    <definedName name="tblTypeII_New_Construction">#REF!</definedName>
    <definedName name="tblTypeII_Old_Construction">#REF!</definedName>
    <definedName name="tblTypeIII_NewConstruction">#REF!</definedName>
    <definedName name="tblTypeIII_Old_Construction">#REF!</definedName>
    <definedName name="tblWindstorm">#REF!</definedName>
    <definedName name="tblZipRate">'[3]Terr &amp; Base Rate'!$B$10:$I$117</definedName>
    <definedName name="Value_ACVRoof">#REF!</definedName>
    <definedName name="Value_Amount_of_Insurance">#REF!</definedName>
    <definedName name="Value_Amount_of_Insurance_Open">#REF!</definedName>
    <definedName name="Value_Amount_of_Insurance_Open2">#REF!</definedName>
    <definedName name="Value_Amount_of_Insurance_Open3">#REF!</definedName>
    <definedName name="Value_Amount_of_Insurance_Open4">#REF!</definedName>
    <definedName name="Value_Amount_of_Insurance_Open5">#REF!</definedName>
    <definedName name="Value_AOP_Deductible">#REF!</definedName>
    <definedName name="Value_BCEG">#REF!</definedName>
    <definedName name="Value_BI_Coinsurance">#REF!</definedName>
    <definedName name="Value_Bldg">#REF!</definedName>
    <definedName name="Value_Business_Income">#REF!</definedName>
    <definedName name="Value_Business_Income_Limit">#REF!</definedName>
    <definedName name="Value_City">#REF!</definedName>
    <definedName name="Value_ConstGrp2">#REF!</definedName>
    <definedName name="Value_Construction_Open">#REF!</definedName>
    <definedName name="Value_Construction_Open2">#REF!</definedName>
    <definedName name="Value_Construction_Open3">#REF!</definedName>
    <definedName name="Value_Construction_Open4">#REF!</definedName>
    <definedName name="Value_Construction_Open5">#REF!</definedName>
    <definedName name="Value_ConstructionGrp1">#REF!</definedName>
    <definedName name="Value_County">#REF!</definedName>
    <definedName name="Value_Coverage_A">#REF!</definedName>
    <definedName name="Value_Coverage_C">#REF!</definedName>
    <definedName name="Value_CovType">#REF!</definedName>
    <definedName name="Value_CSPCode">#REF!</definedName>
    <definedName name="Value_Design_Exposure">#REF!</definedName>
    <definedName name="Value_Design_Speed">#REF!</definedName>
    <definedName name="Value_FBC_Wind_Design">#REF!</definedName>
    <definedName name="Value_FBC_Wind_Speed">#REF!</definedName>
    <definedName name="Value_FormType">#REF!</definedName>
    <definedName name="Value_Hurricane_Deductible_Type">#REF!</definedName>
    <definedName name="Value_Individual_Risk_Premium_Modifier">#REF!</definedName>
    <definedName name="Value_Inflation_Guard">#REF!</definedName>
    <definedName name="Value_IRPM">#REF!</definedName>
    <definedName name="Value_LocationType1_Premium_Per_Risk">#REF!</definedName>
    <definedName name="Value_Monthly_Limitation">#REF!</definedName>
    <definedName name="Value_Number_of_Risks">#REF!</definedName>
    <definedName name="Value_Number_of_Stories">#REF!</definedName>
    <definedName name="Value_Number_of_Units">#REF!</definedName>
    <definedName name="Value_Occupancy">#REF!</definedName>
    <definedName name="Value_Opening_Protection">#REF!</definedName>
    <definedName name="Value_Optional_Cinsurance">#REF!</definedName>
    <definedName name="Value_Ordinance_Coverage">#REF!</definedName>
    <definedName name="Value_Ordinance_or_Law_Coverage_B">#REF!</definedName>
    <definedName name="Value_Ordinance_or_Law_Coverage_C">#REF!</definedName>
    <definedName name="Value_Ordinance_Or_Law_Coverage_Limit">#REF!</definedName>
    <definedName name="Value_Property_Type_Open">#REF!</definedName>
    <definedName name="Value_Property_Type_Open2">#REF!</definedName>
    <definedName name="Value_Property_Type_Open3">#REF!</definedName>
    <definedName name="Value_Property_Type_Open4">#REF!</definedName>
    <definedName name="Value_Property_Type_Open5">#REF!</definedName>
    <definedName name="Value_ProtectionClass">#REF!</definedName>
    <definedName name="Value_Risk_Description">#REF!</definedName>
    <definedName name="Value_Roof_Cover">#REF!</definedName>
    <definedName name="Value_Roof_Deck_Attachment">#REF!</definedName>
    <definedName name="Value_Roof_Shape">#REF!</definedName>
    <definedName name="Value_Roof_Wall_Connection">#REF!</definedName>
    <definedName name="Value_Sinkhole_Coverage">#REF!</definedName>
    <definedName name="Value_Sinkhole_Deductible">#REF!</definedName>
    <definedName name="Value_Sprinkler">#REF!</definedName>
    <definedName name="Value_SWR">#REF!</definedName>
    <definedName name="Value_Terrain">#REF!</definedName>
    <definedName name="Value_Territory">#REF!</definedName>
    <definedName name="Value_Theft">#REF!</definedName>
    <definedName name="Value_Transaction_Date">#REF!</definedName>
    <definedName name="Value_Transaction_Effective_Date">#REF!</definedName>
    <definedName name="Value_Units">#REF!</definedName>
    <definedName name="Value_VandExcl">#REF!</definedName>
    <definedName name="Value_Wind_Deductible">#REF!</definedName>
    <definedName name="Value_WindExcl">#REF!</definedName>
    <definedName name="Value_WindHail_Included">#REF!</definedName>
    <definedName name="Value_WindMit">#REF!</definedName>
    <definedName name="Value_YearBuilt">#REF!</definedName>
    <definedName name="Value_Zip_Cod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3" i="53" l="1"/>
  <c r="N11" i="53"/>
  <c r="O10" i="53"/>
  <c r="N9" i="53"/>
  <c r="N8" i="53"/>
  <c r="M6" i="53"/>
  <c r="M5" i="53"/>
  <c r="D55" i="53"/>
  <c r="D54" i="53"/>
  <c r="D53" i="53"/>
  <c r="D51" i="53"/>
  <c r="D50" i="53"/>
  <c r="D49" i="53"/>
  <c r="D48" i="53"/>
  <c r="D47" i="53"/>
  <c r="D42" i="53"/>
  <c r="D41" i="53"/>
  <c r="D40" i="53"/>
  <c r="D37" i="53"/>
  <c r="D36" i="53"/>
  <c r="D35" i="53"/>
  <c r="D34" i="53"/>
  <c r="D31" i="53"/>
  <c r="D28" i="53"/>
  <c r="D27" i="53"/>
  <c r="D22" i="53"/>
  <c r="D21" i="53"/>
  <c r="D20" i="53"/>
  <c r="D19" i="53"/>
  <c r="D17" i="53"/>
  <c r="D16" i="53"/>
  <c r="D14" i="53"/>
  <c r="D13" i="53"/>
  <c r="D10" i="53"/>
  <c r="D11" i="53" s="1"/>
  <c r="D12" i="53" s="1"/>
  <c r="D9" i="53"/>
  <c r="D8" i="53"/>
  <c r="D7" i="53"/>
  <c r="D6" i="53"/>
  <c r="D30" i="53"/>
  <c r="D56" i="53" l="1"/>
  <c r="D23" i="53"/>
  <c r="D26" i="53" s="1"/>
  <c r="D25" i="53"/>
  <c r="D24" i="53"/>
  <c r="D32" i="53"/>
  <c r="A10" i="51" l="1"/>
  <c r="D33" i="53" l="1"/>
</calcChain>
</file>

<file path=xl/sharedStrings.xml><?xml version="1.0" encoding="utf-8"?>
<sst xmlns="http://schemas.openxmlformats.org/spreadsheetml/2006/main" count="590" uniqueCount="360">
  <si>
    <t>Green = Mandatory</t>
  </si>
  <si>
    <t>White = Optional</t>
  </si>
  <si>
    <t>Red = Calculation or Not Available</t>
  </si>
  <si>
    <r>
      <t xml:space="preserve">More than 80% rentals </t>
    </r>
    <r>
      <rPr>
        <b/>
        <u/>
        <sz val="16"/>
        <color theme="5" tint="-0.499984740745262"/>
        <rFont val="Calibri"/>
        <family val="2"/>
        <scheme val="minor"/>
      </rPr>
      <t>or</t>
    </r>
    <r>
      <rPr>
        <b/>
        <sz val="16"/>
        <color theme="5" tint="-0.499984740745262"/>
        <rFont val="Calibri"/>
        <family val="2"/>
        <scheme val="minor"/>
      </rPr>
      <t xml:space="preserve"> a YES answer to any of the following questions is </t>
    </r>
    <r>
      <rPr>
        <b/>
        <u/>
        <sz val="16"/>
        <color theme="5" tint="-0.499984740745262"/>
        <rFont val="Calibri"/>
        <family val="2"/>
        <scheme val="minor"/>
      </rPr>
      <t>NOT</t>
    </r>
    <r>
      <rPr>
        <b/>
        <sz val="16"/>
        <color theme="5" tint="-0.499984740745262"/>
        <rFont val="Calibri"/>
        <family val="2"/>
        <scheme val="minor"/>
      </rPr>
      <t xml:space="preserve"> eligible for Admitted.  </t>
    </r>
    <r>
      <rPr>
        <b/>
        <u/>
        <sz val="16"/>
        <color theme="5" tint="-0.499984740745262"/>
        <rFont val="Calibri"/>
        <family val="2"/>
        <scheme val="minor"/>
      </rPr>
      <t>If not eligible for Admitted and you'd like Arden to provide a Non-Admitted quote, please complete this Submission Template.</t>
    </r>
  </si>
  <si>
    <t>Limits Profile</t>
  </si>
  <si>
    <t>Rental %</t>
  </si>
  <si>
    <t>Insuring Agreement</t>
  </si>
  <si>
    <t>Is there Aluminum Wiring, Fuses, Federal Pacific Breakers, Stab Lok Breakers, Polybutylene or Galvanized Plumbing?</t>
  </si>
  <si>
    <r>
      <t xml:space="preserve">Property Enhancement Option
</t>
    </r>
    <r>
      <rPr>
        <b/>
        <sz val="12"/>
        <color rgb="FFFF0000"/>
        <rFont val="Calibri"/>
        <family val="2"/>
        <scheme val="minor"/>
      </rPr>
      <t>(changes to limits can be made to the right - follow the arrow)</t>
    </r>
  </si>
  <si>
    <t>Gold Property Enhancement (BASIC)</t>
  </si>
  <si>
    <t>Platinum Property Enhancement (ENHANCED)</t>
  </si>
  <si>
    <t>Does the Association have any of the following exposures?</t>
  </si>
  <si>
    <t>Building Limit</t>
  </si>
  <si>
    <t xml:space="preserve">          Subsidized housing; Student housing; Assisted living facilities; Timeshare;</t>
  </si>
  <si>
    <t>Business Personal Property Limit</t>
  </si>
  <si>
    <t>Coverage</t>
  </si>
  <si>
    <t>Limit</t>
  </si>
  <si>
    <t xml:space="preserve">          Armed guard services or dog services; Shooting or archery ranges;</t>
  </si>
  <si>
    <t>Business Income Limit</t>
  </si>
  <si>
    <t>Accounts Receivable</t>
  </si>
  <si>
    <t xml:space="preserve">          Day care or health facilities; Association owned snow or lake sport facilities;</t>
  </si>
  <si>
    <t>TIV</t>
  </si>
  <si>
    <t>Computer &amp; Funds Transfer Fraud</t>
  </si>
  <si>
    <t xml:space="preserve">          Wood shake/shingle roofs; Liquor liability for restaurants or special events;</t>
  </si>
  <si>
    <t>BOL - Coverage B Limit</t>
  </si>
  <si>
    <t>Computer Equipment, Media and Supplies</t>
  </si>
  <si>
    <t xml:space="preserve">          Any equestrian activities; Association owned or maintained marinas or boat docks</t>
  </si>
  <si>
    <t>BOL - Coverage C Limit</t>
  </si>
  <si>
    <t>Crime Reward</t>
  </si>
  <si>
    <t>Equipment Breakdown?</t>
  </si>
  <si>
    <t>Debris Removal</t>
  </si>
  <si>
    <t>General Information</t>
  </si>
  <si>
    <t>Equipment Breakdown Limit</t>
  </si>
  <si>
    <t>Electronic Data</t>
  </si>
  <si>
    <t>Insured Name</t>
  </si>
  <si>
    <t>EQSL Limit</t>
  </si>
  <si>
    <t>Elevator Collision</t>
  </si>
  <si>
    <t>Agency Name</t>
  </si>
  <si>
    <t>Employee Theft - Stated Value</t>
  </si>
  <si>
    <t>Agency Contact</t>
  </si>
  <si>
    <t>Fire Legal Liability</t>
  </si>
  <si>
    <t>Fine Arts</t>
  </si>
  <si>
    <t>New or Renewal for Agency</t>
  </si>
  <si>
    <t>Garage &amp; Parking Liability?</t>
  </si>
  <si>
    <t>Fire Department Service Charge</t>
  </si>
  <si>
    <t>Has this Association been non-renewed in the last 3 years?</t>
  </si>
  <si>
    <t>Garage &amp; Parking Liability Limit</t>
  </si>
  <si>
    <t>Fire Extinguisher Recharge</t>
  </si>
  <si>
    <t xml:space="preserve">          Reason for non-renewal?</t>
  </si>
  <si>
    <t>Hired &amp; Non-Owned Auto Liability?</t>
  </si>
  <si>
    <t>Forgery or Alteration</t>
  </si>
  <si>
    <t xml:space="preserve">          If Other, please explain:</t>
  </si>
  <si>
    <t>Hired &amp; Non-Owned Auto Liability Limit</t>
  </si>
  <si>
    <t>Lock Replacement</t>
  </si>
  <si>
    <t>Renewal Premium</t>
  </si>
  <si>
    <t>Newly Acquired Buildings and Structures</t>
  </si>
  <si>
    <t>Target Premium</t>
  </si>
  <si>
    <t>Deductibles/Limitations/Exclusions</t>
  </si>
  <si>
    <t>Newly Acquired Community Personal Property</t>
  </si>
  <si>
    <t>Need by Date</t>
  </si>
  <si>
    <t>AOP Deductible</t>
  </si>
  <si>
    <t>Newly Constructed Buildings and Structures</t>
  </si>
  <si>
    <t>Type of Association</t>
  </si>
  <si>
    <t>Water/Sewer/Sprinkler Deductible</t>
  </si>
  <si>
    <t>Ordinance or Law - Demolition Cost</t>
  </si>
  <si>
    <t>Policy Effective Date</t>
  </si>
  <si>
    <t>Wind &amp; Hail Deductible ($)</t>
  </si>
  <si>
    <t>Ordinance or Law - Increased Cost of Contruction</t>
  </si>
  <si>
    <t>Policy Type</t>
  </si>
  <si>
    <t>Wind &amp; Hail Deductible (%)</t>
  </si>
  <si>
    <t>Outdoor Property - Bridges, bulkheads, docks, piers, retaining walls, wharves</t>
  </si>
  <si>
    <t>Mailing Address</t>
  </si>
  <si>
    <t>Per Unit Deductible ($)</t>
  </si>
  <si>
    <t>Outdoor Property - In-ground sprinkler systems and piping</t>
  </si>
  <si>
    <t>Mailing City</t>
  </si>
  <si>
    <t>EQSL Deductible</t>
  </si>
  <si>
    <t>Outdoor Property - Satellite Dishes and Antennas</t>
  </si>
  <si>
    <t>Mailing State</t>
  </si>
  <si>
    <t>Outdoor Property - Trees, Shrubs and Plants</t>
  </si>
  <si>
    <t>Mailing Zip Code</t>
  </si>
  <si>
    <t>Personal Effects - Per Occurrence</t>
  </si>
  <si>
    <t>Exposure Detail (Count/Square Feet/Acres/Sales/etc.)</t>
  </si>
  <si>
    <t>Personal Effects - Per Person</t>
  </si>
  <si>
    <t>Property Management Information</t>
  </si>
  <si>
    <t>Pollutant Clean Up and Removal</t>
  </si>
  <si>
    <t>Property Management Company</t>
  </si>
  <si>
    <t>Preservation of Property</t>
  </si>
  <si>
    <t>How many years have they managed this property?</t>
  </si>
  <si>
    <t>Property in Transit</t>
  </si>
  <si>
    <t>How often do they visit this property?</t>
  </si>
  <si>
    <t>Property of Others - Per Occurrence</t>
  </si>
  <si>
    <t>Property of Others - Per Person</t>
  </si>
  <si>
    <t>Location Information</t>
  </si>
  <si>
    <t>Property Off Premises</t>
  </si>
  <si>
    <t>Location Address</t>
  </si>
  <si>
    <t>Theft of Money and Securities - Inside/Outside</t>
  </si>
  <si>
    <t>Location City</t>
  </si>
  <si>
    <t>Valuable Papers and Records</t>
  </si>
  <si>
    <t>Location State</t>
  </si>
  <si>
    <t>Employee Theft Coverage - Property Managers</t>
  </si>
  <si>
    <t>Location Zip Code</t>
  </si>
  <si>
    <t>Sewer &amp; Drain (Outdoor)</t>
  </si>
  <si>
    <t>GRC</t>
  </si>
  <si>
    <t>Year Built</t>
  </si>
  <si>
    <t>Number of Buildings</t>
  </si>
  <si>
    <t>Construction Type</t>
  </si>
  <si>
    <t>Sprinklers</t>
  </si>
  <si>
    <t>Livable Square Footage</t>
  </si>
  <si>
    <t>Separate Structure Square Footage (Ex: Clubhouse, Pool House, Rec Room, etc.)</t>
  </si>
  <si>
    <t>Gross Square Footage</t>
  </si>
  <si>
    <t>Roofing Update Year</t>
  </si>
  <si>
    <t xml:space="preserve">          Are there annual inspections or is there a roof warranty?</t>
  </si>
  <si>
    <t>Plumbing Update Year</t>
  </si>
  <si>
    <t>Electrical Update Year</t>
  </si>
  <si>
    <t>Additional Questions for Buildings Over 3 Livable Stories</t>
  </si>
  <si>
    <t>HVAC Update Year</t>
  </si>
  <si>
    <t>Number of Elevators</t>
  </si>
  <si>
    <t>Interior stairwells masonry enclosed?</t>
  </si>
  <si>
    <t>Stairwells have fire doors?</t>
  </si>
  <si>
    <t>Fire doors equipped with panic hardware?</t>
  </si>
  <si>
    <t>Carbon Monoxide Detectors?</t>
  </si>
  <si>
    <t>Exterior fire escapes?</t>
  </si>
  <si>
    <t>Smoke Detectors</t>
  </si>
  <si>
    <t>Emergency lighting in interior stairways, hallways, and common areas?</t>
  </si>
  <si>
    <t>Fire Alarms</t>
  </si>
  <si>
    <t>Are there any wood burning fireplaces or stoves?</t>
  </si>
  <si>
    <t>Loss History</t>
  </si>
  <si>
    <t>Are any security guards or security patrol utilized?</t>
  </si>
  <si>
    <r>
      <t xml:space="preserve">Any claims reported in the last 3 years </t>
    </r>
    <r>
      <rPr>
        <b/>
        <u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any claims currently open?  (if Yes, please attach 5 years Loss Runs to submission email)</t>
    </r>
  </si>
  <si>
    <t>Does the association employ any staff?</t>
  </si>
  <si>
    <t>Does association staff handle road repair?</t>
  </si>
  <si>
    <t>Does association staff handle snow removal?</t>
  </si>
  <si>
    <r>
      <t xml:space="preserve">Have there been multiple Equipment Breakdown losses in the last 24 months </t>
    </r>
    <r>
      <rPr>
        <b/>
        <u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one Equipment Breakdown loss exceeding $25,000?</t>
    </r>
  </si>
  <si>
    <t>Does association staff perform work inside of units?</t>
  </si>
  <si>
    <t>Are independent contractors required to provide hold-harmless agreements naming the insured as an AI?</t>
  </si>
  <si>
    <t>Is there any additional information you'd like to share with your underwriter?</t>
  </si>
  <si>
    <t>Reminder: Binding Requirements Checklist</t>
  </si>
  <si>
    <t>CV Loss Runs</t>
  </si>
  <si>
    <t>SOV</t>
  </si>
  <si>
    <t>Plot Map</t>
  </si>
  <si>
    <t>CC&amp;Rs</t>
  </si>
  <si>
    <t>Financials</t>
  </si>
  <si>
    <t>Signed PDF Copy of Submission Template
(provided by Arden at time of quote)</t>
  </si>
  <si>
    <r>
      <t xml:space="preserve">Copy and Paste SOV to this tab </t>
    </r>
    <r>
      <rPr>
        <b/>
        <u/>
        <sz val="16"/>
        <color theme="1"/>
        <rFont val="Calibri"/>
        <family val="2"/>
        <scheme val="minor"/>
      </rPr>
      <t>OR</t>
    </r>
    <r>
      <rPr>
        <b/>
        <sz val="14"/>
        <color theme="1"/>
        <rFont val="Calibri"/>
        <family val="2"/>
        <scheme val="minor"/>
      </rPr>
      <t xml:space="preserve"> send separately</t>
    </r>
  </si>
  <si>
    <t>Platinum Property Enhancement</t>
  </si>
  <si>
    <t>Gold Property Enhancement</t>
  </si>
  <si>
    <t>Premium</t>
  </si>
  <si>
    <t>Incl.</t>
  </si>
  <si>
    <t>Yes/No</t>
  </si>
  <si>
    <t>EQSL</t>
  </si>
  <si>
    <t>Fire Legal</t>
  </si>
  <si>
    <t>Deductibles</t>
  </si>
  <si>
    <t>W&amp;H</t>
  </si>
  <si>
    <t>EQ</t>
  </si>
  <si>
    <t>New/Renewal</t>
  </si>
  <si>
    <t>Property Enhancement</t>
  </si>
  <si>
    <t>Contacts</t>
  </si>
  <si>
    <t>Condo Type</t>
  </si>
  <si>
    <t>Visits</t>
  </si>
  <si>
    <t>Smoke</t>
  </si>
  <si>
    <t>Fire</t>
  </si>
  <si>
    <t>Managed</t>
  </si>
  <si>
    <t>Non-Renewal</t>
  </si>
  <si>
    <t>All-In</t>
  </si>
  <si>
    <t>Yes</t>
  </si>
  <si>
    <t>Frame</t>
  </si>
  <si>
    <t>None</t>
  </si>
  <si>
    <t>New</t>
  </si>
  <si>
    <t>Package</t>
  </si>
  <si>
    <t>Gold (Basic)</t>
  </si>
  <si>
    <t>Residential Condominium</t>
  </si>
  <si>
    <t>Daily</t>
  </si>
  <si>
    <t>Battery</t>
  </si>
  <si>
    <t>Local</t>
  </si>
  <si>
    <t>Less than 1</t>
  </si>
  <si>
    <t>Claims</t>
  </si>
  <si>
    <t>Single Entity</t>
  </si>
  <si>
    <t>No</t>
  </si>
  <si>
    <t>Joisted Masonry</t>
  </si>
  <si>
    <t>1% to 25%</t>
  </si>
  <si>
    <t>Renewal</t>
  </si>
  <si>
    <t>Platinum (Enhanced)</t>
  </si>
  <si>
    <t>Weekly</t>
  </si>
  <si>
    <t>Hard-Wired</t>
  </si>
  <si>
    <t>Central Station</t>
  </si>
  <si>
    <t>1 to 5</t>
  </si>
  <si>
    <t>Brush</t>
  </si>
  <si>
    <t>Bare Walls</t>
  </si>
  <si>
    <t>n/a</t>
  </si>
  <si>
    <t>Non-Combustible</t>
  </si>
  <si>
    <t>26% to 50%</t>
  </si>
  <si>
    <t>Mixed Assoc. - Residential &amp; Commercial</t>
  </si>
  <si>
    <t>Monthly</t>
  </si>
  <si>
    <t>6 to 10</t>
  </si>
  <si>
    <t>Loss Control</t>
  </si>
  <si>
    <t>Floors/Ceilings/Walls Excluded</t>
  </si>
  <si>
    <t>Masonry Non-Combustible</t>
  </si>
  <si>
    <t>51% to 100%</t>
  </si>
  <si>
    <t>Quarterly</t>
  </si>
  <si>
    <t>More than 10</t>
  </si>
  <si>
    <t>Other</t>
  </si>
  <si>
    <t>Fire Resistive</t>
  </si>
  <si>
    <t>Semi-Annually</t>
  </si>
  <si>
    <t>Modified Fire Resistive</t>
  </si>
  <si>
    <t>Annually</t>
  </si>
  <si>
    <t>Brick Veneer</t>
  </si>
  <si>
    <t>Risk Characteristic</t>
  </si>
  <si>
    <t>Detail</t>
  </si>
  <si>
    <t>COMPLETE INORMATION FOR ALL THAT APPLY</t>
  </si>
  <si>
    <t>Control Number</t>
  </si>
  <si>
    <t>Feature</t>
  </si>
  <si>
    <t>Count</t>
  </si>
  <si>
    <t>Square Footage (if applicable)</t>
  </si>
  <si>
    <t>Acres (if applicable)</t>
  </si>
  <si>
    <t>Prior Policy Number</t>
  </si>
  <si>
    <t>Parks or Playgrounds</t>
  </si>
  <si>
    <t>Swimming Pools - NOC</t>
  </si>
  <si>
    <t>Broker Name</t>
  </si>
  <si>
    <t>Halls - Other than Not-For-Profit</t>
  </si>
  <si>
    <t>Property Manager Name</t>
  </si>
  <si>
    <t>Parking - private</t>
  </si>
  <si>
    <t>Entry Date</t>
  </si>
  <si>
    <t>Fitness Center - no attendant</t>
  </si>
  <si>
    <t>Transaction Effective Date</t>
  </si>
  <si>
    <t>Lake or Pond</t>
  </si>
  <si>
    <t>Condominiums - commercial - bank or mercantile, manufacturing or office (association risk only)</t>
  </si>
  <si>
    <t>Policy Expiration Date</t>
  </si>
  <si>
    <t>Private Streets, Roads, Highways or Bridges that belong to a Community Association-Existence and Maintenance Hazard only</t>
  </si>
  <si>
    <t>Halls - Not-For-Profit only</t>
  </si>
  <si>
    <t>Location County</t>
  </si>
  <si>
    <t>Valuation Type</t>
  </si>
  <si>
    <t>Earthquake Limit (if applicable)</t>
  </si>
  <si>
    <t>GL Occurrence Limit</t>
  </si>
  <si>
    <t>GL Aggregate Limit</t>
  </si>
  <si>
    <t>Garage Parking Liability</t>
  </si>
  <si>
    <t>Wildfire Deductible ($)</t>
  </si>
  <si>
    <t>N/A</t>
  </si>
  <si>
    <t>Wildfire Deductible (%)</t>
  </si>
  <si>
    <t>Earthquake Deductible (if applicable)</t>
  </si>
  <si>
    <t>General Liability Deductible</t>
  </si>
  <si>
    <t>ACV - Roof</t>
  </si>
  <si>
    <t>ACV &amp; Cosmetic - Roof</t>
  </si>
  <si>
    <t>Wind Excluded</t>
  </si>
  <si>
    <t>Number of Stories</t>
  </si>
  <si>
    <t>Number of Units</t>
  </si>
  <si>
    <t>Protection Class</t>
  </si>
  <si>
    <t>Sprinklers?</t>
  </si>
  <si>
    <t>Separate Structure Square Footage</t>
  </si>
  <si>
    <t>HOA's EIN</t>
  </si>
  <si>
    <t>Type of Policy</t>
  </si>
  <si>
    <t>Admitted</t>
  </si>
  <si>
    <t>Surplus Lines</t>
  </si>
  <si>
    <t>Not sure</t>
  </si>
  <si>
    <t>Property only</t>
  </si>
  <si>
    <t>GL only</t>
  </si>
  <si>
    <t>No, the Association does NOT have ANY of these exposures</t>
  </si>
  <si>
    <t>Claim Type</t>
  </si>
  <si>
    <t>Please describe the type of loses AND open claims</t>
  </si>
  <si>
    <t>Were there any preventative measures put in place after these losses?</t>
  </si>
  <si>
    <t>Liability</t>
  </si>
  <si>
    <t>Water</t>
  </si>
  <si>
    <t>Wind/Hail</t>
  </si>
  <si>
    <t>Crime/Vandalism</t>
  </si>
  <si>
    <t>Mixed Assoc.- Condos &amp; SFRs</t>
  </si>
  <si>
    <t>55+ \Active\ Community</t>
  </si>
  <si>
    <r>
      <t xml:space="preserve">Number of Stories (highest building - subterranean &amp; street-level parking </t>
    </r>
    <r>
      <rPr>
        <b/>
        <u/>
        <sz val="12"/>
        <color theme="1"/>
        <rFont val="Calibri"/>
        <family val="2"/>
        <scheme val="minor"/>
      </rPr>
      <t>NOT</t>
    </r>
    <r>
      <rPr>
        <sz val="12"/>
        <color theme="1"/>
        <rFont val="Calibri"/>
        <family val="2"/>
        <scheme val="minor"/>
      </rPr>
      <t xml:space="preserve"> included)</t>
    </r>
  </si>
  <si>
    <t>Completed</t>
  </si>
  <si>
    <t>Phasing</t>
  </si>
  <si>
    <t>Completed/Phasing</t>
  </si>
  <si>
    <t>Is it completed or phasing?</t>
  </si>
  <si>
    <t>Number of Total Units</t>
  </si>
  <si>
    <t xml:space="preserve">          Number of Planned Units (if phasing)</t>
  </si>
  <si>
    <t xml:space="preserve">          Developer name (if phasing)</t>
  </si>
  <si>
    <t xml:space="preserve">          Any units owned/rented by developer? (if phasing)</t>
  </si>
  <si>
    <t xml:space="preserve">          Does developer plan to hold majority vote after project is complete? (if phasing)</t>
  </si>
  <si>
    <t>Are there other buildings with different construction types?</t>
  </si>
  <si>
    <t xml:space="preserve"> Units only</t>
  </si>
  <si>
    <t>Entire building</t>
  </si>
  <si>
    <t>Common areas only</t>
  </si>
  <si>
    <t>Garage only</t>
  </si>
  <si>
    <t xml:space="preserve">          Please describe the other construction types:</t>
  </si>
  <si>
    <t xml:space="preserve">          Please describe where sprinkles are located:</t>
  </si>
  <si>
    <t xml:space="preserve">          Is there a washer hose replacement program in place?</t>
  </si>
  <si>
    <t xml:space="preserve">          Are circuits protected by circuit breakers?</t>
  </si>
  <si>
    <t xml:space="preserve">          Is there a water heater replacement program in place?</t>
  </si>
  <si>
    <t xml:space="preserve">         Is regular cleaning required and mandated?</t>
  </si>
  <si>
    <t xml:space="preserve">         Confirm TRUE if NO armed guard services or dog services are in place</t>
  </si>
  <si>
    <t>Update your own limits:</t>
  </si>
  <si>
    <t>Bridges, bulkheads, docks, piers, retaining walls, wharves</t>
  </si>
  <si>
    <t>Community Personal Property in Transit</t>
  </si>
  <si>
    <t>Demolition Costs</t>
  </si>
  <si>
    <t>Employee Dishonesty, Computer Fraud, Depositors Forgery- A</t>
  </si>
  <si>
    <t>Employee Dishonesty, Computer Fraud, Depositors Forgery- B</t>
  </si>
  <si>
    <t>Fine Arts - Per Item</t>
  </si>
  <si>
    <t>Fine Arts - Per Occurrence</t>
  </si>
  <si>
    <t>Increased Cost of Construction</t>
  </si>
  <si>
    <t>Monetary Reward</t>
  </si>
  <si>
    <t>Natural Outdoor Property</t>
  </si>
  <si>
    <t>Off Premises Community Personal Property</t>
  </si>
  <si>
    <t>Property Removal</t>
  </si>
  <si>
    <t>Removal of Fallen Trees</t>
  </si>
  <si>
    <t>WA State Only</t>
  </si>
  <si>
    <t>All States (excpet WA)</t>
  </si>
  <si>
    <t>Please describe:</t>
  </si>
  <si>
    <t>GL Limits</t>
  </si>
  <si>
    <t>$1M / $2M</t>
  </si>
  <si>
    <t>$2M / $4M</t>
  </si>
  <si>
    <t>GL Deductible ($)</t>
  </si>
  <si>
    <t>AOP</t>
  </si>
  <si>
    <t>Clubhouse</t>
  </si>
  <si>
    <t>Per Unit:</t>
  </si>
  <si>
    <t>Per Unit</t>
  </si>
  <si>
    <t>Water/Sewer/Sprinkler</t>
  </si>
  <si>
    <t>Wind &amp; Hail Deductible (%-$)</t>
  </si>
  <si>
    <t>EQSL Deductible ($)</t>
  </si>
  <si>
    <t>Earthquake Deductible (%)</t>
  </si>
  <si>
    <t>Parking (other than attached garages)</t>
  </si>
  <si>
    <t xml:space="preserve">Parking Area -sq. ft </t>
  </si>
  <si>
    <t>Detached Carports/Garage</t>
  </si>
  <si>
    <t xml:space="preserve">Detached Area -sq. ft </t>
  </si>
  <si>
    <t>Subterranean parking</t>
  </si>
  <si>
    <t xml:space="preserve">Subterranean Area -sq. ft </t>
  </si>
  <si>
    <t xml:space="preserve">Number of playgrounds </t>
  </si>
  <si>
    <t>Swimming Pools</t>
  </si>
  <si>
    <t xml:space="preserve">Number of swimming pools </t>
  </si>
  <si>
    <t>Max depth</t>
  </si>
  <si>
    <t>Self-Locking/Latching Gate?</t>
  </si>
  <si>
    <t>Diving board?</t>
  </si>
  <si>
    <t>Lifeguards on duty?</t>
  </si>
  <si>
    <t>Spa</t>
  </si>
  <si>
    <t xml:space="preserve">Number of Spas </t>
  </si>
  <si>
    <t>Charcoal grilling</t>
  </si>
  <si>
    <t>Clubhouse center sq. ft</t>
  </si>
  <si>
    <t>Security Bars</t>
  </si>
  <si>
    <t>Safety release?</t>
  </si>
  <si>
    <t>Lakes or Ponds</t>
  </si>
  <si>
    <t xml:space="preserve">Lakes or Ponds Total acres </t>
  </si>
  <si>
    <t>Lakes or ponds Max depth</t>
  </si>
  <si>
    <t>Are No swimming signs posted and monitored by the HOA?</t>
  </si>
  <si>
    <t>Any fencing?</t>
  </si>
  <si>
    <t>Fitness center</t>
  </si>
  <si>
    <t>Commercial Exposure</t>
  </si>
  <si>
    <t>Commercial total area sq. ft</t>
  </si>
  <si>
    <t>Restaurants (owned or managed by HOA)</t>
  </si>
  <si>
    <t xml:space="preserve">Restaurants gross sales ($)? </t>
  </si>
  <si>
    <t>None of the above</t>
  </si>
  <si>
    <t>Features (if not applicable - leave blank)</t>
  </si>
  <si>
    <t>Is a Certificate of Insurance obtained from the lifeguard service company?</t>
  </si>
  <si>
    <t>EQSL Limit (Available in WA/OR/UT only, Max Cap $10M)</t>
  </si>
  <si>
    <t>Version:</t>
  </si>
  <si>
    <t>Number of Fitness centers</t>
  </si>
  <si>
    <t>Socher Insurance Agency</t>
  </si>
  <si>
    <t>Candace Rea</t>
  </si>
  <si>
    <t xml:space="preserve">CA </t>
  </si>
  <si>
    <t>Wolf Creek Lodge Association</t>
  </si>
  <si>
    <t>800 Freeman Lane</t>
  </si>
  <si>
    <t>Grass Valley</t>
  </si>
  <si>
    <t>Board of Directors</t>
  </si>
  <si>
    <t xml:space="preserve">800 Freeman Lane </t>
  </si>
  <si>
    <t>80-0851525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</si>
</sst>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$&quot;#,##0"/>
    <numFmt numFmtId="165" formatCode="0.0%"/>
    <numFmt numFmtId="166" formatCode="0.0"/>
  </numFmts>
  <fonts count="4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u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color theme="5" tint="-0.499984740745262"/>
      <name val="Calibri"/>
      <family val="2"/>
      <scheme val="minor"/>
    </font>
    <font>
      <b/>
      <u/>
      <sz val="16"/>
      <color theme="5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4" tint="0.59999389629810485"/>
      <name val="Calibri"/>
      <family val="2"/>
      <scheme val="minor"/>
    </font>
    <font>
      <sz val="12"/>
      <color theme="4" tint="0.59999389629810485"/>
      <name val="Calibri"/>
      <family val="2"/>
      <scheme val="minor"/>
    </font>
    <font>
      <sz val="14"/>
      <color theme="4" tint="0.59999389629810485"/>
      <name val="Calibri"/>
      <family val="2"/>
      <scheme val="minor"/>
    </font>
    <font>
      <b/>
      <sz val="18"/>
      <color theme="0" tint="-0.499984740745262"/>
      <name val="Calibri"/>
      <family val="2"/>
      <scheme val="minor"/>
    </font>
    <font>
      <sz val="18"/>
      <color theme="4" tint="0.59999389629810485"/>
      <name val="Calibri"/>
      <family val="2"/>
      <scheme val="minor"/>
    </font>
    <font>
      <b/>
      <sz val="18"/>
      <color theme="7" tint="-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4" tint="0.59999389629810485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2"/>
      <color rgb="FFFF0000"/>
      <name val="Calibri"/>
      <family val="2"/>
      <scheme val="minor"/>
    </font>
    <font>
      <i/>
      <sz val="12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" fillId="0" borderId="0"/>
  </cellStyleXfs>
  <cellXfs count="209">
    <xf numFmtId="0" fontId="0" fillId="0" borderId="0" xfId="0"/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3" fontId="8" fillId="2" borderId="10" xfId="0" applyNumberFormat="1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3" fontId="8" fillId="3" borderId="9" xfId="0" applyNumberFormat="1" applyFont="1" applyFill="1" applyBorder="1" applyAlignment="1">
      <alignment horizontal="center" vertical="center"/>
    </xf>
    <xf numFmtId="164" fontId="8" fillId="2" borderId="10" xfId="0" applyNumberFormat="1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164" fontId="8" fillId="2" borderId="7" xfId="0" applyNumberFormat="1" applyFont="1" applyFill="1" applyBorder="1" applyAlignment="1">
      <alignment horizontal="center" vertical="center"/>
    </xf>
    <xf numFmtId="164" fontId="8" fillId="3" borderId="10" xfId="0" applyNumberFormat="1" applyFont="1" applyFill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14" fontId="8" fillId="2" borderId="10" xfId="0" applyNumberFormat="1" applyFont="1" applyFill="1" applyBorder="1" applyAlignment="1">
      <alignment horizontal="center" vertical="center"/>
    </xf>
    <xf numFmtId="0" fontId="5" fillId="0" borderId="0" xfId="0" applyFont="1"/>
    <xf numFmtId="164" fontId="8" fillId="0" borderId="9" xfId="0" applyNumberFormat="1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7" fillId="0" borderId="0" xfId="0" quotePrefix="1" applyFont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9" fontId="8" fillId="2" borderId="7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right" indent="2"/>
    </xf>
    <xf numFmtId="4" fontId="20" fillId="0" borderId="0" xfId="0" applyNumberFormat="1" applyFont="1" applyAlignment="1">
      <alignment horizontal="right" indent="3"/>
    </xf>
    <xf numFmtId="3" fontId="21" fillId="0" borderId="0" xfId="0" applyNumberFormat="1" applyFont="1" applyAlignment="1">
      <alignment horizontal="center"/>
    </xf>
    <xf numFmtId="3" fontId="22" fillId="0" borderId="0" xfId="0" applyNumberFormat="1" applyFont="1" applyAlignment="1">
      <alignment horizontal="center"/>
    </xf>
    <xf numFmtId="0" fontId="20" fillId="0" borderId="0" xfId="0" applyFont="1"/>
    <xf numFmtId="164" fontId="20" fillId="0" borderId="0" xfId="0" applyNumberFormat="1" applyFont="1" applyAlignment="1">
      <alignment horizontal="right" indent="3"/>
    </xf>
    <xf numFmtId="164" fontId="20" fillId="0" borderId="0" xfId="0" applyNumberFormat="1" applyFont="1" applyAlignment="1">
      <alignment horizontal="center"/>
    </xf>
    <xf numFmtId="164" fontId="20" fillId="0" borderId="0" xfId="0" applyNumberFormat="1" applyFont="1"/>
    <xf numFmtId="0" fontId="4" fillId="0" borderId="0" xfId="0" applyFont="1"/>
    <xf numFmtId="3" fontId="25" fillId="0" borderId="0" xfId="0" applyNumberFormat="1" applyFont="1" applyAlignment="1">
      <alignment horizontal="center" vertical="center" wrapText="1"/>
    </xf>
    <xf numFmtId="0" fontId="27" fillId="0" borderId="0" xfId="0" applyFont="1"/>
    <xf numFmtId="0" fontId="5" fillId="0" borderId="4" xfId="0" applyFont="1" applyBorder="1" applyAlignment="1">
      <alignment horizontal="center"/>
    </xf>
    <xf numFmtId="3" fontId="5" fillId="0" borderId="5" xfId="0" applyNumberFormat="1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3" fontId="23" fillId="0" borderId="0" xfId="0" applyNumberFormat="1" applyFont="1" applyAlignment="1">
      <alignment horizontal="center"/>
    </xf>
    <xf numFmtId="3" fontId="28" fillId="0" borderId="0" xfId="0" applyNumberFormat="1" applyFont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right" vertical="center" indent="2"/>
    </xf>
    <xf numFmtId="0" fontId="4" fillId="0" borderId="8" xfId="0" applyFont="1" applyBorder="1" applyAlignment="1">
      <alignment horizontal="center" vertical="center" wrapText="1"/>
    </xf>
    <xf numFmtId="164" fontId="4" fillId="0" borderId="9" xfId="0" applyNumberFormat="1" applyFont="1" applyBorder="1" applyAlignment="1">
      <alignment horizontal="right" vertical="center" indent="2"/>
    </xf>
    <xf numFmtId="0" fontId="4" fillId="0" borderId="4" xfId="0" applyFont="1" applyBorder="1" applyAlignment="1">
      <alignment horizontal="center" vertical="center" wrapText="1"/>
    </xf>
    <xf numFmtId="164" fontId="4" fillId="0" borderId="11" xfId="0" applyNumberFormat="1" applyFont="1" applyBorder="1" applyAlignment="1">
      <alignment horizontal="right" vertical="center" indent="2"/>
    </xf>
    <xf numFmtId="0" fontId="8" fillId="0" borderId="8" xfId="0" applyFont="1" applyBorder="1" applyAlignment="1">
      <alignment horizontal="left" vertical="center" wrapText="1"/>
    </xf>
    <xf numFmtId="0" fontId="8" fillId="2" borderId="7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29" fillId="2" borderId="4" xfId="0" applyFont="1" applyFill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3" borderId="5" xfId="0" applyFont="1" applyFill="1" applyBorder="1" applyAlignment="1">
      <alignment horizontal="centerContinuous" vertical="center"/>
    </xf>
    <xf numFmtId="0" fontId="30" fillId="3" borderId="11" xfId="0" applyFont="1" applyFill="1" applyBorder="1" applyAlignment="1">
      <alignment horizontal="centerContinuous" vertical="center"/>
    </xf>
    <xf numFmtId="0" fontId="30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center"/>
    </xf>
    <xf numFmtId="0" fontId="8" fillId="0" borderId="6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Continuous" vertical="center" wrapText="1"/>
    </xf>
    <xf numFmtId="0" fontId="18" fillId="0" borderId="11" xfId="0" applyFont="1" applyBorder="1" applyAlignment="1">
      <alignment horizontal="centerContinuous" vertical="center" wrapText="1"/>
    </xf>
    <xf numFmtId="0" fontId="5" fillId="0" borderId="4" xfId="0" applyFont="1" applyBorder="1" applyAlignment="1">
      <alignment horizontal="centerContinuous" vertical="center"/>
    </xf>
    <xf numFmtId="0" fontId="5" fillId="0" borderId="11" xfId="0" applyFont="1" applyBorder="1" applyAlignment="1">
      <alignment horizontal="centerContinuous" vertical="center"/>
    </xf>
    <xf numFmtId="3" fontId="4" fillId="0" borderId="0" xfId="0" applyNumberFormat="1" applyFont="1" applyAlignment="1">
      <alignment horizontal="right" vertical="center" indent="1"/>
    </xf>
    <xf numFmtId="3" fontId="4" fillId="0" borderId="1" xfId="0" applyNumberFormat="1" applyFont="1" applyBorder="1" applyAlignment="1">
      <alignment horizontal="right" vertical="center" indent="1"/>
    </xf>
    <xf numFmtId="3" fontId="4" fillId="0" borderId="5" xfId="0" applyNumberFormat="1" applyFont="1" applyBorder="1" applyAlignment="1">
      <alignment horizontal="right" vertical="center" indent="1"/>
    </xf>
    <xf numFmtId="164" fontId="8" fillId="3" borderId="7" xfId="0" applyNumberFormat="1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left" vertical="center" wrapText="1"/>
    </xf>
    <xf numFmtId="0" fontId="32" fillId="0" borderId="4" xfId="0" applyFont="1" applyBorder="1" applyAlignment="1">
      <alignment horizontal="left" vertical="center"/>
    </xf>
    <xf numFmtId="0" fontId="32" fillId="0" borderId="5" xfId="0" applyFont="1" applyBorder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6" xfId="0" applyFont="1" applyBorder="1" applyAlignment="1">
      <alignment horizontal="left" vertical="center"/>
    </xf>
    <xf numFmtId="49" fontId="33" fillId="2" borderId="7" xfId="0" applyNumberFormat="1" applyFont="1" applyFill="1" applyBorder="1" applyAlignment="1" applyProtection="1">
      <alignment horizontal="left" vertical="center"/>
      <protection locked="0"/>
    </xf>
    <xf numFmtId="0" fontId="33" fillId="0" borderId="8" xfId="0" applyFont="1" applyBorder="1" applyAlignment="1">
      <alignment horizontal="left" vertical="center"/>
    </xf>
    <xf numFmtId="49" fontId="33" fillId="2" borderId="9" xfId="0" applyNumberFormat="1" applyFont="1" applyFill="1" applyBorder="1" applyAlignment="1" applyProtection="1">
      <alignment horizontal="left" vertical="center"/>
      <protection locked="0"/>
    </xf>
    <xf numFmtId="0" fontId="34" fillId="0" borderId="0" xfId="0" applyFont="1" applyAlignment="1">
      <alignment horizontal="left" vertical="center"/>
    </xf>
    <xf numFmtId="3" fontId="34" fillId="2" borderId="0" xfId="0" applyNumberFormat="1" applyFont="1" applyFill="1" applyAlignment="1" applyProtection="1">
      <alignment horizontal="left" vertical="center"/>
      <protection locked="0"/>
    </xf>
    <xf numFmtId="0" fontId="33" fillId="2" borderId="7" xfId="0" applyFont="1" applyFill="1" applyBorder="1" applyAlignment="1" applyProtection="1">
      <alignment horizontal="left" vertical="center"/>
      <protection locked="0"/>
    </xf>
    <xf numFmtId="0" fontId="33" fillId="0" borderId="3" xfId="0" applyFont="1" applyBorder="1" applyAlignment="1">
      <alignment horizontal="left" vertical="center"/>
    </xf>
    <xf numFmtId="0" fontId="33" fillId="2" borderId="10" xfId="0" applyFont="1" applyFill="1" applyBorder="1" applyAlignment="1" applyProtection="1">
      <alignment horizontal="left" vertical="center"/>
      <protection locked="0"/>
    </xf>
    <xf numFmtId="0" fontId="33" fillId="2" borderId="9" xfId="0" applyFont="1" applyFill="1" applyBorder="1" applyAlignment="1" applyProtection="1">
      <alignment horizontal="left" vertical="center"/>
      <protection locked="0"/>
    </xf>
    <xf numFmtId="14" fontId="33" fillId="2" borderId="7" xfId="0" applyNumberFormat="1" applyFont="1" applyFill="1" applyBorder="1" applyAlignment="1" applyProtection="1">
      <alignment horizontal="left" vertical="center"/>
      <protection locked="0"/>
    </xf>
    <xf numFmtId="14" fontId="33" fillId="2" borderId="10" xfId="0" applyNumberFormat="1" applyFont="1" applyFill="1" applyBorder="1" applyAlignment="1" applyProtection="1">
      <alignment horizontal="left" vertical="center"/>
      <protection locked="0"/>
    </xf>
    <xf numFmtId="14" fontId="33" fillId="3" borderId="9" xfId="0" applyNumberFormat="1" applyFont="1" applyFill="1" applyBorder="1" applyAlignment="1">
      <alignment horizontal="left" vertical="center"/>
    </xf>
    <xf numFmtId="0" fontId="34" fillId="2" borderId="0" xfId="0" applyFont="1" applyFill="1" applyAlignment="1" applyProtection="1">
      <alignment horizontal="left" vertical="center"/>
      <protection locked="0"/>
    </xf>
    <xf numFmtId="164" fontId="33" fillId="2" borderId="10" xfId="0" applyNumberFormat="1" applyFont="1" applyFill="1" applyBorder="1" applyAlignment="1" applyProtection="1">
      <alignment horizontal="left" vertical="center"/>
      <protection locked="0"/>
    </xf>
    <xf numFmtId="164" fontId="33" fillId="3" borderId="10" xfId="0" applyNumberFormat="1" applyFont="1" applyFill="1" applyBorder="1" applyAlignment="1">
      <alignment horizontal="left" vertical="center"/>
    </xf>
    <xf numFmtId="3" fontId="33" fillId="2" borderId="10" xfId="0" applyNumberFormat="1" applyFont="1" applyFill="1" applyBorder="1" applyAlignment="1" applyProtection="1">
      <alignment horizontal="left" vertical="center"/>
      <protection locked="0"/>
    </xf>
    <xf numFmtId="0" fontId="32" fillId="0" borderId="1" xfId="0" applyFont="1" applyBorder="1" applyAlignment="1">
      <alignment horizontal="center" vertical="center"/>
    </xf>
    <xf numFmtId="3" fontId="32" fillId="0" borderId="1" xfId="0" applyNumberFormat="1" applyFont="1" applyBorder="1" applyAlignment="1">
      <alignment horizontal="center" vertical="center"/>
    </xf>
    <xf numFmtId="0" fontId="32" fillId="5" borderId="0" xfId="0" applyFont="1" applyFill="1" applyAlignment="1">
      <alignment horizontal="centerContinuous" vertical="center"/>
    </xf>
    <xf numFmtId="3" fontId="32" fillId="5" borderId="0" xfId="0" applyNumberFormat="1" applyFont="1" applyFill="1" applyAlignment="1">
      <alignment horizontal="centerContinuous" vertical="center"/>
    </xf>
    <xf numFmtId="3" fontId="33" fillId="3" borderId="9" xfId="0" applyNumberFormat="1" applyFont="1" applyFill="1" applyBorder="1" applyAlignment="1">
      <alignment horizontal="left" vertical="center"/>
    </xf>
    <xf numFmtId="164" fontId="33" fillId="2" borderId="12" xfId="0" applyNumberFormat="1" applyFont="1" applyFill="1" applyBorder="1" applyAlignment="1" applyProtection="1">
      <alignment horizontal="left" vertical="center"/>
      <protection locked="0"/>
    </xf>
    <xf numFmtId="164" fontId="33" fillId="2" borderId="13" xfId="0" applyNumberFormat="1" applyFont="1" applyFill="1" applyBorder="1" applyAlignment="1" applyProtection="1">
      <alignment horizontal="left" vertical="center"/>
      <protection locked="0"/>
    </xf>
    <xf numFmtId="164" fontId="33" fillId="2" borderId="13" xfId="0" applyNumberFormat="1" applyFont="1" applyFill="1" applyBorder="1" applyAlignment="1">
      <alignment horizontal="left" vertical="center"/>
    </xf>
    <xf numFmtId="165" fontId="33" fillId="2" borderId="13" xfId="0" applyNumberFormat="1" applyFont="1" applyFill="1" applyBorder="1" applyAlignment="1">
      <alignment horizontal="left" vertical="center"/>
    </xf>
    <xf numFmtId="165" fontId="33" fillId="2" borderId="13" xfId="0" applyNumberFormat="1" applyFont="1" applyFill="1" applyBorder="1" applyAlignment="1" applyProtection="1">
      <alignment horizontal="left" vertical="center"/>
      <protection locked="0"/>
    </xf>
    <xf numFmtId="164" fontId="33" fillId="2" borderId="14" xfId="0" applyNumberFormat="1" applyFont="1" applyFill="1" applyBorder="1" applyAlignment="1" applyProtection="1">
      <alignment horizontal="left" vertical="center"/>
      <protection locked="0"/>
    </xf>
    <xf numFmtId="3" fontId="8" fillId="0" borderId="0" xfId="0" applyNumberFormat="1" applyFont="1" applyAlignment="1">
      <alignment horizontal="right" vertical="center" indent="2"/>
    </xf>
    <xf numFmtId="0" fontId="8" fillId="0" borderId="6" xfId="0" applyFont="1" applyBorder="1" applyAlignment="1">
      <alignment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8" fillId="0" borderId="10" xfId="0" applyFont="1" applyBorder="1" applyAlignment="1">
      <alignment horizontal="left" vertical="center"/>
    </xf>
    <xf numFmtId="3" fontId="8" fillId="3" borderId="10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3" fontId="31" fillId="0" borderId="17" xfId="0" applyNumberFormat="1" applyFont="1" applyBorder="1" applyAlignment="1">
      <alignment horizontal="center" vertical="center"/>
    </xf>
    <xf numFmtId="3" fontId="8" fillId="0" borderId="12" xfId="0" applyNumberFormat="1" applyFont="1" applyBorder="1" applyAlignment="1">
      <alignment horizontal="center" vertical="center"/>
    </xf>
    <xf numFmtId="3" fontId="8" fillId="0" borderId="13" xfId="0" applyNumberFormat="1" applyFont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 vertical="center"/>
    </xf>
    <xf numFmtId="3" fontId="8" fillId="0" borderId="14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  <xf numFmtId="0" fontId="31" fillId="0" borderId="6" xfId="0" applyFont="1" applyBorder="1" applyAlignment="1">
      <alignment horizontal="center"/>
    </xf>
    <xf numFmtId="3" fontId="31" fillId="0" borderId="12" xfId="0" applyNumberFormat="1" applyFont="1" applyBorder="1" applyAlignment="1">
      <alignment horizontal="center" vertical="center"/>
    </xf>
    <xf numFmtId="3" fontId="31" fillId="2" borderId="7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31" fillId="0" borderId="18" xfId="0" applyFont="1" applyBorder="1" applyAlignment="1">
      <alignment horizontal="center"/>
    </xf>
    <xf numFmtId="3" fontId="31" fillId="2" borderId="19" xfId="0" applyNumberFormat="1" applyFont="1" applyFill="1" applyBorder="1" applyAlignment="1">
      <alignment horizontal="center" vertical="center"/>
    </xf>
    <xf numFmtId="0" fontId="8" fillId="0" borderId="20" xfId="0" applyFont="1" applyBorder="1" applyAlignment="1">
      <alignment horizontal="left" vertical="center" wrapText="1"/>
    </xf>
    <xf numFmtId="0" fontId="0" fillId="0" borderId="21" xfId="0" applyBorder="1"/>
    <xf numFmtId="0" fontId="5" fillId="0" borderId="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9" fillId="0" borderId="0" xfId="0" applyFont="1"/>
    <xf numFmtId="165" fontId="8" fillId="2" borderId="9" xfId="0" applyNumberFormat="1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/>
    </xf>
    <xf numFmtId="0" fontId="8" fillId="2" borderId="15" xfId="0" applyFont="1" applyFill="1" applyBorder="1" applyAlignment="1">
      <alignment horizontal="center" vertical="center"/>
    </xf>
    <xf numFmtId="0" fontId="31" fillId="0" borderId="15" xfId="0" applyFont="1" applyBorder="1" applyAlignment="1">
      <alignment horizontal="left" vertical="center"/>
    </xf>
    <xf numFmtId="0" fontId="8" fillId="3" borderId="15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Continuous" vertical="center"/>
    </xf>
    <xf numFmtId="0" fontId="5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/>
    </xf>
    <xf numFmtId="0" fontId="20" fillId="0" borderId="0" xfId="0" applyFont="1" applyAlignment="1">
      <alignment horizontal="right" vertical="center" wrapText="1"/>
    </xf>
    <xf numFmtId="166" fontId="20" fillId="0" borderId="0" xfId="0" applyNumberFormat="1" applyFont="1" applyAlignment="1">
      <alignment horizontal="left" vertical="center" wrapText="1"/>
    </xf>
    <xf numFmtId="0" fontId="5" fillId="0" borderId="6" xfId="0" applyFont="1" applyBorder="1" applyAlignment="1">
      <alignment horizontal="centerContinuous" vertical="center"/>
    </xf>
    <xf numFmtId="0" fontId="5" fillId="0" borderId="7" xfId="0" applyFont="1" applyBorder="1" applyAlignment="1">
      <alignment horizontal="centerContinuous" vertical="center"/>
    </xf>
    <xf numFmtId="0" fontId="8" fillId="0" borderId="9" xfId="0" applyFont="1" applyBorder="1" applyAlignment="1">
      <alignment horizontal="center" vertical="center"/>
    </xf>
    <xf numFmtId="3" fontId="8" fillId="3" borderId="15" xfId="0" applyNumberFormat="1" applyFont="1" applyFill="1" applyBorder="1" applyAlignment="1">
      <alignment horizontal="center" vertical="center"/>
    </xf>
    <xf numFmtId="0" fontId="40" fillId="0" borderId="0" xfId="0" applyFont="1"/>
    <xf numFmtId="0" fontId="31" fillId="7" borderId="13" xfId="0" applyFont="1" applyFill="1" applyBorder="1" applyAlignment="1">
      <alignment horizontal="center" vertical="center" wrapText="1"/>
    </xf>
    <xf numFmtId="0" fontId="38" fillId="2" borderId="6" xfId="0" applyFont="1" applyFill="1" applyBorder="1" applyAlignment="1">
      <alignment horizontal="center" vertical="center"/>
    </xf>
    <xf numFmtId="0" fontId="38" fillId="2" borderId="2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/>
    </xf>
    <xf numFmtId="0" fontId="38" fillId="2" borderId="9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31" fillId="6" borderId="12" xfId="0" applyFont="1" applyFill="1" applyBorder="1" applyAlignment="1">
      <alignment horizontal="center" vertical="center" wrapText="1"/>
    </xf>
    <xf numFmtId="0" fontId="31" fillId="6" borderId="16" xfId="0" applyFont="1" applyFill="1" applyBorder="1" applyAlignment="1">
      <alignment horizontal="center" vertical="center" wrapText="1"/>
    </xf>
    <xf numFmtId="0" fontId="31" fillId="7" borderId="12" xfId="0" applyFont="1" applyFill="1" applyBorder="1" applyAlignment="1">
      <alignment horizontal="center" vertical="center" wrapText="1"/>
    </xf>
    <xf numFmtId="0" fontId="31" fillId="7" borderId="16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top"/>
    </xf>
    <xf numFmtId="0" fontId="8" fillId="2" borderId="15" xfId="0" applyFont="1" applyFill="1" applyBorder="1" applyAlignment="1">
      <alignment horizontal="left" vertical="top"/>
    </xf>
    <xf numFmtId="0" fontId="8" fillId="2" borderId="15" xfId="0" applyFont="1" applyFill="1" applyBorder="1" applyAlignment="1">
      <alignment horizontal="left"/>
    </xf>
    <xf numFmtId="0" fontId="31" fillId="6" borderId="13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/>
    </xf>
    <xf numFmtId="0" fontId="8" fillId="0" borderId="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10" xfId="0" applyFont="1" applyBorder="1" applyAlignment="1">
      <alignment horizontal="center" vertical="top"/>
    </xf>
    <xf numFmtId="0" fontId="8" fillId="0" borderId="8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top"/>
    </xf>
    <xf numFmtId="0" fontId="14" fillId="0" borderId="3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24" fillId="4" borderId="0" xfId="0" applyFont="1" applyFill="1" applyAlignment="1">
      <alignment horizontal="center" vertical="center" wrapText="1"/>
    </xf>
    <xf numFmtId="0" fontId="26" fillId="5" borderId="0" xfId="0" applyFont="1" applyFill="1" applyAlignment="1">
      <alignment horizontal="center" vertical="center" wrapText="1"/>
    </xf>
    <xf numFmtId="164" fontId="1" fillId="2" borderId="10" xfId="0" applyNumberFormat="1" applyFont="1" applyFill="1" applyBorder="1" applyAlignment="1">
      <alignment horizontal="center" vertical="center"/>
    </xf>
  </cellXfs>
  <cellStyles count="5">
    <cellStyle name="Comma 2" xfId="2" xr:uid="{00000000-0005-0000-0000-000004000000}"/>
    <cellStyle name="Normal" xfId="0" builtinId="0"/>
    <cellStyle name="Normal 20" xfId="1" xr:uid="{00000000-0005-0000-0000-000007000000}"/>
    <cellStyle name="Normal 23" xfId="3" xr:uid="{00000000-0005-0000-0000-000008000000}"/>
    <cellStyle name="Normal 3 4" xfId="4" xr:uid="{00000000-0005-0000-0000-000009000000}"/>
  </cellStyles>
  <dxfs count="21">
    <dxf>
      <numFmt numFmtId="0" formatCode="General"/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157390</xdr:colOff>
      <xdr:row>4</xdr:row>
      <xdr:rowOff>77842</xdr:rowOff>
    </xdr:from>
    <xdr:to>
      <xdr:col>8</xdr:col>
      <xdr:colOff>18143</xdr:colOff>
      <xdr:row>4</xdr:row>
      <xdr:rowOff>112486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74ABF0E-105E-41D0-A688-5F3E2F78C074}"/>
            </a:ext>
          </a:extLst>
        </xdr:cNvPr>
        <xdr:cNvCxnSpPr/>
      </xdr:nvCxnSpPr>
      <xdr:spPr>
        <a:xfrm flipV="1">
          <a:off x="17429390" y="1402271"/>
          <a:ext cx="5557610" cy="34644"/>
        </a:xfrm>
        <a:prstGeom prst="straightConnector1">
          <a:avLst/>
        </a:prstGeom>
        <a:ln w="539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rdenprograms.sharepoint.com/Users/CareyDooley/AppData/Local/Microsoft/Windows/INetCache/Content.Outlook/J1YE5WOP/SO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Inactive%20Clients/RUSH/Final%20Model%20Documents/RUSH%20Model%20-%20Budge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Clients/Heritage/20%20-%20Batch%20Rating/10%20-%20Batch%20Rating%20-%20Excel/51%20-%20Sunshine%20State%20Portfolio%20Analysis/HPIC_HT6_FL_Batch_Rater_20140415_March2014T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>
        <row r="1">
          <cell r="A1" t="str">
            <v xml:space="preserve">Tile </v>
          </cell>
          <cell r="B1" t="str">
            <v>Habitational over Garage</v>
          </cell>
          <cell r="C1" t="str">
            <v>Yes</v>
          </cell>
          <cell r="D1" t="str">
            <v>Battery</v>
          </cell>
          <cell r="E1" t="str">
            <v>Frame</v>
          </cell>
          <cell r="F1">
            <v>100000</v>
          </cell>
        </row>
        <row r="2">
          <cell r="A2" t="str">
            <v>Comp.</v>
          </cell>
          <cell r="B2" t="str">
            <v>Detached</v>
          </cell>
          <cell r="C2" t="str">
            <v>No</v>
          </cell>
          <cell r="D2" t="str">
            <v>Hard-Wired</v>
          </cell>
          <cell r="E2" t="str">
            <v>Joisted Masonry</v>
          </cell>
          <cell r="F2" t="str">
            <v>Actual Loss Sustained Total:</v>
          </cell>
        </row>
        <row r="3">
          <cell r="A3" t="str">
            <v>Flat</v>
          </cell>
          <cell r="B3" t="str">
            <v>Attached</v>
          </cell>
          <cell r="C3" t="str">
            <v>Partially</v>
          </cell>
          <cell r="D3" t="str">
            <v>None</v>
          </cell>
          <cell r="E3" t="str">
            <v>Fire Resistive</v>
          </cell>
          <cell r="F3" t="str">
            <v>None</v>
          </cell>
        </row>
        <row r="4">
          <cell r="A4" t="str">
            <v>Shake</v>
          </cell>
          <cell r="B4" t="str">
            <v>Subterranean</v>
          </cell>
          <cell r="E4" t="str">
            <v>Steel Frame w/ Concrete Block</v>
          </cell>
        </row>
        <row r="5">
          <cell r="B5" t="str">
            <v>Masonry Above-Ground</v>
          </cell>
        </row>
        <row r="6">
          <cell r="B6" t="str">
            <v>Partial Subterranean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 Summary"/>
      <sheetName val="Financial Pivot"/>
      <sheetName val="DM 1"/>
      <sheetName val="DM 2"/>
      <sheetName val="DM 3"/>
      <sheetName val="DM 4"/>
      <sheetName val="DM 5"/>
      <sheetName val="DM 6"/>
      <sheetName val="DM 7"/>
      <sheetName val="DM 8"/>
      <sheetName val="DM 9"/>
      <sheetName val="POS 1"/>
      <sheetName val="POS 2"/>
      <sheetName val="POS 3"/>
      <sheetName val="PLabel 1"/>
      <sheetName val="TO 1"/>
      <sheetName val="Wyn 1"/>
      <sheetName val="Wyn 2"/>
      <sheetName val="Wyn 3"/>
      <sheetName val="Wyn 4"/>
      <sheetName val="Wyn 5"/>
      <sheetName val="Wyn 6"/>
      <sheetName val="Wyn 7"/>
      <sheetName val="Wyn 8"/>
      <sheetName val="Wyn 9"/>
      <sheetName val="Wyn 10"/>
      <sheetName val="Calc - LAE"/>
      <sheetName val="Calc - CC Staffing"/>
      <sheetName val="Calc - Referral"/>
      <sheetName val="Calc - Response"/>
      <sheetName val="Calc - Earning"/>
      <sheetName val="Calc - Rein"/>
      <sheetName val="Calc - Inv Inc"/>
      <sheetName val="Budget Costs Aggregated"/>
      <sheetName val="Pivot Data"/>
      <sheetName val="Financial - Do Not Touch"/>
      <sheetName val="Info"/>
      <sheetName val="Seg_Summary"/>
      <sheetName val="Financial_Pivot"/>
      <sheetName val="DM_1"/>
      <sheetName val="DM_2"/>
      <sheetName val="DM_3"/>
      <sheetName val="DM_4"/>
      <sheetName val="DM_5"/>
      <sheetName val="DM_6"/>
      <sheetName val="DM_7"/>
      <sheetName val="DM_8"/>
      <sheetName val="DM_9"/>
      <sheetName val="POS_1"/>
      <sheetName val="POS_2"/>
      <sheetName val="POS_3"/>
      <sheetName val="PLabel_1"/>
      <sheetName val="TO_1"/>
      <sheetName val="Wyn_1"/>
      <sheetName val="Wyn_2"/>
      <sheetName val="Wyn_3"/>
      <sheetName val="Wyn_4"/>
      <sheetName val="Wyn_5"/>
      <sheetName val="Wyn_6"/>
      <sheetName val="Wyn_7"/>
      <sheetName val="Wyn_8"/>
      <sheetName val="Wyn_9"/>
      <sheetName val="Wyn_10"/>
      <sheetName val="Calc_-_LAE"/>
      <sheetName val="Calc_-_CC_Staffing"/>
      <sheetName val="Calc_-_Referral"/>
      <sheetName val="Calc_-_Response"/>
      <sheetName val="Calc_-_Earning"/>
      <sheetName val="Calc_-_Rein"/>
      <sheetName val="Calc_-_Inv_Inc"/>
      <sheetName val="Budget_Costs_Aggregated"/>
      <sheetName val="Pivot_Data"/>
      <sheetName val="Financial_-_Do_Not_Touch"/>
    </sheetNames>
    <sheetDataSet>
      <sheetData sheetId="0">
        <row r="3">
          <cell r="B3" t="str">
            <v>Y</v>
          </cell>
        </row>
      </sheetData>
      <sheetData sheetId="1" refreshError="1"/>
      <sheetData sheetId="2">
        <row r="45">
          <cell r="C45">
            <v>2001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etadata"/>
      <sheetName val="Tables"/>
      <sheetName val="Assumptions"/>
      <sheetName val="Terr &amp; Base Rate"/>
      <sheetName val="Building Residence"/>
      <sheetName val="Policy Coverage"/>
      <sheetName val="Optional Coverages"/>
      <sheetName val="Wind Mitigation Inputs"/>
      <sheetName val="PolicyInfo &amp; Yes-No"/>
      <sheetName val="Agency Data"/>
      <sheetName val="Terr_&amp;_Base_Rate"/>
      <sheetName val="Building_Residence"/>
      <sheetName val="Policy_Coverage"/>
      <sheetName val="Optional_Coverages"/>
      <sheetName val="Wind_Mitigation_Inputs"/>
      <sheetName val="PolicyInfo_&amp;_Yes-No"/>
      <sheetName val="Agency_Data"/>
    </sheetNames>
    <sheetDataSet>
      <sheetData sheetId="0">
        <row r="5">
          <cell r="E5" t="str">
            <v>nb</v>
          </cell>
        </row>
        <row r="7">
          <cell r="E7" t="str">
            <v>032</v>
          </cell>
        </row>
        <row r="8">
          <cell r="E8" t="str">
            <v>MIAMIDADE</v>
          </cell>
        </row>
        <row r="9">
          <cell r="E9" t="str">
            <v>Masonry</v>
          </cell>
        </row>
        <row r="10">
          <cell r="E10">
            <v>4</v>
          </cell>
        </row>
        <row r="11">
          <cell r="E11" t="str">
            <v>Primary</v>
          </cell>
        </row>
        <row r="12">
          <cell r="E12">
            <v>0</v>
          </cell>
        </row>
        <row r="13">
          <cell r="E13">
            <v>2001</v>
          </cell>
        </row>
        <row r="14">
          <cell r="E14">
            <v>1</v>
          </cell>
        </row>
        <row r="15">
          <cell r="E15">
            <v>6</v>
          </cell>
        </row>
        <row r="16">
          <cell r="E16">
            <v>4</v>
          </cell>
        </row>
        <row r="18">
          <cell r="E18">
            <v>100000</v>
          </cell>
        </row>
        <row r="19">
          <cell r="E19">
            <v>50000</v>
          </cell>
        </row>
        <row r="20">
          <cell r="E20" t="str">
            <v>$100,000 Included</v>
          </cell>
        </row>
        <row r="21">
          <cell r="E21" t="str">
            <v>$500 / $500</v>
          </cell>
        </row>
        <row r="23">
          <cell r="E23" t="str">
            <v>25% of Coverage A Included</v>
          </cell>
        </row>
        <row r="24">
          <cell r="E24" t="str">
            <v>Neither</v>
          </cell>
        </row>
        <row r="25">
          <cell r="E25" t="str">
            <v>$2,000 Included</v>
          </cell>
        </row>
        <row r="26">
          <cell r="E26" t="b">
            <v>0</v>
          </cell>
        </row>
        <row r="28">
          <cell r="E28" t="b">
            <v>1</v>
          </cell>
        </row>
        <row r="29">
          <cell r="E29" t="b">
            <v>0</v>
          </cell>
        </row>
        <row r="30">
          <cell r="E30" t="b">
            <v>0</v>
          </cell>
        </row>
        <row r="31">
          <cell r="E31" t="str">
            <v>Increase to $25,000</v>
          </cell>
        </row>
        <row r="32">
          <cell r="E32" t="b">
            <v>0</v>
          </cell>
        </row>
        <row r="33">
          <cell r="E33" t="b">
            <v>0</v>
          </cell>
        </row>
        <row r="34">
          <cell r="E34" t="b">
            <v>0</v>
          </cell>
        </row>
        <row r="35">
          <cell r="E35" t="b">
            <v>0</v>
          </cell>
        </row>
        <row r="37">
          <cell r="E37" t="str">
            <v>FBC Equivalent</v>
          </cell>
        </row>
        <row r="38">
          <cell r="E38" t="str">
            <v>Attachment A (wood deck or other)</v>
          </cell>
        </row>
        <row r="39">
          <cell r="E39" t="str">
            <v>NULL</v>
          </cell>
        </row>
        <row r="40">
          <cell r="E40" t="str">
            <v>Class A</v>
          </cell>
        </row>
        <row r="41">
          <cell r="E41" t="str">
            <v>C</v>
          </cell>
        </row>
        <row r="42">
          <cell r="E42" t="str">
            <v>Hip Roof</v>
          </cell>
        </row>
        <row r="43">
          <cell r="E43" t="str">
            <v>No SWR</v>
          </cell>
        </row>
        <row r="44">
          <cell r="E44" t="str">
            <v>Greater than or equal to 120 and WBDR</v>
          </cell>
        </row>
        <row r="45">
          <cell r="E45" t="str">
            <v>Greater than or equal to 120</v>
          </cell>
        </row>
        <row r="116">
          <cell r="F116" t="str">
            <v>C5FBCAttachmNULNo HipClass A</v>
          </cell>
        </row>
        <row r="117">
          <cell r="F117" t="str">
            <v>5CHipClass A</v>
          </cell>
        </row>
        <row r="118">
          <cell r="F118" t="str">
            <v>5CHipClass A</v>
          </cell>
        </row>
        <row r="119">
          <cell r="F119" t="str">
            <v>5Greater than or equal to 120 and WBDRGreater than or equal to 120No SWRHipClass A</v>
          </cell>
        </row>
        <row r="120">
          <cell r="F120" t="str">
            <v>5No SWRHipClass A</v>
          </cell>
        </row>
        <row r="121">
          <cell r="F121" t="str">
            <v>C-5-2-83-FBC-A-No SWR-Class A</v>
          </cell>
        </row>
        <row r="122">
          <cell r="F122" t="str">
            <v>2-Greater than or equal to 120 and WBDR-Greater than or equal to 120-No-Attac-Class A</v>
          </cell>
        </row>
        <row r="123">
          <cell r="F123" t="str">
            <v>2-Brow-No-Attac-Class A</v>
          </cell>
        </row>
        <row r="130">
          <cell r="E130">
            <v>2724</v>
          </cell>
        </row>
        <row r="131">
          <cell r="E131" t="str">
            <v>No</v>
          </cell>
        </row>
        <row r="132">
          <cell r="E132">
            <v>12</v>
          </cell>
        </row>
        <row r="133">
          <cell r="E133">
            <v>12</v>
          </cell>
        </row>
      </sheetData>
      <sheetData sheetId="1"/>
      <sheetData sheetId="2"/>
      <sheetData sheetId="3"/>
      <sheetData sheetId="4">
        <row r="3">
          <cell r="B3" t="str">
            <v>Theft</v>
          </cell>
          <cell r="C3">
            <v>29.23</v>
          </cell>
        </row>
        <row r="4">
          <cell r="B4" t="str">
            <v>All Other Perils</v>
          </cell>
          <cell r="C4">
            <v>770.74</v>
          </cell>
        </row>
        <row r="5">
          <cell r="B5" t="str">
            <v>Hurricane</v>
          </cell>
          <cell r="C5">
            <v>300</v>
          </cell>
        </row>
        <row r="6">
          <cell r="B6" t="str">
            <v>Other Wind</v>
          </cell>
          <cell r="C6">
            <v>77.349999999999994</v>
          </cell>
        </row>
        <row r="10">
          <cell r="B10" t="str">
            <v>005Monroe</v>
          </cell>
          <cell r="C10" t="str">
            <v>Monroe</v>
          </cell>
          <cell r="D10" t="str">
            <v>Excel. Key West</v>
          </cell>
          <cell r="E10" t="str">
            <v>005</v>
          </cell>
          <cell r="F10">
            <v>0.17100000000000001</v>
          </cell>
          <cell r="G10">
            <v>0.17100000000000001</v>
          </cell>
          <cell r="H10">
            <v>1.522</v>
          </cell>
          <cell r="I10">
            <v>1.522</v>
          </cell>
        </row>
        <row r="11">
          <cell r="B11" t="str">
            <v>007Monroe</v>
          </cell>
          <cell r="C11" t="str">
            <v>Monroe</v>
          </cell>
          <cell r="D11" t="str">
            <v>KeyWest</v>
          </cell>
          <cell r="E11" t="str">
            <v>007</v>
          </cell>
          <cell r="F11">
            <v>0.106</v>
          </cell>
          <cell r="G11">
            <v>0.106</v>
          </cell>
          <cell r="H11">
            <v>1.091</v>
          </cell>
          <cell r="I11">
            <v>1.091</v>
          </cell>
        </row>
        <row r="12">
          <cell r="B12" t="str">
            <v>010Martin</v>
          </cell>
          <cell r="C12" t="str">
            <v>Martin</v>
          </cell>
          <cell r="D12" t="str">
            <v>Remainder</v>
          </cell>
          <cell r="E12" t="str">
            <v>010</v>
          </cell>
          <cell r="F12">
            <v>0.11600000000000001</v>
          </cell>
          <cell r="G12">
            <v>0.11600000000000001</v>
          </cell>
          <cell r="H12">
            <v>0.67600000000000005</v>
          </cell>
          <cell r="I12">
            <v>0.67600000000000005</v>
          </cell>
        </row>
        <row r="13">
          <cell r="B13" t="str">
            <v>030MiamiDade</v>
          </cell>
          <cell r="C13" t="str">
            <v>MiamiDade</v>
          </cell>
          <cell r="D13" t="str">
            <v>Miami Beach</v>
          </cell>
          <cell r="E13" t="str">
            <v>030</v>
          </cell>
          <cell r="F13">
            <v>0.26800000000000002</v>
          </cell>
          <cell r="G13">
            <v>0.26800000000000002</v>
          </cell>
          <cell r="H13">
            <v>1.78</v>
          </cell>
          <cell r="I13">
            <v>1.78</v>
          </cell>
        </row>
        <row r="14">
          <cell r="B14" t="str">
            <v>031MiamiDade</v>
          </cell>
          <cell r="C14" t="str">
            <v>MiamiDade</v>
          </cell>
          <cell r="D14" t="str">
            <v>Coastal</v>
          </cell>
          <cell r="E14" t="str">
            <v>031</v>
          </cell>
          <cell r="F14">
            <v>0.16400000000000001</v>
          </cell>
          <cell r="G14">
            <v>0.16400000000000001</v>
          </cell>
          <cell r="H14">
            <v>1.6559999999999999</v>
          </cell>
          <cell r="I14">
            <v>1.6559999999999999</v>
          </cell>
        </row>
        <row r="15">
          <cell r="B15" t="str">
            <v>032MiamiDade</v>
          </cell>
          <cell r="C15" t="str">
            <v>MiamiDade</v>
          </cell>
          <cell r="D15" t="str">
            <v>Miami</v>
          </cell>
          <cell r="E15" t="str">
            <v>032</v>
          </cell>
          <cell r="F15">
            <v>0.30099999999999999</v>
          </cell>
          <cell r="G15">
            <v>0.30099999999999999</v>
          </cell>
          <cell r="H15">
            <v>0.56799999999999995</v>
          </cell>
          <cell r="I15">
            <v>0.56799999999999995</v>
          </cell>
        </row>
        <row r="16">
          <cell r="B16" t="str">
            <v>033MiamiDade</v>
          </cell>
          <cell r="C16" t="str">
            <v>MiamiDade</v>
          </cell>
          <cell r="D16" t="str">
            <v>Hialeah</v>
          </cell>
          <cell r="E16" t="str">
            <v>033</v>
          </cell>
          <cell r="F16">
            <v>0.43</v>
          </cell>
          <cell r="G16">
            <v>0.43</v>
          </cell>
          <cell r="H16">
            <v>0.29899999999999999</v>
          </cell>
          <cell r="I16">
            <v>0.29899999999999999</v>
          </cell>
        </row>
        <row r="17">
          <cell r="B17" t="str">
            <v>034MiamiDade</v>
          </cell>
          <cell r="C17" t="str">
            <v>MiamiDade</v>
          </cell>
          <cell r="D17" t="str">
            <v>Remainder</v>
          </cell>
          <cell r="E17" t="str">
            <v>034</v>
          </cell>
          <cell r="F17">
            <v>0.40899999999999997</v>
          </cell>
          <cell r="G17">
            <v>0.40899999999999997</v>
          </cell>
          <cell r="H17">
            <v>0.379</v>
          </cell>
          <cell r="I17">
            <v>0.379</v>
          </cell>
        </row>
        <row r="18">
          <cell r="B18" t="str">
            <v>035Broward</v>
          </cell>
          <cell r="C18" t="str">
            <v>Broward</v>
          </cell>
          <cell r="D18" t="str">
            <v>Ft. Laud. &amp; Hollywood</v>
          </cell>
          <cell r="E18" t="str">
            <v>035</v>
          </cell>
          <cell r="F18">
            <v>0.224</v>
          </cell>
          <cell r="G18">
            <v>0.224</v>
          </cell>
          <cell r="H18">
            <v>0.41799999999999998</v>
          </cell>
          <cell r="I18">
            <v>0.41799999999999998</v>
          </cell>
        </row>
        <row r="19">
          <cell r="B19" t="str">
            <v>037Broward</v>
          </cell>
          <cell r="C19" t="str">
            <v>Broward</v>
          </cell>
          <cell r="D19" t="str">
            <v>Remainder</v>
          </cell>
          <cell r="E19" t="str">
            <v>037</v>
          </cell>
          <cell r="F19">
            <v>0.29599999999999999</v>
          </cell>
          <cell r="G19">
            <v>0.29599999999999999</v>
          </cell>
          <cell r="H19">
            <v>0.29599999999999999</v>
          </cell>
          <cell r="I19">
            <v>0.29599999999999999</v>
          </cell>
        </row>
        <row r="20">
          <cell r="B20" t="str">
            <v>038PalmBeach</v>
          </cell>
          <cell r="C20" t="str">
            <v>PalmBeach</v>
          </cell>
          <cell r="D20" t="str">
            <v>Remainder</v>
          </cell>
          <cell r="E20" t="str">
            <v>038</v>
          </cell>
          <cell r="F20">
            <v>0.26500000000000001</v>
          </cell>
          <cell r="G20">
            <v>0.26500000000000001</v>
          </cell>
          <cell r="H20">
            <v>0.47799999999999998</v>
          </cell>
          <cell r="I20">
            <v>0.47799999999999998</v>
          </cell>
        </row>
        <row r="21">
          <cell r="B21" t="str">
            <v>039Duval</v>
          </cell>
          <cell r="C21" t="str">
            <v>Duval</v>
          </cell>
          <cell r="D21" t="str">
            <v>Jacksonville</v>
          </cell>
          <cell r="E21" t="str">
            <v>039</v>
          </cell>
          <cell r="F21">
            <v>0.17</v>
          </cell>
          <cell r="G21">
            <v>0.17</v>
          </cell>
          <cell r="H21">
            <v>7.8E-2</v>
          </cell>
          <cell r="I21">
            <v>7.8E-2</v>
          </cell>
        </row>
        <row r="22">
          <cell r="B22" t="str">
            <v>040Duval</v>
          </cell>
          <cell r="C22" t="str">
            <v>Duval</v>
          </cell>
          <cell r="D22" t="str">
            <v>Remainder</v>
          </cell>
          <cell r="E22" t="str">
            <v>040</v>
          </cell>
          <cell r="F22">
            <v>0.19600000000000001</v>
          </cell>
          <cell r="G22">
            <v>0.19600000000000001</v>
          </cell>
          <cell r="H22">
            <v>8.5999999999999993E-2</v>
          </cell>
          <cell r="I22">
            <v>8.5999999999999993E-2</v>
          </cell>
        </row>
        <row r="23">
          <cell r="B23" t="str">
            <v>041Duval</v>
          </cell>
          <cell r="C23" t="str">
            <v>Duval</v>
          </cell>
          <cell r="D23" t="str">
            <v>Coastal</v>
          </cell>
          <cell r="E23" t="str">
            <v>041</v>
          </cell>
          <cell r="F23">
            <v>0.15</v>
          </cell>
          <cell r="G23">
            <v>0.15</v>
          </cell>
          <cell r="H23">
            <v>0.16900000000000001</v>
          </cell>
          <cell r="I23">
            <v>0.16900000000000001</v>
          </cell>
        </row>
        <row r="24">
          <cell r="B24" t="str">
            <v>042Pinellas</v>
          </cell>
          <cell r="C24" t="str">
            <v>Pinellas</v>
          </cell>
          <cell r="D24" t="str">
            <v>Coastal</v>
          </cell>
          <cell r="E24" t="str">
            <v>042</v>
          </cell>
          <cell r="F24">
            <v>0.14799999999999999</v>
          </cell>
          <cell r="G24">
            <v>0.14799999999999999</v>
          </cell>
          <cell r="H24">
            <v>0.437</v>
          </cell>
          <cell r="I24">
            <v>0.437</v>
          </cell>
        </row>
        <row r="25">
          <cell r="B25" t="str">
            <v>043Escambia</v>
          </cell>
          <cell r="C25" t="str">
            <v>Escambia</v>
          </cell>
          <cell r="D25" t="str">
            <v>Remainder</v>
          </cell>
          <cell r="E25" t="str">
            <v>043</v>
          </cell>
          <cell r="F25">
            <v>0.187</v>
          </cell>
          <cell r="G25">
            <v>0.187</v>
          </cell>
          <cell r="H25">
            <v>0.34599999999999997</v>
          </cell>
          <cell r="I25">
            <v>0.34599999999999997</v>
          </cell>
        </row>
        <row r="26">
          <cell r="B26" t="str">
            <v>046Pinellas</v>
          </cell>
          <cell r="C26" t="str">
            <v>Pinellas</v>
          </cell>
          <cell r="D26" t="str">
            <v>Saint Petersburg</v>
          </cell>
          <cell r="E26" t="str">
            <v>046</v>
          </cell>
          <cell r="F26">
            <v>0.11600000000000001</v>
          </cell>
          <cell r="G26">
            <v>0.11600000000000001</v>
          </cell>
          <cell r="H26">
            <v>0.35399999999999998</v>
          </cell>
          <cell r="I26">
            <v>0.35399999999999998</v>
          </cell>
        </row>
        <row r="27">
          <cell r="B27" t="str">
            <v>047Hillsborough</v>
          </cell>
          <cell r="C27" t="str">
            <v>Hillsborough</v>
          </cell>
          <cell r="D27" t="str">
            <v>Tampa</v>
          </cell>
          <cell r="E27" t="str">
            <v>047</v>
          </cell>
          <cell r="F27">
            <v>0.159</v>
          </cell>
          <cell r="G27">
            <v>0.159</v>
          </cell>
          <cell r="H27">
            <v>0.21199999999999999</v>
          </cell>
          <cell r="I27">
            <v>0.21199999999999999</v>
          </cell>
        </row>
        <row r="28">
          <cell r="B28" t="str">
            <v>049Orange</v>
          </cell>
          <cell r="C28" t="str">
            <v>Orange</v>
          </cell>
          <cell r="D28" t="str">
            <v>Orlando</v>
          </cell>
          <cell r="E28" t="str">
            <v>049</v>
          </cell>
          <cell r="F28">
            <v>0.185</v>
          </cell>
          <cell r="G28">
            <v>0.185</v>
          </cell>
          <cell r="H28">
            <v>0.114</v>
          </cell>
          <cell r="I28">
            <v>0.114</v>
          </cell>
        </row>
        <row r="29">
          <cell r="B29" t="str">
            <v>050Polk</v>
          </cell>
          <cell r="C29" t="str">
            <v>Polk</v>
          </cell>
          <cell r="E29" t="str">
            <v>050</v>
          </cell>
          <cell r="F29">
            <v>0.17199999999999999</v>
          </cell>
          <cell r="G29">
            <v>0.17199999999999999</v>
          </cell>
          <cell r="H29">
            <v>0.14599999999999999</v>
          </cell>
          <cell r="I29">
            <v>0.14599999999999999</v>
          </cell>
        </row>
        <row r="30">
          <cell r="B30" t="str">
            <v>057Brevard</v>
          </cell>
          <cell r="C30" t="str">
            <v>Brevard</v>
          </cell>
          <cell r="D30" t="str">
            <v>Coastal</v>
          </cell>
          <cell r="E30" t="str">
            <v>057</v>
          </cell>
          <cell r="F30">
            <v>0.158</v>
          </cell>
          <cell r="G30">
            <v>0.158</v>
          </cell>
          <cell r="H30">
            <v>0.33800000000000002</v>
          </cell>
          <cell r="I30">
            <v>0.33800000000000002</v>
          </cell>
        </row>
        <row r="31">
          <cell r="B31" t="str">
            <v>062Volusia</v>
          </cell>
          <cell r="C31" t="str">
            <v>Volusia</v>
          </cell>
          <cell r="D31" t="str">
            <v>Coastal</v>
          </cell>
          <cell r="E31" t="str">
            <v>062</v>
          </cell>
          <cell r="F31">
            <v>0.11700000000000001</v>
          </cell>
          <cell r="G31">
            <v>0.11700000000000001</v>
          </cell>
          <cell r="H31">
            <v>0.25700000000000001</v>
          </cell>
          <cell r="I31">
            <v>0.25700000000000001</v>
          </cell>
        </row>
        <row r="32">
          <cell r="B32" t="str">
            <v>063Volusia</v>
          </cell>
          <cell r="C32" t="str">
            <v>Volusia</v>
          </cell>
          <cell r="D32" t="str">
            <v>Remainder</v>
          </cell>
          <cell r="E32" t="str">
            <v>063</v>
          </cell>
          <cell r="F32">
            <v>0.16800000000000001</v>
          </cell>
          <cell r="G32">
            <v>0.16800000000000001</v>
          </cell>
          <cell r="H32">
            <v>0.156</v>
          </cell>
          <cell r="I32">
            <v>0.156</v>
          </cell>
        </row>
        <row r="33">
          <cell r="B33" t="str">
            <v>064Brevard</v>
          </cell>
          <cell r="C33" t="str">
            <v>Brevard</v>
          </cell>
          <cell r="D33" t="str">
            <v>Remainder</v>
          </cell>
          <cell r="E33" t="str">
            <v>064</v>
          </cell>
          <cell r="F33">
            <v>0.14799999999999999</v>
          </cell>
          <cell r="G33">
            <v>0.14799999999999999</v>
          </cell>
          <cell r="H33">
            <v>0.252</v>
          </cell>
          <cell r="I33">
            <v>0.252</v>
          </cell>
        </row>
        <row r="34">
          <cell r="B34" t="str">
            <v>080Hillsborough</v>
          </cell>
          <cell r="C34" t="str">
            <v>Hillsborough</v>
          </cell>
          <cell r="D34" t="str">
            <v>Excl. Tampa</v>
          </cell>
          <cell r="E34" t="str">
            <v>080</v>
          </cell>
          <cell r="F34">
            <v>0.14399999999999999</v>
          </cell>
          <cell r="G34">
            <v>0.14399999999999999</v>
          </cell>
          <cell r="H34">
            <v>0.17599999999999999</v>
          </cell>
          <cell r="I34">
            <v>0.17599999999999999</v>
          </cell>
        </row>
        <row r="35">
          <cell r="B35" t="str">
            <v>081Pinellas</v>
          </cell>
          <cell r="C35" t="str">
            <v>Pinellas</v>
          </cell>
          <cell r="D35" t="str">
            <v>Rem. Excl. Saint Pete.</v>
          </cell>
          <cell r="E35" t="str">
            <v>081</v>
          </cell>
          <cell r="F35">
            <v>0.14899999999999999</v>
          </cell>
          <cell r="G35">
            <v>0.14899999999999999</v>
          </cell>
          <cell r="H35">
            <v>0.26600000000000001</v>
          </cell>
          <cell r="I35">
            <v>0.26600000000000001</v>
          </cell>
        </row>
        <row r="36">
          <cell r="B36" t="str">
            <v>090Orange</v>
          </cell>
          <cell r="C36" t="str">
            <v>Orange</v>
          </cell>
          <cell r="D36" t="str">
            <v>Excl. Orlando</v>
          </cell>
          <cell r="E36" t="str">
            <v>090</v>
          </cell>
          <cell r="F36">
            <v>0.16700000000000001</v>
          </cell>
          <cell r="G36">
            <v>0.16700000000000001</v>
          </cell>
          <cell r="H36">
            <v>0.13300000000000001</v>
          </cell>
          <cell r="I36">
            <v>0.13300000000000001</v>
          </cell>
        </row>
        <row r="37">
          <cell r="B37" t="str">
            <v>159Hernando</v>
          </cell>
          <cell r="C37" t="str">
            <v>Hernando</v>
          </cell>
          <cell r="D37" t="str">
            <v>Coastal</v>
          </cell>
          <cell r="E37">
            <v>159</v>
          </cell>
          <cell r="F37">
            <v>0.192</v>
          </cell>
          <cell r="G37">
            <v>0.192</v>
          </cell>
          <cell r="H37">
            <v>0.217</v>
          </cell>
          <cell r="I37">
            <v>0.217</v>
          </cell>
        </row>
        <row r="38">
          <cell r="B38" t="str">
            <v>181IndianRiver</v>
          </cell>
          <cell r="C38" t="str">
            <v>IndianRiver</v>
          </cell>
          <cell r="D38" t="str">
            <v>Coastal</v>
          </cell>
          <cell r="E38">
            <v>181</v>
          </cell>
          <cell r="F38">
            <v>0.18</v>
          </cell>
          <cell r="G38">
            <v>0.18</v>
          </cell>
          <cell r="H38">
            <v>0.53200000000000003</v>
          </cell>
          <cell r="I38">
            <v>0.53200000000000003</v>
          </cell>
        </row>
        <row r="39">
          <cell r="B39" t="str">
            <v>182Martin</v>
          </cell>
          <cell r="C39" t="str">
            <v>Martin</v>
          </cell>
          <cell r="D39" t="str">
            <v>Coastal</v>
          </cell>
          <cell r="E39">
            <v>182</v>
          </cell>
          <cell r="F39">
            <v>8.7999999999999995E-2</v>
          </cell>
          <cell r="G39">
            <v>8.7999999999999995E-2</v>
          </cell>
          <cell r="H39">
            <v>0.79100000000000004</v>
          </cell>
          <cell r="I39">
            <v>0.79100000000000004</v>
          </cell>
        </row>
        <row r="40">
          <cell r="B40" t="str">
            <v>183SaintLucie</v>
          </cell>
          <cell r="C40" t="str">
            <v>SaintLucie</v>
          </cell>
          <cell r="D40" t="str">
            <v>Coastal</v>
          </cell>
          <cell r="E40">
            <v>183</v>
          </cell>
          <cell r="F40">
            <v>0.18</v>
          </cell>
          <cell r="G40">
            <v>0.18</v>
          </cell>
          <cell r="H40">
            <v>0.48599999999999999</v>
          </cell>
          <cell r="I40">
            <v>0.48599999999999999</v>
          </cell>
        </row>
        <row r="41">
          <cell r="B41" t="str">
            <v>192Alachua</v>
          </cell>
          <cell r="C41" t="str">
            <v>Alachua</v>
          </cell>
          <cell r="E41">
            <v>192</v>
          </cell>
          <cell r="F41">
            <v>0.13600000000000001</v>
          </cell>
          <cell r="G41">
            <v>0.13600000000000001</v>
          </cell>
          <cell r="H41">
            <v>6.0999999999999999E-2</v>
          </cell>
          <cell r="I41">
            <v>6.0999999999999999E-2</v>
          </cell>
        </row>
        <row r="42">
          <cell r="B42" t="str">
            <v>193Calhoun</v>
          </cell>
          <cell r="C42" t="str">
            <v>Calhoun</v>
          </cell>
          <cell r="E42">
            <v>193</v>
          </cell>
          <cell r="F42">
            <v>0.21</v>
          </cell>
          <cell r="G42">
            <v>0.21</v>
          </cell>
          <cell r="H42">
            <v>0.11700000000000001</v>
          </cell>
          <cell r="I42">
            <v>0.11700000000000001</v>
          </cell>
        </row>
        <row r="43">
          <cell r="B43" t="str">
            <v>292Baker</v>
          </cell>
          <cell r="C43" t="str">
            <v>Baker</v>
          </cell>
          <cell r="E43">
            <v>292</v>
          </cell>
          <cell r="F43">
            <v>0.20300000000000001</v>
          </cell>
          <cell r="G43">
            <v>0.20300000000000001</v>
          </cell>
          <cell r="H43">
            <v>6.2E-2</v>
          </cell>
          <cell r="I43">
            <v>6.2E-2</v>
          </cell>
        </row>
        <row r="44">
          <cell r="B44" t="str">
            <v>293Columbia</v>
          </cell>
          <cell r="C44" t="str">
            <v>Columbia</v>
          </cell>
          <cell r="E44">
            <v>293</v>
          </cell>
          <cell r="F44">
            <v>0.19600000000000001</v>
          </cell>
          <cell r="G44">
            <v>0.19600000000000001</v>
          </cell>
          <cell r="H44">
            <v>6.4000000000000001E-2</v>
          </cell>
          <cell r="I44">
            <v>6.4000000000000001E-2</v>
          </cell>
        </row>
        <row r="45">
          <cell r="B45" t="str">
            <v>361Broward</v>
          </cell>
          <cell r="C45" t="str">
            <v>Broward</v>
          </cell>
          <cell r="D45" t="str">
            <v>Coastal</v>
          </cell>
          <cell r="E45">
            <v>361</v>
          </cell>
          <cell r="F45">
            <v>0.128</v>
          </cell>
          <cell r="G45">
            <v>0.128</v>
          </cell>
          <cell r="H45">
            <v>1.1930000000000001</v>
          </cell>
          <cell r="I45">
            <v>1.1930000000000001</v>
          </cell>
        </row>
        <row r="46">
          <cell r="B46" t="str">
            <v>362PalmBeach</v>
          </cell>
          <cell r="C46" t="str">
            <v>PalmBeach</v>
          </cell>
          <cell r="D46" t="str">
            <v>Coastal</v>
          </cell>
          <cell r="E46">
            <v>362</v>
          </cell>
          <cell r="F46">
            <v>0.13600000000000001</v>
          </cell>
          <cell r="G46">
            <v>0.13600000000000001</v>
          </cell>
          <cell r="H46">
            <v>0.96599999999999997</v>
          </cell>
          <cell r="I46">
            <v>0.96599999999999997</v>
          </cell>
        </row>
        <row r="47">
          <cell r="B47" t="str">
            <v>392Bradford</v>
          </cell>
          <cell r="C47" t="str">
            <v>Bradford</v>
          </cell>
          <cell r="E47">
            <v>392</v>
          </cell>
          <cell r="F47">
            <v>0.19400000000000001</v>
          </cell>
          <cell r="G47">
            <v>0.19400000000000001</v>
          </cell>
          <cell r="H47">
            <v>0.08</v>
          </cell>
          <cell r="I47">
            <v>0.08</v>
          </cell>
        </row>
        <row r="48">
          <cell r="B48" t="str">
            <v>393Gadsden</v>
          </cell>
          <cell r="C48" t="str">
            <v>Gadsden</v>
          </cell>
          <cell r="E48">
            <v>393</v>
          </cell>
          <cell r="F48">
            <v>0.21199999999999999</v>
          </cell>
          <cell r="G48">
            <v>0.21199999999999999</v>
          </cell>
          <cell r="H48">
            <v>7.3999999999999996E-2</v>
          </cell>
          <cell r="I48">
            <v>7.3999999999999996E-2</v>
          </cell>
        </row>
        <row r="49">
          <cell r="B49" t="str">
            <v>492Clay</v>
          </cell>
          <cell r="C49" t="str">
            <v>Clay</v>
          </cell>
          <cell r="E49">
            <v>492</v>
          </cell>
          <cell r="F49">
            <v>0.15</v>
          </cell>
          <cell r="G49">
            <v>0.15</v>
          </cell>
          <cell r="H49">
            <v>7.5999999999999998E-2</v>
          </cell>
          <cell r="I49">
            <v>7.5999999999999998E-2</v>
          </cell>
        </row>
        <row r="50">
          <cell r="B50" t="str">
            <v>493Hamilton</v>
          </cell>
          <cell r="C50" t="str">
            <v>Hamilton</v>
          </cell>
          <cell r="E50">
            <v>493</v>
          </cell>
          <cell r="F50">
            <v>0.20499999999999999</v>
          </cell>
          <cell r="G50">
            <v>0.20499999999999999</v>
          </cell>
          <cell r="H50">
            <v>5.2999999999999999E-2</v>
          </cell>
          <cell r="I50">
            <v>5.2999999999999999E-2</v>
          </cell>
        </row>
        <row r="51">
          <cell r="B51" t="str">
            <v>511Osceola</v>
          </cell>
          <cell r="C51" t="str">
            <v>Osceola</v>
          </cell>
          <cell r="E51">
            <v>511</v>
          </cell>
          <cell r="F51">
            <v>0.13400000000000001</v>
          </cell>
          <cell r="G51">
            <v>0.13400000000000001</v>
          </cell>
          <cell r="H51">
            <v>0.106</v>
          </cell>
          <cell r="I51">
            <v>0.106</v>
          </cell>
        </row>
        <row r="52">
          <cell r="B52" t="str">
            <v>512Seminole</v>
          </cell>
          <cell r="C52" t="str">
            <v>Seminole</v>
          </cell>
          <cell r="E52">
            <v>512</v>
          </cell>
          <cell r="F52">
            <v>0.193</v>
          </cell>
          <cell r="G52">
            <v>0.193</v>
          </cell>
          <cell r="H52">
            <v>0.157</v>
          </cell>
          <cell r="I52">
            <v>0.157</v>
          </cell>
        </row>
        <row r="53">
          <cell r="B53" t="str">
            <v>531Flagler</v>
          </cell>
          <cell r="C53" t="str">
            <v>Flagler</v>
          </cell>
          <cell r="D53" t="str">
            <v>Coastal</v>
          </cell>
          <cell r="E53">
            <v>531</v>
          </cell>
          <cell r="F53">
            <v>0.13500000000000001</v>
          </cell>
          <cell r="G53">
            <v>0.13500000000000001</v>
          </cell>
          <cell r="H53">
            <v>0.26500000000000001</v>
          </cell>
          <cell r="I53">
            <v>0.26500000000000001</v>
          </cell>
        </row>
        <row r="54">
          <cell r="B54" t="str">
            <v>532Nassau</v>
          </cell>
          <cell r="C54" t="str">
            <v>Nassau</v>
          </cell>
          <cell r="D54" t="str">
            <v>Coastal</v>
          </cell>
          <cell r="E54">
            <v>532</v>
          </cell>
          <cell r="F54">
            <v>0.14499999999999999</v>
          </cell>
          <cell r="G54">
            <v>0.14499999999999999</v>
          </cell>
          <cell r="H54">
            <v>0.16700000000000001</v>
          </cell>
          <cell r="I54">
            <v>0.16700000000000001</v>
          </cell>
        </row>
        <row r="55">
          <cell r="B55" t="str">
            <v>533SaintJohns</v>
          </cell>
          <cell r="C55" t="str">
            <v>SaintJohns</v>
          </cell>
          <cell r="D55" t="str">
            <v>Coastal</v>
          </cell>
          <cell r="E55">
            <v>533</v>
          </cell>
          <cell r="F55">
            <v>0.155</v>
          </cell>
          <cell r="G55">
            <v>0.155</v>
          </cell>
          <cell r="H55">
            <v>0.16800000000000001</v>
          </cell>
          <cell r="I55">
            <v>0.16800000000000001</v>
          </cell>
        </row>
        <row r="56">
          <cell r="B56" t="str">
            <v>541Collier</v>
          </cell>
          <cell r="C56" t="str">
            <v>Collier</v>
          </cell>
          <cell r="D56" t="str">
            <v>Coastal</v>
          </cell>
          <cell r="E56">
            <v>541</v>
          </cell>
          <cell r="F56">
            <v>0.14899999999999999</v>
          </cell>
          <cell r="G56">
            <v>0.14899999999999999</v>
          </cell>
          <cell r="H56">
            <v>0.53600000000000003</v>
          </cell>
          <cell r="I56">
            <v>0.53600000000000003</v>
          </cell>
        </row>
        <row r="57">
          <cell r="B57" t="str">
            <v>542Lee</v>
          </cell>
          <cell r="C57" t="str">
            <v>Lee</v>
          </cell>
          <cell r="D57" t="str">
            <v>Coastal</v>
          </cell>
          <cell r="E57">
            <v>542</v>
          </cell>
          <cell r="F57">
            <v>0.124</v>
          </cell>
          <cell r="G57">
            <v>0.124</v>
          </cell>
          <cell r="H57">
            <v>0.52900000000000003</v>
          </cell>
          <cell r="I57">
            <v>0.52900000000000003</v>
          </cell>
        </row>
        <row r="58">
          <cell r="B58" t="str">
            <v>551Collier</v>
          </cell>
          <cell r="C58" t="str">
            <v>Collier</v>
          </cell>
          <cell r="D58" t="str">
            <v>Remainder</v>
          </cell>
          <cell r="E58">
            <v>551</v>
          </cell>
          <cell r="F58">
            <v>0.17599999999999999</v>
          </cell>
          <cell r="G58">
            <v>0.17599999999999999</v>
          </cell>
          <cell r="H58">
            <v>0.34799999999999998</v>
          </cell>
          <cell r="I58">
            <v>0.34799999999999998</v>
          </cell>
        </row>
        <row r="59">
          <cell r="B59" t="str">
            <v>552Glades</v>
          </cell>
          <cell r="C59" t="str">
            <v>Glades</v>
          </cell>
          <cell r="E59">
            <v>552</v>
          </cell>
          <cell r="F59">
            <v>0.159</v>
          </cell>
          <cell r="G59">
            <v>0.159</v>
          </cell>
          <cell r="H59">
            <v>0.33800000000000002</v>
          </cell>
          <cell r="I59">
            <v>0.33800000000000002</v>
          </cell>
        </row>
        <row r="60">
          <cell r="B60" t="str">
            <v>553Hendry</v>
          </cell>
          <cell r="C60" t="str">
            <v>Hendry</v>
          </cell>
          <cell r="E60">
            <v>553</v>
          </cell>
          <cell r="F60">
            <v>0.123</v>
          </cell>
          <cell r="G60">
            <v>0.123</v>
          </cell>
          <cell r="H60">
            <v>0.40500000000000003</v>
          </cell>
          <cell r="I60">
            <v>0.40500000000000003</v>
          </cell>
        </row>
        <row r="61">
          <cell r="B61" t="str">
            <v>554Lee</v>
          </cell>
          <cell r="C61" t="str">
            <v>Lee</v>
          </cell>
          <cell r="D61" t="str">
            <v>Remainder</v>
          </cell>
          <cell r="E61">
            <v>554</v>
          </cell>
          <cell r="F61">
            <v>0.129</v>
          </cell>
          <cell r="G61">
            <v>0.129</v>
          </cell>
          <cell r="H61">
            <v>0.17599999999999999</v>
          </cell>
          <cell r="I61">
            <v>0.17599999999999999</v>
          </cell>
        </row>
        <row r="62">
          <cell r="B62" t="str">
            <v>555Okeechobee</v>
          </cell>
          <cell r="C62" t="str">
            <v>Okeechobee</v>
          </cell>
          <cell r="E62">
            <v>555</v>
          </cell>
          <cell r="F62">
            <v>0.16</v>
          </cell>
          <cell r="G62">
            <v>0.16</v>
          </cell>
          <cell r="H62">
            <v>0.318</v>
          </cell>
          <cell r="I62">
            <v>0.318</v>
          </cell>
        </row>
        <row r="63">
          <cell r="B63" t="str">
            <v>561IndianRiver</v>
          </cell>
          <cell r="C63" t="str">
            <v>IndianRiver</v>
          </cell>
          <cell r="D63" t="str">
            <v>Remainder</v>
          </cell>
          <cell r="E63">
            <v>561</v>
          </cell>
          <cell r="F63">
            <v>0.11899999999999999</v>
          </cell>
          <cell r="G63">
            <v>0.11899999999999999</v>
          </cell>
          <cell r="H63">
            <v>0.57399999999999995</v>
          </cell>
          <cell r="I63">
            <v>0.57399999999999995</v>
          </cell>
        </row>
        <row r="64">
          <cell r="B64" t="str">
            <v>562SaintLucie</v>
          </cell>
          <cell r="C64" t="str">
            <v>SaintLucie</v>
          </cell>
          <cell r="D64" t="str">
            <v>Remainder</v>
          </cell>
          <cell r="E64">
            <v>562</v>
          </cell>
          <cell r="F64">
            <v>0.16400000000000001</v>
          </cell>
          <cell r="G64">
            <v>0.16400000000000001</v>
          </cell>
          <cell r="H64">
            <v>0.51200000000000001</v>
          </cell>
          <cell r="I64">
            <v>0.51200000000000001</v>
          </cell>
        </row>
        <row r="65">
          <cell r="B65" t="str">
            <v>581Charlotte</v>
          </cell>
          <cell r="C65" t="str">
            <v>Charlotte</v>
          </cell>
          <cell r="D65" t="str">
            <v>Coastal</v>
          </cell>
          <cell r="E65">
            <v>581</v>
          </cell>
          <cell r="F65">
            <v>0.185</v>
          </cell>
          <cell r="G65">
            <v>0.185</v>
          </cell>
          <cell r="H65">
            <v>0.41799999999999998</v>
          </cell>
          <cell r="I65">
            <v>0.41799999999999998</v>
          </cell>
        </row>
        <row r="66">
          <cell r="B66" t="str">
            <v>582Manatee</v>
          </cell>
          <cell r="C66" t="str">
            <v>Manatee</v>
          </cell>
          <cell r="D66" t="str">
            <v>Coastal</v>
          </cell>
          <cell r="E66">
            <v>582</v>
          </cell>
          <cell r="F66">
            <v>0.17</v>
          </cell>
          <cell r="G66">
            <v>0.17</v>
          </cell>
          <cell r="H66">
            <v>0.41799999999999998</v>
          </cell>
          <cell r="I66">
            <v>0.41799999999999998</v>
          </cell>
        </row>
        <row r="67">
          <cell r="B67" t="str">
            <v>583Sarasota</v>
          </cell>
          <cell r="C67" t="str">
            <v>Sarasota</v>
          </cell>
          <cell r="D67" t="str">
            <v>Coastal</v>
          </cell>
          <cell r="E67">
            <v>583</v>
          </cell>
          <cell r="F67">
            <v>0.124</v>
          </cell>
          <cell r="G67">
            <v>0.124</v>
          </cell>
          <cell r="H67">
            <v>0.51600000000000001</v>
          </cell>
          <cell r="I67">
            <v>0.51600000000000001</v>
          </cell>
        </row>
        <row r="68">
          <cell r="B68" t="str">
            <v>591Citrus</v>
          </cell>
          <cell r="C68" t="str">
            <v>Citrus</v>
          </cell>
          <cell r="D68" t="str">
            <v>Coastal</v>
          </cell>
          <cell r="E68">
            <v>591</v>
          </cell>
          <cell r="F68">
            <v>0.121</v>
          </cell>
          <cell r="G68">
            <v>0.121</v>
          </cell>
          <cell r="H68">
            <v>0.39600000000000002</v>
          </cell>
          <cell r="I68">
            <v>0.39600000000000002</v>
          </cell>
        </row>
        <row r="69">
          <cell r="B69" t="str">
            <v>592Dixie</v>
          </cell>
          <cell r="C69" t="str">
            <v>Dixie</v>
          </cell>
          <cell r="D69" t="str">
            <v>Coastal</v>
          </cell>
          <cell r="E69">
            <v>592</v>
          </cell>
          <cell r="F69">
            <v>0.152</v>
          </cell>
          <cell r="G69">
            <v>0.152</v>
          </cell>
          <cell r="H69">
            <v>0.23400000000000001</v>
          </cell>
          <cell r="I69">
            <v>0.23400000000000001</v>
          </cell>
        </row>
        <row r="70">
          <cell r="B70" t="str">
            <v>593Holmes</v>
          </cell>
          <cell r="C70" t="str">
            <v>Holmes</v>
          </cell>
          <cell r="E70">
            <v>593</v>
          </cell>
          <cell r="F70">
            <v>0.20399999999999999</v>
          </cell>
          <cell r="G70">
            <v>0.20399999999999999</v>
          </cell>
          <cell r="H70">
            <v>0.123</v>
          </cell>
          <cell r="I70">
            <v>0.123</v>
          </cell>
        </row>
        <row r="71">
          <cell r="B71" t="str">
            <v>594Levy</v>
          </cell>
          <cell r="C71" t="str">
            <v>Levy</v>
          </cell>
          <cell r="D71" t="str">
            <v>Coastal</v>
          </cell>
          <cell r="E71">
            <v>594</v>
          </cell>
          <cell r="F71">
            <v>0.192</v>
          </cell>
          <cell r="G71">
            <v>0.192</v>
          </cell>
          <cell r="H71">
            <v>0.16200000000000001</v>
          </cell>
          <cell r="I71">
            <v>0.16200000000000001</v>
          </cell>
        </row>
        <row r="72">
          <cell r="B72" t="str">
            <v>595Pasco</v>
          </cell>
          <cell r="C72" t="str">
            <v>Pasco</v>
          </cell>
          <cell r="D72" t="str">
            <v>Coastal</v>
          </cell>
          <cell r="E72">
            <v>595</v>
          </cell>
          <cell r="F72">
            <v>0.115</v>
          </cell>
          <cell r="G72">
            <v>0.115</v>
          </cell>
          <cell r="H72">
            <v>0.314</v>
          </cell>
          <cell r="I72">
            <v>0.314</v>
          </cell>
        </row>
        <row r="73">
          <cell r="B73" t="str">
            <v>596Taylor</v>
          </cell>
          <cell r="C73" t="str">
            <v>Taylor</v>
          </cell>
          <cell r="D73" t="str">
            <v>Coastal</v>
          </cell>
          <cell r="E73">
            <v>596</v>
          </cell>
          <cell r="F73">
            <v>0.18</v>
          </cell>
          <cell r="G73">
            <v>0.18</v>
          </cell>
          <cell r="H73">
            <v>0.371</v>
          </cell>
          <cell r="I73">
            <v>0.371</v>
          </cell>
        </row>
        <row r="74">
          <cell r="B74" t="str">
            <v>601Bay</v>
          </cell>
          <cell r="C74" t="str">
            <v>Bay</v>
          </cell>
          <cell r="D74" t="str">
            <v>Coastal</v>
          </cell>
          <cell r="E74">
            <v>601</v>
          </cell>
          <cell r="F74">
            <v>0.14499999999999999</v>
          </cell>
          <cell r="G74">
            <v>0.14499999999999999</v>
          </cell>
          <cell r="H74">
            <v>0.29399999999999998</v>
          </cell>
          <cell r="I74">
            <v>0.29399999999999998</v>
          </cell>
        </row>
        <row r="75">
          <cell r="B75" t="str">
            <v>602Escambia</v>
          </cell>
          <cell r="C75" t="str">
            <v>Escambia</v>
          </cell>
          <cell r="D75" t="str">
            <v>Coastal</v>
          </cell>
          <cell r="E75">
            <v>602</v>
          </cell>
          <cell r="F75">
            <v>0.14799999999999999</v>
          </cell>
          <cell r="G75">
            <v>0.14799999999999999</v>
          </cell>
          <cell r="H75">
            <v>0.32800000000000001</v>
          </cell>
          <cell r="I75">
            <v>0.32800000000000001</v>
          </cell>
        </row>
        <row r="76">
          <cell r="B76" t="str">
            <v>603Franklin</v>
          </cell>
          <cell r="C76" t="str">
            <v>Franklin</v>
          </cell>
          <cell r="E76">
            <v>603</v>
          </cell>
          <cell r="F76">
            <v>0.17499999999999999</v>
          </cell>
          <cell r="G76">
            <v>0.17499999999999999</v>
          </cell>
          <cell r="H76">
            <v>0.28299999999999997</v>
          </cell>
          <cell r="I76">
            <v>0.28299999999999997</v>
          </cell>
        </row>
        <row r="77">
          <cell r="B77" t="str">
            <v>604Gulf</v>
          </cell>
          <cell r="C77" t="str">
            <v>Gulf</v>
          </cell>
          <cell r="D77" t="str">
            <v>Coastal</v>
          </cell>
          <cell r="E77">
            <v>604</v>
          </cell>
          <cell r="F77">
            <v>0.16600000000000001</v>
          </cell>
          <cell r="G77">
            <v>0.16600000000000001</v>
          </cell>
          <cell r="H77">
            <v>0.26100000000000001</v>
          </cell>
          <cell r="I77">
            <v>0.26100000000000001</v>
          </cell>
        </row>
        <row r="78">
          <cell r="B78" t="str">
            <v>605Jefferson</v>
          </cell>
          <cell r="C78" t="str">
            <v>Jefferson</v>
          </cell>
          <cell r="D78" t="str">
            <v>Coastal</v>
          </cell>
          <cell r="E78">
            <v>605</v>
          </cell>
          <cell r="F78">
            <v>0.182</v>
          </cell>
          <cell r="G78">
            <v>0.182</v>
          </cell>
          <cell r="H78">
            <v>0.26600000000000001</v>
          </cell>
          <cell r="I78">
            <v>0.26600000000000001</v>
          </cell>
        </row>
        <row r="79">
          <cell r="B79" t="str">
            <v>606Okaloosa</v>
          </cell>
          <cell r="C79" t="str">
            <v>Okaloosa</v>
          </cell>
          <cell r="D79" t="str">
            <v>Coastal</v>
          </cell>
          <cell r="E79">
            <v>606</v>
          </cell>
          <cell r="F79">
            <v>0.14699999999999999</v>
          </cell>
          <cell r="G79">
            <v>0.14699999999999999</v>
          </cell>
          <cell r="H79">
            <v>0.29199999999999998</v>
          </cell>
          <cell r="I79">
            <v>0.29199999999999998</v>
          </cell>
        </row>
        <row r="80">
          <cell r="B80" t="str">
            <v>607SantaRosa</v>
          </cell>
          <cell r="C80" t="str">
            <v>SantaRosa</v>
          </cell>
          <cell r="D80" t="str">
            <v>Coastal</v>
          </cell>
          <cell r="E80">
            <v>607</v>
          </cell>
          <cell r="F80">
            <v>0.153</v>
          </cell>
          <cell r="G80">
            <v>0.153</v>
          </cell>
          <cell r="H80">
            <v>0.26400000000000001</v>
          </cell>
          <cell r="I80">
            <v>0.26400000000000001</v>
          </cell>
        </row>
        <row r="81">
          <cell r="B81" t="str">
            <v>608Wakulla</v>
          </cell>
          <cell r="C81" t="str">
            <v>Wakulla</v>
          </cell>
          <cell r="D81" t="str">
            <v>Coastal</v>
          </cell>
          <cell r="E81">
            <v>608</v>
          </cell>
          <cell r="F81">
            <v>0.23400000000000001</v>
          </cell>
          <cell r="G81">
            <v>0.23400000000000001</v>
          </cell>
          <cell r="H81">
            <v>0.32300000000000001</v>
          </cell>
          <cell r="I81">
            <v>0.32300000000000001</v>
          </cell>
        </row>
        <row r="82">
          <cell r="B82" t="str">
            <v>609Walton</v>
          </cell>
          <cell r="C82" t="str">
            <v>Walton</v>
          </cell>
          <cell r="D82" t="str">
            <v>Coastal</v>
          </cell>
          <cell r="E82">
            <v>609</v>
          </cell>
          <cell r="F82">
            <v>0.151</v>
          </cell>
          <cell r="G82">
            <v>0.151</v>
          </cell>
          <cell r="H82">
            <v>0.29099999999999998</v>
          </cell>
          <cell r="I82">
            <v>0.29099999999999998</v>
          </cell>
        </row>
        <row r="83">
          <cell r="B83" t="str">
            <v>692Lake</v>
          </cell>
          <cell r="C83" t="str">
            <v>Lake</v>
          </cell>
          <cell r="E83">
            <v>692</v>
          </cell>
          <cell r="F83">
            <v>0.16200000000000001</v>
          </cell>
          <cell r="G83">
            <v>0.16200000000000001</v>
          </cell>
          <cell r="H83">
            <v>9.9000000000000005E-2</v>
          </cell>
          <cell r="I83">
            <v>9.9000000000000005E-2</v>
          </cell>
        </row>
        <row r="84">
          <cell r="B84" t="str">
            <v>693Jackson</v>
          </cell>
          <cell r="C84" t="str">
            <v>Jackson</v>
          </cell>
          <cell r="E84">
            <v>693</v>
          </cell>
          <cell r="F84">
            <v>0.214</v>
          </cell>
          <cell r="G84">
            <v>0.214</v>
          </cell>
          <cell r="H84">
            <v>9.5000000000000001E-2</v>
          </cell>
          <cell r="I84">
            <v>9.5000000000000001E-2</v>
          </cell>
        </row>
        <row r="85">
          <cell r="B85" t="str">
            <v>701Flagler</v>
          </cell>
          <cell r="C85" t="str">
            <v>Flagler</v>
          </cell>
          <cell r="D85" t="str">
            <v>Remainder</v>
          </cell>
          <cell r="E85">
            <v>701</v>
          </cell>
          <cell r="F85">
            <v>0.17199999999999999</v>
          </cell>
          <cell r="G85">
            <v>0.17199999999999999</v>
          </cell>
          <cell r="H85">
            <v>8.5999999999999993E-2</v>
          </cell>
          <cell r="I85">
            <v>8.5999999999999993E-2</v>
          </cell>
        </row>
        <row r="86">
          <cell r="B86" t="str">
            <v>702SaintJohns</v>
          </cell>
          <cell r="C86" t="str">
            <v>SaintJohns</v>
          </cell>
          <cell r="D86" t="str">
            <v>Remainder</v>
          </cell>
          <cell r="E86">
            <v>702</v>
          </cell>
          <cell r="F86">
            <v>0.13500000000000001</v>
          </cell>
          <cell r="G86">
            <v>0.13500000000000001</v>
          </cell>
          <cell r="H86">
            <v>0.192</v>
          </cell>
          <cell r="I86">
            <v>0.192</v>
          </cell>
        </row>
        <row r="87">
          <cell r="B87" t="str">
            <v>711Charlotte</v>
          </cell>
          <cell r="C87" t="str">
            <v>Charlotte</v>
          </cell>
          <cell r="D87" t="str">
            <v>Remainder</v>
          </cell>
          <cell r="E87">
            <v>711</v>
          </cell>
          <cell r="F87">
            <v>0.15</v>
          </cell>
          <cell r="G87">
            <v>0.15</v>
          </cell>
          <cell r="H87">
            <v>0.309</v>
          </cell>
          <cell r="I87">
            <v>0.309</v>
          </cell>
        </row>
        <row r="88">
          <cell r="B88" t="str">
            <v>712Desoto</v>
          </cell>
          <cell r="C88" t="str">
            <v>Desoto</v>
          </cell>
          <cell r="E88">
            <v>712</v>
          </cell>
          <cell r="F88">
            <v>0.114</v>
          </cell>
          <cell r="G88">
            <v>0.114</v>
          </cell>
          <cell r="H88">
            <v>0.22</v>
          </cell>
          <cell r="I88">
            <v>0.22</v>
          </cell>
        </row>
        <row r="89">
          <cell r="B89" t="str">
            <v>713Hardee</v>
          </cell>
          <cell r="C89" t="str">
            <v>Hardee</v>
          </cell>
          <cell r="E89">
            <v>713</v>
          </cell>
          <cell r="F89">
            <v>0.157</v>
          </cell>
          <cell r="G89">
            <v>0.157</v>
          </cell>
          <cell r="H89">
            <v>0.193</v>
          </cell>
          <cell r="I89">
            <v>0.193</v>
          </cell>
        </row>
        <row r="90">
          <cell r="B90" t="str">
            <v>714Highlands</v>
          </cell>
          <cell r="C90" t="str">
            <v>Highlands</v>
          </cell>
          <cell r="E90">
            <v>714</v>
          </cell>
          <cell r="F90">
            <v>0.16500000000000001</v>
          </cell>
          <cell r="G90">
            <v>0.16500000000000001</v>
          </cell>
          <cell r="H90">
            <v>0.21199999999999999</v>
          </cell>
          <cell r="I90">
            <v>0.21199999999999999</v>
          </cell>
        </row>
        <row r="91">
          <cell r="B91" t="str">
            <v>715Sarasota</v>
          </cell>
          <cell r="C91" t="str">
            <v>Sarasota</v>
          </cell>
          <cell r="D91" t="str">
            <v>Remainder</v>
          </cell>
          <cell r="E91">
            <v>715</v>
          </cell>
          <cell r="F91">
            <v>0.17100000000000001</v>
          </cell>
          <cell r="G91">
            <v>0.17100000000000001</v>
          </cell>
          <cell r="H91">
            <v>0.219</v>
          </cell>
          <cell r="I91">
            <v>0.219</v>
          </cell>
        </row>
        <row r="92">
          <cell r="B92" t="str">
            <v>721Bay</v>
          </cell>
          <cell r="C92" t="str">
            <v>Bay</v>
          </cell>
          <cell r="D92" t="str">
            <v>Remainder</v>
          </cell>
          <cell r="E92">
            <v>721</v>
          </cell>
          <cell r="F92">
            <v>0.158</v>
          </cell>
          <cell r="G92">
            <v>0.158</v>
          </cell>
          <cell r="H92">
            <v>0.312</v>
          </cell>
          <cell r="I92">
            <v>0.312</v>
          </cell>
        </row>
        <row r="93">
          <cell r="B93" t="str">
            <v>722Gulf</v>
          </cell>
          <cell r="C93" t="str">
            <v>Gulf</v>
          </cell>
          <cell r="D93" t="str">
            <v>Remainder</v>
          </cell>
          <cell r="E93">
            <v>722</v>
          </cell>
          <cell r="F93">
            <v>0.216</v>
          </cell>
          <cell r="G93">
            <v>0.216</v>
          </cell>
          <cell r="H93">
            <v>0.32600000000000001</v>
          </cell>
          <cell r="I93">
            <v>0.32600000000000001</v>
          </cell>
        </row>
        <row r="94">
          <cell r="B94" t="str">
            <v>723Okaloosa</v>
          </cell>
          <cell r="C94" t="str">
            <v>Okaloosa</v>
          </cell>
          <cell r="D94" t="str">
            <v>Remainder</v>
          </cell>
          <cell r="E94">
            <v>723</v>
          </cell>
          <cell r="F94">
            <v>0.13500000000000001</v>
          </cell>
          <cell r="G94">
            <v>0.13500000000000001</v>
          </cell>
          <cell r="H94">
            <v>0.372</v>
          </cell>
          <cell r="I94">
            <v>0.372</v>
          </cell>
        </row>
        <row r="95">
          <cell r="B95" t="str">
            <v>724SantaRosa</v>
          </cell>
          <cell r="C95" t="str">
            <v>SantaRosa</v>
          </cell>
          <cell r="D95" t="str">
            <v>Remainder</v>
          </cell>
          <cell r="E95">
            <v>724</v>
          </cell>
          <cell r="F95">
            <v>0.17699999999999999</v>
          </cell>
          <cell r="G95">
            <v>0.17699999999999999</v>
          </cell>
          <cell r="H95">
            <v>0.38900000000000001</v>
          </cell>
          <cell r="I95">
            <v>0.38900000000000001</v>
          </cell>
        </row>
        <row r="96">
          <cell r="B96" t="str">
            <v>725Wakulla</v>
          </cell>
          <cell r="C96" t="str">
            <v>Wakulla</v>
          </cell>
          <cell r="D96" t="str">
            <v>Remainder</v>
          </cell>
          <cell r="E96">
            <v>725</v>
          </cell>
          <cell r="F96">
            <v>0.24199999999999999</v>
          </cell>
          <cell r="G96">
            <v>0.24199999999999999</v>
          </cell>
          <cell r="H96">
            <v>3.9E-2</v>
          </cell>
          <cell r="I96">
            <v>3.9E-2</v>
          </cell>
        </row>
        <row r="97">
          <cell r="B97" t="str">
            <v>726Walton</v>
          </cell>
          <cell r="C97" t="str">
            <v>Walton</v>
          </cell>
          <cell r="D97" t="str">
            <v>Remainder</v>
          </cell>
          <cell r="E97">
            <v>726</v>
          </cell>
          <cell r="F97">
            <v>0.22</v>
          </cell>
          <cell r="G97">
            <v>0.22</v>
          </cell>
          <cell r="H97">
            <v>0.26600000000000001</v>
          </cell>
          <cell r="I97">
            <v>0.26600000000000001</v>
          </cell>
        </row>
        <row r="98">
          <cell r="B98" t="str">
            <v>731Citrus</v>
          </cell>
          <cell r="C98" t="str">
            <v>Citrus</v>
          </cell>
          <cell r="D98" t="str">
            <v>Remainder</v>
          </cell>
          <cell r="E98">
            <v>731</v>
          </cell>
          <cell r="F98">
            <v>0.16300000000000001</v>
          </cell>
          <cell r="G98">
            <v>0.16300000000000001</v>
          </cell>
          <cell r="H98">
            <v>0.20100000000000001</v>
          </cell>
          <cell r="I98">
            <v>0.20100000000000001</v>
          </cell>
        </row>
        <row r="99">
          <cell r="B99" t="str">
            <v>732Dixie</v>
          </cell>
          <cell r="C99" t="str">
            <v>Dixie</v>
          </cell>
          <cell r="D99" t="str">
            <v>Remainder</v>
          </cell>
          <cell r="E99">
            <v>732</v>
          </cell>
          <cell r="F99">
            <v>0.17599999999999999</v>
          </cell>
          <cell r="G99">
            <v>0.17599999999999999</v>
          </cell>
          <cell r="H99">
            <v>0.17499999999999999</v>
          </cell>
          <cell r="I99">
            <v>0.17499999999999999</v>
          </cell>
        </row>
        <row r="100">
          <cell r="B100" t="str">
            <v>733Hernando</v>
          </cell>
          <cell r="C100" t="str">
            <v>Hernando</v>
          </cell>
          <cell r="D100" t="str">
            <v>Remainder</v>
          </cell>
          <cell r="E100">
            <v>733</v>
          </cell>
          <cell r="F100">
            <v>0.218</v>
          </cell>
          <cell r="G100">
            <v>0.218</v>
          </cell>
          <cell r="H100">
            <v>6.6000000000000003E-2</v>
          </cell>
          <cell r="I100">
            <v>6.6000000000000003E-2</v>
          </cell>
        </row>
        <row r="101">
          <cell r="B101" t="str">
            <v>734Levy</v>
          </cell>
          <cell r="C101" t="str">
            <v>Levy</v>
          </cell>
          <cell r="D101" t="str">
            <v>Remainder</v>
          </cell>
          <cell r="E101">
            <v>734</v>
          </cell>
          <cell r="F101">
            <v>0.255</v>
          </cell>
          <cell r="G101">
            <v>0.255</v>
          </cell>
          <cell r="H101">
            <v>3.7999999999999999E-2</v>
          </cell>
          <cell r="I101">
            <v>3.7999999999999999E-2</v>
          </cell>
        </row>
        <row r="102">
          <cell r="B102" t="str">
            <v>735Manatee</v>
          </cell>
          <cell r="C102" t="str">
            <v>Manatee</v>
          </cell>
          <cell r="D102" t="str">
            <v>Remainder</v>
          </cell>
          <cell r="E102">
            <v>735</v>
          </cell>
          <cell r="F102">
            <v>0.161</v>
          </cell>
          <cell r="G102">
            <v>0.161</v>
          </cell>
          <cell r="H102">
            <v>0.25</v>
          </cell>
          <cell r="I102">
            <v>0.25</v>
          </cell>
        </row>
        <row r="103">
          <cell r="B103" t="str">
            <v>736Pasco</v>
          </cell>
          <cell r="C103" t="str">
            <v>Pasco</v>
          </cell>
          <cell r="D103" t="str">
            <v>Remainder</v>
          </cell>
          <cell r="E103">
            <v>736</v>
          </cell>
          <cell r="F103">
            <v>0.17799999999999999</v>
          </cell>
          <cell r="G103">
            <v>0.17799999999999999</v>
          </cell>
          <cell r="H103">
            <v>9.5000000000000001E-2</v>
          </cell>
          <cell r="I103">
            <v>9.5000000000000001E-2</v>
          </cell>
        </row>
        <row r="104">
          <cell r="B104" t="str">
            <v>737Taylor</v>
          </cell>
          <cell r="C104" t="str">
            <v>Taylor</v>
          </cell>
          <cell r="D104" t="str">
            <v>Remainder</v>
          </cell>
          <cell r="E104">
            <v>737</v>
          </cell>
          <cell r="F104">
            <v>0.17399999999999999</v>
          </cell>
          <cell r="G104">
            <v>0.17399999999999999</v>
          </cell>
          <cell r="H104">
            <v>0.123</v>
          </cell>
          <cell r="I104">
            <v>0.123</v>
          </cell>
        </row>
        <row r="105">
          <cell r="B105" t="str">
            <v>792Marion</v>
          </cell>
          <cell r="C105" t="str">
            <v>Marion</v>
          </cell>
          <cell r="E105">
            <v>792</v>
          </cell>
          <cell r="F105">
            <v>0.17399999999999999</v>
          </cell>
          <cell r="G105">
            <v>0.17399999999999999</v>
          </cell>
          <cell r="H105">
            <v>0.114</v>
          </cell>
          <cell r="I105">
            <v>0.114</v>
          </cell>
        </row>
        <row r="106">
          <cell r="B106" t="str">
            <v>793Jefferson</v>
          </cell>
          <cell r="C106" t="str">
            <v>Jefferson</v>
          </cell>
          <cell r="D106" t="str">
            <v>Remainder</v>
          </cell>
          <cell r="E106">
            <v>793</v>
          </cell>
          <cell r="F106">
            <v>0.218</v>
          </cell>
          <cell r="G106">
            <v>0.218</v>
          </cell>
          <cell r="H106">
            <v>6.4000000000000001E-2</v>
          </cell>
          <cell r="I106">
            <v>6.4000000000000001E-2</v>
          </cell>
        </row>
        <row r="107">
          <cell r="B107" t="str">
            <v>892Nassau</v>
          </cell>
          <cell r="C107" t="str">
            <v>Nassau</v>
          </cell>
          <cell r="D107" t="str">
            <v>Remainder</v>
          </cell>
          <cell r="E107">
            <v>892</v>
          </cell>
          <cell r="F107">
            <v>0.188</v>
          </cell>
          <cell r="G107">
            <v>0.188</v>
          </cell>
          <cell r="H107">
            <v>0.05</v>
          </cell>
          <cell r="I107">
            <v>0.05</v>
          </cell>
        </row>
        <row r="108">
          <cell r="B108" t="str">
            <v>893Lafayette</v>
          </cell>
          <cell r="C108" t="str">
            <v>Lafayette</v>
          </cell>
          <cell r="E108">
            <v>893</v>
          </cell>
          <cell r="F108">
            <v>0.20300000000000001</v>
          </cell>
          <cell r="G108">
            <v>0.20300000000000001</v>
          </cell>
          <cell r="H108">
            <v>7.2999999999999995E-2</v>
          </cell>
          <cell r="I108">
            <v>7.2999999999999995E-2</v>
          </cell>
        </row>
        <row r="109">
          <cell r="B109" t="str">
            <v>921Sumter</v>
          </cell>
          <cell r="C109" t="str">
            <v>Sumter</v>
          </cell>
          <cell r="E109">
            <v>921</v>
          </cell>
          <cell r="F109">
            <v>0.14599999999999999</v>
          </cell>
          <cell r="G109">
            <v>0.14599999999999999</v>
          </cell>
          <cell r="H109">
            <v>8.6999999999999994E-2</v>
          </cell>
          <cell r="I109">
            <v>8.6999999999999994E-2</v>
          </cell>
        </row>
        <row r="110">
          <cell r="B110" t="str">
            <v>922Union</v>
          </cell>
          <cell r="C110" t="str">
            <v>Union</v>
          </cell>
          <cell r="E110">
            <v>922</v>
          </cell>
          <cell r="F110">
            <v>0.20399999999999999</v>
          </cell>
          <cell r="G110">
            <v>0.20399999999999999</v>
          </cell>
          <cell r="H110">
            <v>6.8000000000000005E-2</v>
          </cell>
          <cell r="I110">
            <v>6.8000000000000005E-2</v>
          </cell>
        </row>
        <row r="111">
          <cell r="B111" t="str">
            <v>923Gilchrist</v>
          </cell>
          <cell r="C111" t="str">
            <v>Gilchrist</v>
          </cell>
          <cell r="E111">
            <v>923</v>
          </cell>
          <cell r="F111">
            <v>0.19800000000000001</v>
          </cell>
          <cell r="G111">
            <v>0.19800000000000001</v>
          </cell>
          <cell r="H111">
            <v>8.1000000000000003E-2</v>
          </cell>
          <cell r="I111">
            <v>8.1000000000000003E-2</v>
          </cell>
        </row>
        <row r="112">
          <cell r="B112" t="str">
            <v>931Liberty</v>
          </cell>
          <cell r="C112" t="str">
            <v>Liberty</v>
          </cell>
          <cell r="E112">
            <v>931</v>
          </cell>
          <cell r="F112">
            <v>0.19500000000000001</v>
          </cell>
          <cell r="G112">
            <v>0.19500000000000001</v>
          </cell>
          <cell r="H112">
            <v>0.109</v>
          </cell>
          <cell r="I112">
            <v>0.109</v>
          </cell>
        </row>
        <row r="113">
          <cell r="B113" t="str">
            <v>932Madison</v>
          </cell>
          <cell r="C113" t="str">
            <v>Madison</v>
          </cell>
          <cell r="E113">
            <v>932</v>
          </cell>
          <cell r="F113">
            <v>0.20300000000000001</v>
          </cell>
          <cell r="G113">
            <v>0.20300000000000001</v>
          </cell>
          <cell r="H113">
            <v>4.8000000000000001E-2</v>
          </cell>
          <cell r="I113">
            <v>4.8000000000000001E-2</v>
          </cell>
        </row>
        <row r="114">
          <cell r="B114" t="str">
            <v>933Suwannee</v>
          </cell>
          <cell r="C114" t="str">
            <v>Suwannee</v>
          </cell>
          <cell r="E114">
            <v>933</v>
          </cell>
          <cell r="F114">
            <v>0.20399999999999999</v>
          </cell>
          <cell r="G114">
            <v>0.20399999999999999</v>
          </cell>
          <cell r="H114">
            <v>5.6000000000000001E-2</v>
          </cell>
          <cell r="I114">
            <v>5.6000000000000001E-2</v>
          </cell>
        </row>
        <row r="115">
          <cell r="B115" t="str">
            <v>934Washington</v>
          </cell>
          <cell r="C115" t="str">
            <v>Washington</v>
          </cell>
          <cell r="E115">
            <v>934</v>
          </cell>
          <cell r="F115">
            <v>0.19500000000000001</v>
          </cell>
          <cell r="G115">
            <v>0.19500000000000001</v>
          </cell>
          <cell r="H115">
            <v>0.14099999999999999</v>
          </cell>
          <cell r="I115">
            <v>0.14099999999999999</v>
          </cell>
        </row>
        <row r="116">
          <cell r="B116" t="str">
            <v>992Putnam</v>
          </cell>
          <cell r="C116" t="str">
            <v>Putnam</v>
          </cell>
          <cell r="E116">
            <v>992</v>
          </cell>
          <cell r="F116">
            <v>0.14799999999999999</v>
          </cell>
          <cell r="G116">
            <v>0.14799999999999999</v>
          </cell>
          <cell r="H116">
            <v>8.6999999999999994E-2</v>
          </cell>
          <cell r="I116">
            <v>8.6999999999999994E-2</v>
          </cell>
        </row>
        <row r="117">
          <cell r="B117" t="str">
            <v>993Leon</v>
          </cell>
          <cell r="C117" t="str">
            <v>Leon</v>
          </cell>
          <cell r="E117">
            <v>993</v>
          </cell>
          <cell r="F117">
            <v>0.13600000000000001</v>
          </cell>
          <cell r="G117">
            <v>0.13600000000000001</v>
          </cell>
          <cell r="H117">
            <v>0.06</v>
          </cell>
          <cell r="I117">
            <v>0.06</v>
          </cell>
        </row>
      </sheetData>
      <sheetData sheetId="5">
        <row r="3">
          <cell r="B3" t="str">
            <v>1Frame</v>
          </cell>
          <cell r="C3">
            <v>1</v>
          </cell>
          <cell r="D3">
            <v>1.1100000000000001</v>
          </cell>
          <cell r="E3">
            <v>1.1100000000000001</v>
          </cell>
          <cell r="F3">
            <v>1.1100000000000001</v>
          </cell>
        </row>
        <row r="4">
          <cell r="B4" t="str">
            <v>2Frame</v>
          </cell>
          <cell r="C4">
            <v>1</v>
          </cell>
          <cell r="D4">
            <v>1.1100000000000001</v>
          </cell>
          <cell r="E4">
            <v>1.1100000000000001</v>
          </cell>
          <cell r="F4">
            <v>1.1100000000000001</v>
          </cell>
        </row>
        <row r="5">
          <cell r="B5" t="str">
            <v>3Frame</v>
          </cell>
          <cell r="C5">
            <v>1</v>
          </cell>
          <cell r="D5">
            <v>1.1100000000000001</v>
          </cell>
          <cell r="E5">
            <v>1.1100000000000001</v>
          </cell>
          <cell r="F5">
            <v>1.1100000000000001</v>
          </cell>
        </row>
        <row r="6">
          <cell r="B6" t="str">
            <v>4Frame</v>
          </cell>
          <cell r="C6">
            <v>1</v>
          </cell>
          <cell r="D6">
            <v>1.1100000000000001</v>
          </cell>
          <cell r="E6">
            <v>1.1100000000000001</v>
          </cell>
          <cell r="F6">
            <v>1.1100000000000001</v>
          </cell>
        </row>
        <row r="7">
          <cell r="B7" t="str">
            <v>5Frame</v>
          </cell>
          <cell r="C7">
            <v>1</v>
          </cell>
          <cell r="D7">
            <v>1.1100000000000001</v>
          </cell>
          <cell r="E7">
            <v>1.1100000000000001</v>
          </cell>
          <cell r="F7">
            <v>1.1100000000000001</v>
          </cell>
        </row>
        <row r="8">
          <cell r="B8" t="str">
            <v>6Frame</v>
          </cell>
          <cell r="C8">
            <v>1</v>
          </cell>
          <cell r="D8">
            <v>1.1100000000000001</v>
          </cell>
          <cell r="E8">
            <v>1.1100000000000001</v>
          </cell>
          <cell r="F8">
            <v>1.1100000000000001</v>
          </cell>
        </row>
        <row r="9">
          <cell r="B9" t="str">
            <v>7Frame</v>
          </cell>
          <cell r="C9">
            <v>1</v>
          </cell>
          <cell r="D9">
            <v>1.33</v>
          </cell>
          <cell r="E9">
            <v>1.33</v>
          </cell>
          <cell r="F9">
            <v>1.33</v>
          </cell>
        </row>
        <row r="10">
          <cell r="B10" t="str">
            <v>8Frame</v>
          </cell>
          <cell r="C10">
            <v>1</v>
          </cell>
          <cell r="D10">
            <v>1.33</v>
          </cell>
          <cell r="E10">
            <v>1.33</v>
          </cell>
          <cell r="F10">
            <v>1.33</v>
          </cell>
        </row>
        <row r="11">
          <cell r="B11" t="str">
            <v>9Frame</v>
          </cell>
          <cell r="C11">
            <v>1</v>
          </cell>
          <cell r="D11">
            <v>1.78</v>
          </cell>
          <cell r="E11">
            <v>1.78</v>
          </cell>
          <cell r="F11">
            <v>1.78</v>
          </cell>
        </row>
        <row r="12">
          <cell r="B12" t="str">
            <v>10Frame</v>
          </cell>
          <cell r="C12">
            <v>1</v>
          </cell>
          <cell r="D12">
            <v>2.2200000000000002</v>
          </cell>
          <cell r="E12">
            <v>2.2200000000000002</v>
          </cell>
          <cell r="F12">
            <v>2.2200000000000002</v>
          </cell>
        </row>
        <row r="13">
          <cell r="B13" t="str">
            <v>1Plastic or Aluminum Siding Over Frame</v>
          </cell>
          <cell r="C13">
            <v>1</v>
          </cell>
          <cell r="D13">
            <v>1.1100000000000001</v>
          </cell>
          <cell r="E13">
            <v>1.1100000000000001</v>
          </cell>
          <cell r="F13">
            <v>1.1100000000000001</v>
          </cell>
        </row>
        <row r="14">
          <cell r="B14" t="str">
            <v>2Plastic or Aluminum Siding Over Frame</v>
          </cell>
          <cell r="C14">
            <v>1</v>
          </cell>
          <cell r="D14">
            <v>1.1100000000000001</v>
          </cell>
          <cell r="E14">
            <v>1.1100000000000001</v>
          </cell>
          <cell r="F14">
            <v>1.1100000000000001</v>
          </cell>
        </row>
        <row r="15">
          <cell r="B15" t="str">
            <v>3Plastic or Aluminum Siding Over Frame</v>
          </cell>
          <cell r="C15">
            <v>1</v>
          </cell>
          <cell r="D15">
            <v>1.1100000000000001</v>
          </cell>
          <cell r="E15">
            <v>1.1100000000000001</v>
          </cell>
          <cell r="F15">
            <v>1.1100000000000001</v>
          </cell>
        </row>
        <row r="16">
          <cell r="B16" t="str">
            <v>4Plastic or Aluminum Siding Over Frame</v>
          </cell>
          <cell r="C16">
            <v>1</v>
          </cell>
          <cell r="D16">
            <v>1.1100000000000001</v>
          </cell>
          <cell r="E16">
            <v>1.1100000000000001</v>
          </cell>
          <cell r="F16">
            <v>1.1100000000000001</v>
          </cell>
        </row>
        <row r="17">
          <cell r="B17" t="str">
            <v>5Plastic or Aluminum Siding Over Frame</v>
          </cell>
          <cell r="C17">
            <v>1</v>
          </cell>
          <cell r="D17">
            <v>1.1100000000000001</v>
          </cell>
          <cell r="E17">
            <v>1.1100000000000001</v>
          </cell>
          <cell r="F17">
            <v>1.1100000000000001</v>
          </cell>
        </row>
        <row r="18">
          <cell r="B18" t="str">
            <v>6Plastic or Aluminum Siding Over Frame</v>
          </cell>
          <cell r="C18">
            <v>1</v>
          </cell>
          <cell r="D18">
            <v>1.1100000000000001</v>
          </cell>
          <cell r="E18">
            <v>1.1100000000000001</v>
          </cell>
          <cell r="F18">
            <v>1.1100000000000001</v>
          </cell>
        </row>
        <row r="19">
          <cell r="B19" t="str">
            <v>7Plastic or Aluminum Siding Over Frame</v>
          </cell>
          <cell r="C19">
            <v>1</v>
          </cell>
          <cell r="D19">
            <v>1.33</v>
          </cell>
          <cell r="E19">
            <v>1.33</v>
          </cell>
          <cell r="F19">
            <v>1.33</v>
          </cell>
        </row>
        <row r="20">
          <cell r="B20" t="str">
            <v>8Plastic or Aluminum Siding Over Frame</v>
          </cell>
          <cell r="C20">
            <v>1</v>
          </cell>
          <cell r="D20">
            <v>1.33</v>
          </cell>
          <cell r="E20">
            <v>1.33</v>
          </cell>
          <cell r="F20">
            <v>1.33</v>
          </cell>
        </row>
        <row r="21">
          <cell r="B21" t="str">
            <v>9Plastic or Aluminum Siding Over Frame</v>
          </cell>
          <cell r="C21">
            <v>1</v>
          </cell>
          <cell r="D21">
            <v>1.78</v>
          </cell>
          <cell r="E21">
            <v>1.78</v>
          </cell>
          <cell r="F21">
            <v>1.78</v>
          </cell>
        </row>
        <row r="22">
          <cell r="B22" t="str">
            <v>10Plastic or Aluminum Siding Over Frame</v>
          </cell>
          <cell r="C22">
            <v>1</v>
          </cell>
          <cell r="D22">
            <v>2.2200000000000002</v>
          </cell>
          <cell r="E22">
            <v>2.2200000000000002</v>
          </cell>
          <cell r="F22">
            <v>2.2200000000000002</v>
          </cell>
        </row>
        <row r="23">
          <cell r="B23" t="str">
            <v>1Masonry</v>
          </cell>
          <cell r="C23">
            <v>1</v>
          </cell>
          <cell r="D23">
            <v>1</v>
          </cell>
          <cell r="E23">
            <v>1</v>
          </cell>
          <cell r="F23">
            <v>1</v>
          </cell>
        </row>
        <row r="24">
          <cell r="B24" t="str">
            <v>2Masonry</v>
          </cell>
          <cell r="C24">
            <v>1</v>
          </cell>
          <cell r="D24">
            <v>1</v>
          </cell>
          <cell r="E24">
            <v>1</v>
          </cell>
          <cell r="F24">
            <v>1</v>
          </cell>
        </row>
        <row r="25">
          <cell r="B25" t="str">
            <v>3Masonry</v>
          </cell>
          <cell r="C25">
            <v>1</v>
          </cell>
          <cell r="D25">
            <v>1</v>
          </cell>
          <cell r="E25">
            <v>1</v>
          </cell>
          <cell r="F25">
            <v>1</v>
          </cell>
        </row>
        <row r="26">
          <cell r="B26" t="str">
            <v>4Masonry</v>
          </cell>
          <cell r="C26">
            <v>1</v>
          </cell>
          <cell r="D26">
            <v>1</v>
          </cell>
          <cell r="E26">
            <v>1</v>
          </cell>
          <cell r="F26">
            <v>1</v>
          </cell>
        </row>
        <row r="27">
          <cell r="B27" t="str">
            <v>5Masonry</v>
          </cell>
          <cell r="C27">
            <v>1</v>
          </cell>
          <cell r="D27">
            <v>1</v>
          </cell>
          <cell r="E27">
            <v>1</v>
          </cell>
          <cell r="F27">
            <v>1</v>
          </cell>
        </row>
        <row r="28">
          <cell r="B28" t="str">
            <v>6Masonry</v>
          </cell>
          <cell r="C28">
            <v>1</v>
          </cell>
          <cell r="D28">
            <v>1</v>
          </cell>
          <cell r="E28">
            <v>1</v>
          </cell>
          <cell r="F28">
            <v>1</v>
          </cell>
        </row>
        <row r="29">
          <cell r="B29" t="str">
            <v>7Masonry</v>
          </cell>
          <cell r="C29">
            <v>1</v>
          </cell>
          <cell r="D29">
            <v>1</v>
          </cell>
          <cell r="E29">
            <v>1</v>
          </cell>
          <cell r="F29">
            <v>1</v>
          </cell>
        </row>
        <row r="30">
          <cell r="B30" t="str">
            <v>8Masonry</v>
          </cell>
          <cell r="C30">
            <v>1</v>
          </cell>
          <cell r="D30">
            <v>1</v>
          </cell>
          <cell r="E30">
            <v>1</v>
          </cell>
          <cell r="F30">
            <v>1</v>
          </cell>
        </row>
        <row r="31">
          <cell r="B31" t="str">
            <v>9Masonry</v>
          </cell>
          <cell r="C31">
            <v>1</v>
          </cell>
          <cell r="D31">
            <v>1.44</v>
          </cell>
          <cell r="E31">
            <v>1.44</v>
          </cell>
          <cell r="F31">
            <v>1.44</v>
          </cell>
        </row>
        <row r="32">
          <cell r="B32" t="str">
            <v>10Masonry</v>
          </cell>
          <cell r="C32">
            <v>1</v>
          </cell>
          <cell r="D32">
            <v>1.67</v>
          </cell>
          <cell r="E32">
            <v>1.67</v>
          </cell>
          <cell r="F32">
            <v>1.67</v>
          </cell>
        </row>
        <row r="33">
          <cell r="B33" t="str">
            <v>1Masonry Veneer</v>
          </cell>
          <cell r="C33">
            <v>1</v>
          </cell>
          <cell r="D33">
            <v>1</v>
          </cell>
          <cell r="E33">
            <v>1</v>
          </cell>
          <cell r="F33">
            <v>1</v>
          </cell>
        </row>
        <row r="34">
          <cell r="B34" t="str">
            <v>2Masonry Veneer</v>
          </cell>
          <cell r="C34">
            <v>1</v>
          </cell>
          <cell r="D34">
            <v>1</v>
          </cell>
          <cell r="E34">
            <v>1</v>
          </cell>
          <cell r="F34">
            <v>1</v>
          </cell>
        </row>
        <row r="35">
          <cell r="B35" t="str">
            <v>3Masonry Veneer</v>
          </cell>
          <cell r="C35">
            <v>1</v>
          </cell>
          <cell r="D35">
            <v>1</v>
          </cell>
          <cell r="E35">
            <v>1</v>
          </cell>
          <cell r="F35">
            <v>1</v>
          </cell>
        </row>
        <row r="36">
          <cell r="B36" t="str">
            <v>4Masonry Veneer</v>
          </cell>
          <cell r="C36">
            <v>1</v>
          </cell>
          <cell r="D36">
            <v>1</v>
          </cell>
          <cell r="E36">
            <v>1</v>
          </cell>
          <cell r="F36">
            <v>1</v>
          </cell>
        </row>
        <row r="37">
          <cell r="B37" t="str">
            <v>5Masonry Veneer</v>
          </cell>
          <cell r="C37">
            <v>1</v>
          </cell>
          <cell r="D37">
            <v>1</v>
          </cell>
          <cell r="E37">
            <v>1</v>
          </cell>
          <cell r="F37">
            <v>1</v>
          </cell>
        </row>
        <row r="38">
          <cell r="B38" t="str">
            <v>6Masonry Veneer</v>
          </cell>
          <cell r="C38">
            <v>1</v>
          </cell>
          <cell r="D38">
            <v>1</v>
          </cell>
          <cell r="E38">
            <v>1</v>
          </cell>
          <cell r="F38">
            <v>1</v>
          </cell>
        </row>
        <row r="39">
          <cell r="B39" t="str">
            <v>7Masonry Veneer</v>
          </cell>
          <cell r="C39">
            <v>1</v>
          </cell>
          <cell r="D39">
            <v>1</v>
          </cell>
          <cell r="E39">
            <v>1</v>
          </cell>
          <cell r="F39">
            <v>1</v>
          </cell>
        </row>
        <row r="40">
          <cell r="B40" t="str">
            <v>8Masonry Veneer</v>
          </cell>
          <cell r="C40">
            <v>1</v>
          </cell>
          <cell r="D40">
            <v>1</v>
          </cell>
          <cell r="E40">
            <v>1</v>
          </cell>
          <cell r="F40">
            <v>1</v>
          </cell>
        </row>
        <row r="41">
          <cell r="B41" t="str">
            <v>9Masonry Veneer</v>
          </cell>
          <cell r="C41">
            <v>1</v>
          </cell>
          <cell r="D41">
            <v>1.44</v>
          </cell>
          <cell r="E41">
            <v>1.44</v>
          </cell>
          <cell r="F41">
            <v>1.44</v>
          </cell>
        </row>
        <row r="42">
          <cell r="B42" t="str">
            <v>10Masonry Veneer</v>
          </cell>
          <cell r="C42">
            <v>1</v>
          </cell>
          <cell r="D42">
            <v>1.67</v>
          </cell>
          <cell r="E42">
            <v>1.67</v>
          </cell>
          <cell r="F42">
            <v>1.67</v>
          </cell>
        </row>
        <row r="43">
          <cell r="B43" t="str">
            <v>1Superior</v>
          </cell>
          <cell r="C43">
            <v>1</v>
          </cell>
          <cell r="D43">
            <v>0.85</v>
          </cell>
          <cell r="E43">
            <v>0.85</v>
          </cell>
          <cell r="F43">
            <v>0.85</v>
          </cell>
        </row>
        <row r="44">
          <cell r="B44" t="str">
            <v>2Superior</v>
          </cell>
          <cell r="C44">
            <v>1</v>
          </cell>
          <cell r="D44">
            <v>0.85</v>
          </cell>
          <cell r="E44">
            <v>0.85</v>
          </cell>
          <cell r="F44">
            <v>0.85</v>
          </cell>
        </row>
        <row r="45">
          <cell r="B45" t="str">
            <v>3Superior</v>
          </cell>
          <cell r="C45">
            <v>1</v>
          </cell>
          <cell r="D45">
            <v>0.85</v>
          </cell>
          <cell r="E45">
            <v>0.85</v>
          </cell>
          <cell r="F45">
            <v>0.85</v>
          </cell>
        </row>
        <row r="46">
          <cell r="B46" t="str">
            <v>4Superior</v>
          </cell>
          <cell r="C46">
            <v>1</v>
          </cell>
          <cell r="D46">
            <v>0.85</v>
          </cell>
          <cell r="E46">
            <v>0.85</v>
          </cell>
          <cell r="F46">
            <v>0.85</v>
          </cell>
        </row>
        <row r="47">
          <cell r="B47" t="str">
            <v>5Superior</v>
          </cell>
          <cell r="C47">
            <v>1</v>
          </cell>
          <cell r="D47">
            <v>0.85</v>
          </cell>
          <cell r="E47">
            <v>0.85</v>
          </cell>
          <cell r="F47">
            <v>0.85</v>
          </cell>
        </row>
        <row r="48">
          <cell r="B48" t="str">
            <v>6Superior</v>
          </cell>
          <cell r="C48">
            <v>1</v>
          </cell>
          <cell r="D48">
            <v>0.85</v>
          </cell>
          <cell r="E48">
            <v>0.85</v>
          </cell>
          <cell r="F48">
            <v>0.85</v>
          </cell>
        </row>
        <row r="49">
          <cell r="B49" t="str">
            <v>7Superior</v>
          </cell>
          <cell r="C49">
            <v>1</v>
          </cell>
          <cell r="D49">
            <v>0.85</v>
          </cell>
          <cell r="E49">
            <v>0.85</v>
          </cell>
          <cell r="F49">
            <v>0.85</v>
          </cell>
        </row>
        <row r="50">
          <cell r="B50" t="str">
            <v>8Superior</v>
          </cell>
          <cell r="C50">
            <v>1</v>
          </cell>
          <cell r="D50">
            <v>0.85</v>
          </cell>
          <cell r="E50">
            <v>0.85</v>
          </cell>
          <cell r="F50">
            <v>0.85</v>
          </cell>
        </row>
        <row r="51">
          <cell r="B51" t="str">
            <v>9Superior</v>
          </cell>
          <cell r="C51">
            <v>1</v>
          </cell>
          <cell r="D51">
            <v>1.224</v>
          </cell>
          <cell r="E51">
            <v>1.224</v>
          </cell>
          <cell r="F51">
            <v>1.224</v>
          </cell>
        </row>
        <row r="52">
          <cell r="B52" t="str">
            <v>10Superior</v>
          </cell>
          <cell r="C52">
            <v>1</v>
          </cell>
          <cell r="D52">
            <v>1.42</v>
          </cell>
          <cell r="E52">
            <v>1.42</v>
          </cell>
          <cell r="F52">
            <v>1.42</v>
          </cell>
        </row>
        <row r="56">
          <cell r="B56" t="b">
            <v>1</v>
          </cell>
          <cell r="C56">
            <v>0.45600000000000002</v>
          </cell>
          <cell r="D56">
            <v>1</v>
          </cell>
        </row>
        <row r="57">
          <cell r="B57" t="b">
            <v>0</v>
          </cell>
          <cell r="C57">
            <v>1</v>
          </cell>
          <cell r="D57">
            <v>2</v>
          </cell>
        </row>
        <row r="61">
          <cell r="B61" t="str">
            <v>Neither</v>
          </cell>
        </row>
        <row r="62">
          <cell r="B62" t="str">
            <v>Class A</v>
          </cell>
        </row>
        <row r="63">
          <cell r="B63" t="str">
            <v>Class B</v>
          </cell>
        </row>
        <row r="68">
          <cell r="B68" t="str">
            <v>Class A0</v>
          </cell>
          <cell r="C68" t="str">
            <v>Class A</v>
          </cell>
          <cell r="D68">
            <v>0</v>
          </cell>
          <cell r="E68">
            <v>0.94199999999999995</v>
          </cell>
        </row>
        <row r="69">
          <cell r="B69" t="str">
            <v>Class A1</v>
          </cell>
          <cell r="C69" t="str">
            <v>Class A</v>
          </cell>
          <cell r="D69">
            <v>1</v>
          </cell>
          <cell r="E69">
            <v>0.88800000000000001</v>
          </cell>
        </row>
        <row r="70">
          <cell r="B70" t="str">
            <v>Neither0</v>
          </cell>
          <cell r="C70" t="str">
            <v>Neither</v>
          </cell>
          <cell r="D70">
            <v>0</v>
          </cell>
          <cell r="E70">
            <v>1</v>
          </cell>
        </row>
        <row r="71">
          <cell r="B71" t="str">
            <v>Neither1</v>
          </cell>
          <cell r="C71" t="str">
            <v>Neither</v>
          </cell>
          <cell r="D71">
            <v>1</v>
          </cell>
          <cell r="E71">
            <v>0.94199999999999995</v>
          </cell>
        </row>
        <row r="72">
          <cell r="B72" t="str">
            <v>Class B0</v>
          </cell>
          <cell r="C72" t="str">
            <v>Class B</v>
          </cell>
          <cell r="D72">
            <v>0</v>
          </cell>
          <cell r="E72">
            <v>0.89900000000000002</v>
          </cell>
        </row>
        <row r="73">
          <cell r="B73" t="str">
            <v>Class B1</v>
          </cell>
          <cell r="C73" t="str">
            <v>Class B</v>
          </cell>
          <cell r="D73">
            <v>1</v>
          </cell>
          <cell r="E73">
            <v>0.84699999999999998</v>
          </cell>
        </row>
        <row r="77">
          <cell r="B77" t="str">
            <v>049</v>
          </cell>
          <cell r="C77" t="str">
            <v>1</v>
          </cell>
        </row>
        <row r="78">
          <cell r="B78" t="str">
            <v>081</v>
          </cell>
          <cell r="C78" t="str">
            <v>1</v>
          </cell>
        </row>
        <row r="79">
          <cell r="B79" t="str">
            <v>090</v>
          </cell>
          <cell r="C79" t="str">
            <v>1</v>
          </cell>
        </row>
        <row r="80">
          <cell r="B80" t="str">
            <v>192</v>
          </cell>
          <cell r="C80" t="str">
            <v>1</v>
          </cell>
        </row>
        <row r="81">
          <cell r="B81" t="str">
            <v>193</v>
          </cell>
          <cell r="C81" t="str">
            <v>1</v>
          </cell>
        </row>
        <row r="82">
          <cell r="B82" t="str">
            <v>292</v>
          </cell>
          <cell r="C82" t="str">
            <v>1</v>
          </cell>
        </row>
        <row r="83">
          <cell r="B83" t="str">
            <v>293</v>
          </cell>
          <cell r="C83" t="str">
            <v>1</v>
          </cell>
        </row>
        <row r="84">
          <cell r="B84" t="str">
            <v>392</v>
          </cell>
          <cell r="C84" t="str">
            <v>1</v>
          </cell>
        </row>
        <row r="85">
          <cell r="B85" t="str">
            <v>393</v>
          </cell>
          <cell r="C85" t="str">
            <v>1</v>
          </cell>
        </row>
        <row r="86">
          <cell r="B86" t="str">
            <v>492</v>
          </cell>
          <cell r="C86" t="str">
            <v>1</v>
          </cell>
        </row>
        <row r="87">
          <cell r="B87" t="str">
            <v>493</v>
          </cell>
          <cell r="C87" t="str">
            <v>1</v>
          </cell>
        </row>
        <row r="88">
          <cell r="B88" t="str">
            <v>593</v>
          </cell>
          <cell r="C88" t="str">
            <v>1</v>
          </cell>
        </row>
        <row r="89">
          <cell r="B89" t="str">
            <v>692</v>
          </cell>
          <cell r="C89" t="str">
            <v>1</v>
          </cell>
        </row>
        <row r="90">
          <cell r="B90" t="str">
            <v>693</v>
          </cell>
          <cell r="C90" t="str">
            <v>1</v>
          </cell>
        </row>
        <row r="91">
          <cell r="B91" t="str">
            <v>722</v>
          </cell>
          <cell r="C91" t="str">
            <v>1</v>
          </cell>
        </row>
        <row r="92">
          <cell r="B92" t="str">
            <v>792</v>
          </cell>
          <cell r="C92" t="str">
            <v>1</v>
          </cell>
        </row>
        <row r="93">
          <cell r="B93" t="str">
            <v>793</v>
          </cell>
          <cell r="C93" t="str">
            <v>1</v>
          </cell>
        </row>
        <row r="94">
          <cell r="B94" t="str">
            <v>892</v>
          </cell>
          <cell r="C94" t="str">
            <v>1</v>
          </cell>
        </row>
        <row r="95">
          <cell r="B95" t="str">
            <v>893</v>
          </cell>
          <cell r="C95" t="str">
            <v>1</v>
          </cell>
        </row>
        <row r="96">
          <cell r="B96" t="str">
            <v>921</v>
          </cell>
          <cell r="C96" t="str">
            <v>1</v>
          </cell>
        </row>
        <row r="97">
          <cell r="B97" t="str">
            <v>922</v>
          </cell>
          <cell r="C97" t="str">
            <v>1</v>
          </cell>
        </row>
        <row r="98">
          <cell r="B98" t="str">
            <v>923</v>
          </cell>
          <cell r="C98" t="str">
            <v>1</v>
          </cell>
        </row>
        <row r="99">
          <cell r="B99" t="str">
            <v>931</v>
          </cell>
          <cell r="C99" t="str">
            <v>1</v>
          </cell>
        </row>
        <row r="100">
          <cell r="B100" t="str">
            <v>932</v>
          </cell>
          <cell r="C100" t="str">
            <v>1</v>
          </cell>
        </row>
        <row r="101">
          <cell r="B101" t="str">
            <v>933</v>
          </cell>
          <cell r="C101" t="str">
            <v>1</v>
          </cell>
        </row>
        <row r="102">
          <cell r="B102" t="str">
            <v>934</v>
          </cell>
          <cell r="C102" t="str">
            <v>1</v>
          </cell>
        </row>
        <row r="103">
          <cell r="B103" t="str">
            <v>992</v>
          </cell>
          <cell r="C103" t="str">
            <v>1</v>
          </cell>
        </row>
        <row r="104">
          <cell r="B104" t="str">
            <v>993</v>
          </cell>
          <cell r="C104" t="str">
            <v>1</v>
          </cell>
        </row>
        <row r="105">
          <cell r="B105" t="str">
            <v>041</v>
          </cell>
          <cell r="C105" t="str">
            <v>2</v>
          </cell>
        </row>
        <row r="106">
          <cell r="B106" t="str">
            <v>050</v>
          </cell>
          <cell r="C106" t="str">
            <v>2</v>
          </cell>
        </row>
        <row r="107">
          <cell r="B107" t="str">
            <v>039</v>
          </cell>
          <cell r="C107" t="str">
            <v>3</v>
          </cell>
        </row>
        <row r="108">
          <cell r="B108" t="str">
            <v>511</v>
          </cell>
          <cell r="C108" t="str">
            <v>3</v>
          </cell>
        </row>
        <row r="109">
          <cell r="B109" t="str">
            <v>512</v>
          </cell>
          <cell r="C109" t="str">
            <v>3</v>
          </cell>
        </row>
        <row r="110">
          <cell r="B110" t="str">
            <v>531</v>
          </cell>
          <cell r="C110" t="str">
            <v>3</v>
          </cell>
        </row>
        <row r="111">
          <cell r="B111" t="str">
            <v>554</v>
          </cell>
          <cell r="C111" t="str">
            <v>3</v>
          </cell>
        </row>
        <row r="112">
          <cell r="B112" t="str">
            <v>604</v>
          </cell>
          <cell r="C112" t="str">
            <v>3</v>
          </cell>
        </row>
        <row r="113">
          <cell r="B113" t="str">
            <v>702</v>
          </cell>
          <cell r="C113" t="str">
            <v>3</v>
          </cell>
        </row>
        <row r="114">
          <cell r="B114" t="str">
            <v>711</v>
          </cell>
          <cell r="C114" t="str">
            <v>3</v>
          </cell>
        </row>
        <row r="115">
          <cell r="B115" t="str">
            <v>712</v>
          </cell>
          <cell r="C115" t="str">
            <v>3</v>
          </cell>
        </row>
        <row r="116">
          <cell r="B116" t="str">
            <v>713</v>
          </cell>
          <cell r="C116" t="str">
            <v>3</v>
          </cell>
        </row>
        <row r="117">
          <cell r="B117" t="str">
            <v>714</v>
          </cell>
          <cell r="C117" t="str">
            <v>3</v>
          </cell>
        </row>
        <row r="118">
          <cell r="B118" t="str">
            <v>715</v>
          </cell>
          <cell r="C118" t="str">
            <v>3</v>
          </cell>
        </row>
        <row r="119">
          <cell r="B119" t="str">
            <v>721</v>
          </cell>
          <cell r="C119" t="str">
            <v>3</v>
          </cell>
        </row>
        <row r="120">
          <cell r="B120" t="str">
            <v>723</v>
          </cell>
          <cell r="C120" t="str">
            <v>3</v>
          </cell>
        </row>
        <row r="121">
          <cell r="B121" t="str">
            <v>724</v>
          </cell>
          <cell r="C121" t="str">
            <v>3</v>
          </cell>
        </row>
        <row r="122">
          <cell r="B122" t="str">
            <v>725</v>
          </cell>
          <cell r="C122" t="str">
            <v>3</v>
          </cell>
        </row>
        <row r="123">
          <cell r="B123" t="str">
            <v>726</v>
          </cell>
          <cell r="C123" t="str">
            <v>3</v>
          </cell>
        </row>
        <row r="124">
          <cell r="B124" t="str">
            <v>731</v>
          </cell>
          <cell r="C124" t="str">
            <v>3</v>
          </cell>
        </row>
        <row r="125">
          <cell r="B125" t="str">
            <v>732</v>
          </cell>
          <cell r="C125" t="str">
            <v>3</v>
          </cell>
        </row>
        <row r="126">
          <cell r="B126" t="str">
            <v>733</v>
          </cell>
          <cell r="C126" t="str">
            <v>3</v>
          </cell>
        </row>
        <row r="127">
          <cell r="B127" t="str">
            <v>734</v>
          </cell>
          <cell r="C127" t="str">
            <v>3</v>
          </cell>
        </row>
        <row r="128">
          <cell r="B128" t="str">
            <v>735</v>
          </cell>
          <cell r="C128" t="str">
            <v>3</v>
          </cell>
        </row>
        <row r="129">
          <cell r="B129" t="str">
            <v>736</v>
          </cell>
          <cell r="C129" t="str">
            <v>3</v>
          </cell>
        </row>
        <row r="130">
          <cell r="B130" t="str">
            <v>737</v>
          </cell>
          <cell r="C130" t="str">
            <v>3</v>
          </cell>
        </row>
        <row r="131">
          <cell r="B131" t="str">
            <v>040</v>
          </cell>
          <cell r="C131" t="str">
            <v>4</v>
          </cell>
        </row>
        <row r="132">
          <cell r="B132" t="str">
            <v>046</v>
          </cell>
          <cell r="C132" t="str">
            <v>4</v>
          </cell>
        </row>
        <row r="133">
          <cell r="B133" t="str">
            <v>047</v>
          </cell>
          <cell r="C133" t="str">
            <v>4</v>
          </cell>
        </row>
        <row r="134">
          <cell r="B134" t="str">
            <v>010</v>
          </cell>
          <cell r="C134" t="str">
            <v>5</v>
          </cell>
        </row>
        <row r="135">
          <cell r="B135" t="str">
            <v>042</v>
          </cell>
          <cell r="C135" t="str">
            <v>5</v>
          </cell>
        </row>
        <row r="136">
          <cell r="B136" t="str">
            <v>080</v>
          </cell>
          <cell r="C136" t="str">
            <v>5</v>
          </cell>
        </row>
        <row r="137">
          <cell r="B137" t="str">
            <v>181</v>
          </cell>
          <cell r="C137" t="str">
            <v>5</v>
          </cell>
        </row>
        <row r="138">
          <cell r="B138" t="str">
            <v>182</v>
          </cell>
          <cell r="C138" t="str">
            <v>5</v>
          </cell>
        </row>
        <row r="139">
          <cell r="B139" t="str">
            <v>183</v>
          </cell>
          <cell r="C139" t="str">
            <v>5</v>
          </cell>
        </row>
        <row r="140">
          <cell r="B140" t="str">
            <v>032</v>
          </cell>
          <cell r="C140" t="str">
            <v>6</v>
          </cell>
        </row>
        <row r="141">
          <cell r="B141" t="str">
            <v>043</v>
          </cell>
          <cell r="C141" t="str">
            <v>6</v>
          </cell>
        </row>
        <row r="142">
          <cell r="B142" t="str">
            <v>057</v>
          </cell>
          <cell r="C142" t="str">
            <v>6</v>
          </cell>
        </row>
        <row r="143">
          <cell r="B143" t="str">
            <v>062</v>
          </cell>
          <cell r="C143" t="str">
            <v>6</v>
          </cell>
        </row>
        <row r="144">
          <cell r="B144" t="str">
            <v>063</v>
          </cell>
          <cell r="C144" t="str">
            <v>6</v>
          </cell>
        </row>
        <row r="145">
          <cell r="B145" t="str">
            <v>064</v>
          </cell>
          <cell r="C145" t="str">
            <v>6</v>
          </cell>
        </row>
        <row r="146">
          <cell r="B146" t="str">
            <v>159</v>
          </cell>
          <cell r="C146" t="str">
            <v>6</v>
          </cell>
        </row>
        <row r="147">
          <cell r="B147" t="str">
            <v>532</v>
          </cell>
          <cell r="C147" t="str">
            <v>6</v>
          </cell>
        </row>
        <row r="148">
          <cell r="B148" t="str">
            <v>533</v>
          </cell>
          <cell r="C148" t="str">
            <v>6</v>
          </cell>
        </row>
        <row r="149">
          <cell r="B149" t="str">
            <v>541</v>
          </cell>
          <cell r="C149" t="str">
            <v>6</v>
          </cell>
        </row>
        <row r="150">
          <cell r="B150" t="str">
            <v>542</v>
          </cell>
          <cell r="C150" t="str">
            <v>6</v>
          </cell>
        </row>
        <row r="151">
          <cell r="B151" t="str">
            <v>551</v>
          </cell>
          <cell r="C151" t="str">
            <v>6</v>
          </cell>
        </row>
        <row r="152">
          <cell r="B152" t="str">
            <v>552</v>
          </cell>
          <cell r="C152" t="str">
            <v>6</v>
          </cell>
        </row>
        <row r="153">
          <cell r="B153" t="str">
            <v>553</v>
          </cell>
          <cell r="C153" t="str">
            <v>6</v>
          </cell>
        </row>
        <row r="154">
          <cell r="B154" t="str">
            <v>555</v>
          </cell>
          <cell r="C154" t="str">
            <v>6</v>
          </cell>
        </row>
        <row r="155">
          <cell r="B155" t="str">
            <v>561</v>
          </cell>
          <cell r="C155" t="str">
            <v>6</v>
          </cell>
        </row>
        <row r="156">
          <cell r="B156" t="str">
            <v>562</v>
          </cell>
          <cell r="C156" t="str">
            <v>6</v>
          </cell>
        </row>
        <row r="157">
          <cell r="B157" t="str">
            <v>581</v>
          </cell>
          <cell r="C157" t="str">
            <v>6</v>
          </cell>
        </row>
        <row r="158">
          <cell r="B158" t="str">
            <v>582</v>
          </cell>
          <cell r="C158" t="str">
            <v>6</v>
          </cell>
        </row>
        <row r="159">
          <cell r="B159" t="str">
            <v>583</v>
          </cell>
          <cell r="C159" t="str">
            <v>6</v>
          </cell>
        </row>
        <row r="160">
          <cell r="B160" t="str">
            <v>591</v>
          </cell>
          <cell r="C160" t="str">
            <v>6</v>
          </cell>
        </row>
        <row r="161">
          <cell r="B161" t="str">
            <v>592</v>
          </cell>
          <cell r="C161" t="str">
            <v>6</v>
          </cell>
        </row>
        <row r="162">
          <cell r="B162" t="str">
            <v>594</v>
          </cell>
          <cell r="C162" t="str">
            <v>6</v>
          </cell>
        </row>
        <row r="163">
          <cell r="B163" t="str">
            <v>595</v>
          </cell>
          <cell r="C163" t="str">
            <v>6</v>
          </cell>
        </row>
        <row r="164">
          <cell r="B164" t="str">
            <v>596</v>
          </cell>
          <cell r="C164" t="str">
            <v>6</v>
          </cell>
        </row>
        <row r="165">
          <cell r="B165" t="str">
            <v>601</v>
          </cell>
          <cell r="C165" t="str">
            <v>6</v>
          </cell>
        </row>
        <row r="166">
          <cell r="B166" t="str">
            <v>602</v>
          </cell>
          <cell r="C166" t="str">
            <v>6</v>
          </cell>
        </row>
        <row r="167">
          <cell r="B167" t="str">
            <v>603</v>
          </cell>
          <cell r="C167" t="str">
            <v>6</v>
          </cell>
        </row>
        <row r="168">
          <cell r="B168" t="str">
            <v>605</v>
          </cell>
          <cell r="C168" t="str">
            <v>6</v>
          </cell>
        </row>
        <row r="169">
          <cell r="B169" t="str">
            <v>606</v>
          </cell>
          <cell r="C169" t="str">
            <v>6</v>
          </cell>
        </row>
        <row r="170">
          <cell r="B170" t="str">
            <v>607</v>
          </cell>
          <cell r="C170" t="str">
            <v>6</v>
          </cell>
        </row>
        <row r="171">
          <cell r="B171" t="str">
            <v>608</v>
          </cell>
          <cell r="C171" t="str">
            <v>6</v>
          </cell>
        </row>
        <row r="172">
          <cell r="B172" t="str">
            <v>609</v>
          </cell>
          <cell r="C172" t="str">
            <v>6</v>
          </cell>
        </row>
        <row r="173">
          <cell r="B173" t="str">
            <v>701</v>
          </cell>
          <cell r="C173" t="str">
            <v>6</v>
          </cell>
        </row>
        <row r="174">
          <cell r="B174" t="str">
            <v>005</v>
          </cell>
          <cell r="C174" t="str">
            <v>7</v>
          </cell>
        </row>
        <row r="175">
          <cell r="B175" t="str">
            <v>031</v>
          </cell>
          <cell r="C175" t="str">
            <v>7</v>
          </cell>
        </row>
        <row r="176">
          <cell r="B176" t="str">
            <v>038</v>
          </cell>
          <cell r="C176" t="str">
            <v>7</v>
          </cell>
        </row>
        <row r="177">
          <cell r="B177" t="str">
            <v>034</v>
          </cell>
          <cell r="C177" t="str">
            <v>8</v>
          </cell>
        </row>
        <row r="178">
          <cell r="B178" t="str">
            <v>035</v>
          </cell>
          <cell r="C178" t="str">
            <v>8</v>
          </cell>
        </row>
        <row r="179">
          <cell r="B179" t="str">
            <v>037</v>
          </cell>
          <cell r="C179" t="str">
            <v>8</v>
          </cell>
        </row>
        <row r="180">
          <cell r="B180" t="str">
            <v>361</v>
          </cell>
          <cell r="C180" t="str">
            <v>8</v>
          </cell>
        </row>
        <row r="181">
          <cell r="B181" t="str">
            <v>362</v>
          </cell>
          <cell r="C181" t="str">
            <v>8</v>
          </cell>
        </row>
        <row r="182">
          <cell r="B182" t="str">
            <v>007</v>
          </cell>
          <cell r="C182" t="str">
            <v>9</v>
          </cell>
        </row>
        <row r="183">
          <cell r="B183" t="str">
            <v>030</v>
          </cell>
          <cell r="C183" t="str">
            <v>9</v>
          </cell>
        </row>
        <row r="184">
          <cell r="B184" t="str">
            <v>033</v>
          </cell>
          <cell r="C184" t="str">
            <v>9</v>
          </cell>
        </row>
        <row r="188">
          <cell r="E188">
            <v>0</v>
          </cell>
        </row>
        <row r="189">
          <cell r="C189">
            <v>1</v>
          </cell>
          <cell r="D189" t="str">
            <v>11</v>
          </cell>
          <cell r="E189">
            <v>1</v>
          </cell>
          <cell r="F189">
            <v>0.53900000000000003</v>
          </cell>
        </row>
        <row r="190">
          <cell r="C190">
            <v>2</v>
          </cell>
          <cell r="D190" t="str">
            <v>12</v>
          </cell>
          <cell r="E190">
            <v>2</v>
          </cell>
          <cell r="F190">
            <v>0.53900000000000003</v>
          </cell>
        </row>
        <row r="191">
          <cell r="C191">
            <v>3</v>
          </cell>
          <cell r="D191" t="str">
            <v>13</v>
          </cell>
          <cell r="E191">
            <v>3</v>
          </cell>
          <cell r="F191">
            <v>0.53900000000000003</v>
          </cell>
        </row>
        <row r="192">
          <cell r="C192">
            <v>4</v>
          </cell>
          <cell r="D192" t="str">
            <v>14</v>
          </cell>
          <cell r="E192">
            <v>4</v>
          </cell>
          <cell r="F192">
            <v>0.754</v>
          </cell>
        </row>
        <row r="193">
          <cell r="C193">
            <v>5</v>
          </cell>
          <cell r="D193" t="str">
            <v>15</v>
          </cell>
          <cell r="E193">
            <v>5</v>
          </cell>
          <cell r="F193">
            <v>0.754</v>
          </cell>
        </row>
        <row r="194">
          <cell r="C194">
            <v>6</v>
          </cell>
          <cell r="D194" t="str">
            <v>16</v>
          </cell>
          <cell r="E194">
            <v>6</v>
          </cell>
          <cell r="F194">
            <v>0.754</v>
          </cell>
        </row>
        <row r="195">
          <cell r="C195">
            <v>7</v>
          </cell>
          <cell r="D195" t="str">
            <v>17</v>
          </cell>
          <cell r="E195">
            <v>7</v>
          </cell>
          <cell r="F195">
            <v>0.754</v>
          </cell>
        </row>
        <row r="196">
          <cell r="C196">
            <v>8</v>
          </cell>
          <cell r="D196" t="str">
            <v>18</v>
          </cell>
          <cell r="E196">
            <v>8</v>
          </cell>
          <cell r="F196">
            <v>0.877</v>
          </cell>
        </row>
        <row r="197">
          <cell r="C197">
            <v>9</v>
          </cell>
          <cell r="D197" t="str">
            <v>19</v>
          </cell>
          <cell r="E197">
            <v>9</v>
          </cell>
          <cell r="F197">
            <v>0.877</v>
          </cell>
        </row>
        <row r="198">
          <cell r="C198">
            <v>10</v>
          </cell>
          <cell r="D198" t="str">
            <v>110</v>
          </cell>
          <cell r="E198">
            <v>10</v>
          </cell>
          <cell r="F198">
            <v>1</v>
          </cell>
        </row>
        <row r="199">
          <cell r="C199" t="str">
            <v>Ungraded</v>
          </cell>
          <cell r="D199" t="str">
            <v>1Ungraded</v>
          </cell>
          <cell r="E199">
            <v>11</v>
          </cell>
          <cell r="F199">
            <v>1</v>
          </cell>
        </row>
        <row r="200">
          <cell r="C200" t="str">
            <v>Non-Graded</v>
          </cell>
          <cell r="D200" t="str">
            <v>1Non-Graded</v>
          </cell>
          <cell r="E200">
            <v>12</v>
          </cell>
          <cell r="F200">
            <v>1.0309999999999999</v>
          </cell>
        </row>
        <row r="201">
          <cell r="D201" t="str">
            <v>21</v>
          </cell>
          <cell r="F201">
            <v>0.67500000000000004</v>
          </cell>
        </row>
        <row r="202">
          <cell r="D202" t="str">
            <v>22</v>
          </cell>
          <cell r="F202">
            <v>0.67500000000000004</v>
          </cell>
        </row>
        <row r="203">
          <cell r="D203" t="str">
            <v>23</v>
          </cell>
          <cell r="F203">
            <v>0.67500000000000004</v>
          </cell>
        </row>
        <row r="204">
          <cell r="D204" t="str">
            <v>24</v>
          </cell>
          <cell r="F204">
            <v>0.81899999999999995</v>
          </cell>
        </row>
        <row r="205">
          <cell r="D205" t="str">
            <v>25</v>
          </cell>
          <cell r="F205">
            <v>0.81899999999999995</v>
          </cell>
        </row>
        <row r="206">
          <cell r="D206" t="str">
            <v>26</v>
          </cell>
          <cell r="F206">
            <v>0.81899999999999995</v>
          </cell>
        </row>
        <row r="207">
          <cell r="D207" t="str">
            <v>27</v>
          </cell>
          <cell r="F207">
            <v>0.81899999999999995</v>
          </cell>
        </row>
        <row r="208">
          <cell r="D208" t="str">
            <v>28</v>
          </cell>
          <cell r="F208">
            <v>0.91900000000000004</v>
          </cell>
        </row>
        <row r="209">
          <cell r="D209" t="str">
            <v>29</v>
          </cell>
          <cell r="F209">
            <v>0.91900000000000004</v>
          </cell>
        </row>
        <row r="210">
          <cell r="D210" t="str">
            <v>210</v>
          </cell>
          <cell r="F210">
            <v>1</v>
          </cell>
        </row>
        <row r="211">
          <cell r="D211" t="str">
            <v>2Ungraded</v>
          </cell>
          <cell r="F211">
            <v>1</v>
          </cell>
        </row>
        <row r="212">
          <cell r="D212" t="str">
            <v>2Non-Graded</v>
          </cell>
          <cell r="F212">
            <v>1.0309999999999999</v>
          </cell>
        </row>
        <row r="213">
          <cell r="D213" t="str">
            <v>31</v>
          </cell>
          <cell r="F213">
            <v>0.77600000000000002</v>
          </cell>
        </row>
        <row r="214">
          <cell r="D214" t="str">
            <v>32</v>
          </cell>
          <cell r="F214">
            <v>0.77600000000000002</v>
          </cell>
        </row>
        <row r="215">
          <cell r="D215" t="str">
            <v>33</v>
          </cell>
          <cell r="F215">
            <v>0.77600000000000002</v>
          </cell>
        </row>
        <row r="216">
          <cell r="D216" t="str">
            <v>34</v>
          </cell>
          <cell r="F216">
            <v>0.875</v>
          </cell>
        </row>
        <row r="217">
          <cell r="D217" t="str">
            <v>35</v>
          </cell>
          <cell r="F217">
            <v>0.875</v>
          </cell>
        </row>
        <row r="218">
          <cell r="D218" t="str">
            <v>36</v>
          </cell>
          <cell r="F218">
            <v>0.875</v>
          </cell>
        </row>
        <row r="219">
          <cell r="D219" t="str">
            <v>37</v>
          </cell>
          <cell r="F219">
            <v>0.875</v>
          </cell>
        </row>
        <row r="220">
          <cell r="D220" t="str">
            <v>38</v>
          </cell>
          <cell r="F220">
            <v>0.95599999999999996</v>
          </cell>
        </row>
        <row r="221">
          <cell r="D221" t="str">
            <v>39</v>
          </cell>
          <cell r="F221">
            <v>0.95599999999999996</v>
          </cell>
        </row>
        <row r="222">
          <cell r="D222" t="str">
            <v>310</v>
          </cell>
          <cell r="F222">
            <v>1</v>
          </cell>
        </row>
        <row r="223">
          <cell r="D223" t="str">
            <v>3Ungraded</v>
          </cell>
          <cell r="F223">
            <v>1</v>
          </cell>
        </row>
        <row r="224">
          <cell r="D224" t="str">
            <v>3Non-Graded</v>
          </cell>
          <cell r="F224">
            <v>1.0309999999999999</v>
          </cell>
        </row>
        <row r="225">
          <cell r="D225" t="str">
            <v>41</v>
          </cell>
          <cell r="F225">
            <v>0.81799999999999995</v>
          </cell>
        </row>
        <row r="226">
          <cell r="D226" t="str">
            <v>42</v>
          </cell>
          <cell r="F226">
            <v>0.81799999999999995</v>
          </cell>
        </row>
        <row r="227">
          <cell r="D227" t="str">
            <v>43</v>
          </cell>
          <cell r="F227">
            <v>0.81799999999999995</v>
          </cell>
        </row>
        <row r="228">
          <cell r="D228" t="str">
            <v>44</v>
          </cell>
          <cell r="F228">
            <v>0.9</v>
          </cell>
        </row>
        <row r="229">
          <cell r="D229" t="str">
            <v>45</v>
          </cell>
          <cell r="F229">
            <v>0.9</v>
          </cell>
        </row>
        <row r="230">
          <cell r="D230" t="str">
            <v>46</v>
          </cell>
          <cell r="F230">
            <v>0.9</v>
          </cell>
        </row>
        <row r="231">
          <cell r="D231" t="str">
            <v>47</v>
          </cell>
          <cell r="F231">
            <v>0.9</v>
          </cell>
        </row>
        <row r="232">
          <cell r="D232" t="str">
            <v>48</v>
          </cell>
          <cell r="F232">
            <v>0.96099999999999997</v>
          </cell>
        </row>
        <row r="233">
          <cell r="D233" t="str">
            <v>49</v>
          </cell>
          <cell r="F233">
            <v>0.96099999999999997</v>
          </cell>
        </row>
        <row r="234">
          <cell r="D234" t="str">
            <v>410</v>
          </cell>
          <cell r="F234">
            <v>1</v>
          </cell>
        </row>
        <row r="235">
          <cell r="D235" t="str">
            <v>4Ungraded</v>
          </cell>
          <cell r="F235">
            <v>1</v>
          </cell>
        </row>
        <row r="236">
          <cell r="D236" t="str">
            <v>4Non-Graded</v>
          </cell>
          <cell r="F236">
            <v>1.0309999999999999</v>
          </cell>
        </row>
        <row r="237">
          <cell r="D237" t="str">
            <v>51</v>
          </cell>
          <cell r="F237">
            <v>0.85</v>
          </cell>
        </row>
        <row r="238">
          <cell r="D238" t="str">
            <v>52</v>
          </cell>
          <cell r="F238">
            <v>0.85</v>
          </cell>
        </row>
        <row r="239">
          <cell r="D239" t="str">
            <v>53</v>
          </cell>
          <cell r="F239">
            <v>0.85</v>
          </cell>
        </row>
        <row r="240">
          <cell r="D240" t="str">
            <v>54</v>
          </cell>
          <cell r="F240">
            <v>0.91300000000000003</v>
          </cell>
        </row>
        <row r="241">
          <cell r="D241" t="str">
            <v>55</v>
          </cell>
          <cell r="F241">
            <v>0.91300000000000003</v>
          </cell>
        </row>
        <row r="242">
          <cell r="D242" t="str">
            <v>56</v>
          </cell>
          <cell r="F242">
            <v>0.91300000000000003</v>
          </cell>
        </row>
        <row r="243">
          <cell r="D243" t="str">
            <v>57</v>
          </cell>
          <cell r="F243">
            <v>0.91300000000000003</v>
          </cell>
        </row>
        <row r="244">
          <cell r="D244" t="str">
            <v>58</v>
          </cell>
          <cell r="F244">
            <v>0.97099999999999997</v>
          </cell>
        </row>
        <row r="245">
          <cell r="D245" t="str">
            <v>59</v>
          </cell>
          <cell r="F245">
            <v>0.97099999999999997</v>
          </cell>
        </row>
        <row r="246">
          <cell r="D246" t="str">
            <v>510</v>
          </cell>
          <cell r="F246">
            <v>1</v>
          </cell>
        </row>
        <row r="247">
          <cell r="D247" t="str">
            <v>5Ungraded</v>
          </cell>
          <cell r="F247">
            <v>1</v>
          </cell>
        </row>
        <row r="248">
          <cell r="D248" t="str">
            <v>5Non-Graded</v>
          </cell>
          <cell r="F248">
            <v>1.0309999999999999</v>
          </cell>
        </row>
        <row r="249">
          <cell r="D249" t="str">
            <v>61</v>
          </cell>
          <cell r="F249">
            <v>0.86299999999999999</v>
          </cell>
        </row>
        <row r="250">
          <cell r="D250" t="str">
            <v>62</v>
          </cell>
          <cell r="F250">
            <v>0.86299999999999999</v>
          </cell>
        </row>
        <row r="251">
          <cell r="D251" t="str">
            <v>63</v>
          </cell>
          <cell r="F251">
            <v>0.86299999999999999</v>
          </cell>
        </row>
        <row r="252">
          <cell r="D252" t="str">
            <v>64</v>
          </cell>
          <cell r="F252">
            <v>0.91800000000000004</v>
          </cell>
        </row>
        <row r="253">
          <cell r="D253" t="str">
            <v>65</v>
          </cell>
          <cell r="F253">
            <v>0.91800000000000004</v>
          </cell>
        </row>
        <row r="254">
          <cell r="D254" t="str">
            <v>66</v>
          </cell>
          <cell r="F254">
            <v>0.91800000000000004</v>
          </cell>
        </row>
        <row r="255">
          <cell r="D255" t="str">
            <v>67</v>
          </cell>
          <cell r="F255">
            <v>0.91800000000000004</v>
          </cell>
        </row>
        <row r="256">
          <cell r="D256" t="str">
            <v>68</v>
          </cell>
          <cell r="F256">
            <v>0.97299999999999998</v>
          </cell>
        </row>
        <row r="257">
          <cell r="D257" t="str">
            <v>69</v>
          </cell>
          <cell r="F257">
            <v>0.97299999999999998</v>
          </cell>
        </row>
        <row r="258">
          <cell r="D258" t="str">
            <v>610</v>
          </cell>
          <cell r="F258">
            <v>1</v>
          </cell>
        </row>
        <row r="259">
          <cell r="D259" t="str">
            <v>6Ungraded</v>
          </cell>
          <cell r="F259">
            <v>1</v>
          </cell>
        </row>
        <row r="260">
          <cell r="D260" t="str">
            <v>6Non-Graded</v>
          </cell>
          <cell r="F260">
            <v>1.0309999999999999</v>
          </cell>
        </row>
        <row r="261">
          <cell r="D261" t="str">
            <v>71</v>
          </cell>
          <cell r="F261">
            <v>0.90500000000000003</v>
          </cell>
        </row>
        <row r="262">
          <cell r="D262" t="str">
            <v>72</v>
          </cell>
          <cell r="F262">
            <v>0.90500000000000003</v>
          </cell>
        </row>
        <row r="263">
          <cell r="D263" t="str">
            <v>73</v>
          </cell>
          <cell r="F263">
            <v>0.90500000000000003</v>
          </cell>
        </row>
        <row r="264">
          <cell r="D264" t="str">
            <v>74</v>
          </cell>
          <cell r="F264">
            <v>0.95099999999999996</v>
          </cell>
        </row>
        <row r="265">
          <cell r="D265" t="str">
            <v>75</v>
          </cell>
          <cell r="F265">
            <v>0.95099999999999996</v>
          </cell>
        </row>
        <row r="266">
          <cell r="D266" t="str">
            <v>76</v>
          </cell>
          <cell r="F266">
            <v>0.95099999999999996</v>
          </cell>
        </row>
        <row r="267">
          <cell r="D267" t="str">
            <v>77</v>
          </cell>
          <cell r="F267">
            <v>0.95099999999999996</v>
          </cell>
        </row>
        <row r="268">
          <cell r="D268" t="str">
            <v>78</v>
          </cell>
          <cell r="F268">
            <v>0.98299999999999998</v>
          </cell>
        </row>
        <row r="269">
          <cell r="D269" t="str">
            <v>79</v>
          </cell>
          <cell r="F269">
            <v>0.98299999999999998</v>
          </cell>
        </row>
        <row r="270">
          <cell r="D270" t="str">
            <v>710</v>
          </cell>
          <cell r="F270">
            <v>1</v>
          </cell>
        </row>
        <row r="271">
          <cell r="D271" t="str">
            <v>7Ungraded</v>
          </cell>
          <cell r="F271">
            <v>1</v>
          </cell>
        </row>
        <row r="272">
          <cell r="D272" t="str">
            <v>7Non-Graded</v>
          </cell>
          <cell r="F272">
            <v>1.0309999999999999</v>
          </cell>
        </row>
        <row r="273">
          <cell r="D273" t="str">
            <v>81</v>
          </cell>
          <cell r="F273">
            <v>0.92300000000000004</v>
          </cell>
        </row>
        <row r="274">
          <cell r="D274" t="str">
            <v>82</v>
          </cell>
          <cell r="F274">
            <v>0.92300000000000004</v>
          </cell>
        </row>
        <row r="275">
          <cell r="D275" t="str">
            <v>83</v>
          </cell>
          <cell r="F275">
            <v>0.92300000000000004</v>
          </cell>
        </row>
        <row r="276">
          <cell r="D276" t="str">
            <v>84</v>
          </cell>
          <cell r="F276">
            <v>0.95899999999999996</v>
          </cell>
        </row>
        <row r="277">
          <cell r="D277" t="str">
            <v>85</v>
          </cell>
          <cell r="F277">
            <v>0.95899999999999996</v>
          </cell>
        </row>
        <row r="278">
          <cell r="D278" t="str">
            <v>86</v>
          </cell>
          <cell r="F278">
            <v>0.95899999999999996</v>
          </cell>
        </row>
        <row r="279">
          <cell r="D279" t="str">
            <v>87</v>
          </cell>
          <cell r="F279">
            <v>0.95899999999999996</v>
          </cell>
        </row>
        <row r="280">
          <cell r="D280" t="str">
            <v>88</v>
          </cell>
          <cell r="F280">
            <v>0.98299999999999998</v>
          </cell>
        </row>
        <row r="281">
          <cell r="D281" t="str">
            <v>89</v>
          </cell>
          <cell r="F281">
            <v>0.98299999999999998</v>
          </cell>
        </row>
        <row r="282">
          <cell r="D282" t="str">
            <v>810</v>
          </cell>
          <cell r="F282">
            <v>1</v>
          </cell>
        </row>
        <row r="283">
          <cell r="D283" t="str">
            <v>8Ungraded</v>
          </cell>
          <cell r="F283">
            <v>1</v>
          </cell>
        </row>
        <row r="284">
          <cell r="D284" t="str">
            <v>8Non-Graded</v>
          </cell>
          <cell r="F284">
            <v>1.0309999999999999</v>
          </cell>
        </row>
        <row r="285">
          <cell r="D285" t="str">
            <v>91</v>
          </cell>
          <cell r="F285">
            <v>0.94099999999999995</v>
          </cell>
        </row>
        <row r="286">
          <cell r="D286" t="str">
            <v>92</v>
          </cell>
          <cell r="F286">
            <v>0.94099999999999995</v>
          </cell>
        </row>
        <row r="287">
          <cell r="D287" t="str">
            <v>93</v>
          </cell>
          <cell r="F287">
            <v>0.94099999999999995</v>
          </cell>
        </row>
        <row r="288">
          <cell r="D288" t="str">
            <v>94</v>
          </cell>
          <cell r="F288">
            <v>0.96399999999999997</v>
          </cell>
        </row>
        <row r="289">
          <cell r="D289" t="str">
            <v>95</v>
          </cell>
          <cell r="F289">
            <v>0.96399999999999997</v>
          </cell>
        </row>
        <row r="290">
          <cell r="D290" t="str">
            <v>96</v>
          </cell>
          <cell r="F290">
            <v>0.96399999999999997</v>
          </cell>
        </row>
        <row r="291">
          <cell r="D291" t="str">
            <v>97</v>
          </cell>
          <cell r="F291">
            <v>0.96399999999999997</v>
          </cell>
        </row>
        <row r="292">
          <cell r="D292" t="str">
            <v>98</v>
          </cell>
          <cell r="F292">
            <v>0.98599999999999999</v>
          </cell>
        </row>
        <row r="293">
          <cell r="D293" t="str">
            <v>99</v>
          </cell>
          <cell r="F293">
            <v>0.98599999999999999</v>
          </cell>
        </row>
        <row r="294">
          <cell r="D294" t="str">
            <v>910</v>
          </cell>
          <cell r="F294">
            <v>1</v>
          </cell>
        </row>
        <row r="295">
          <cell r="D295" t="str">
            <v>9Ungraded</v>
          </cell>
          <cell r="F295">
            <v>1</v>
          </cell>
        </row>
        <row r="296">
          <cell r="D296" t="str">
            <v>9Non-Graded</v>
          </cell>
          <cell r="F296">
            <v>1.0309999999999999</v>
          </cell>
        </row>
        <row r="300">
          <cell r="B300" t="str">
            <v xml:space="preserve"> </v>
          </cell>
          <cell r="C300">
            <v>0</v>
          </cell>
          <cell r="D300" t="b">
            <v>1</v>
          </cell>
        </row>
        <row r="301">
          <cell r="B301" t="str">
            <v>Primary</v>
          </cell>
          <cell r="C301">
            <v>1</v>
          </cell>
          <cell r="E301">
            <v>1</v>
          </cell>
          <cell r="F301">
            <v>1</v>
          </cell>
          <cell r="G301">
            <v>1</v>
          </cell>
          <cell r="H301">
            <v>1</v>
          </cell>
        </row>
        <row r="302">
          <cell r="B302" t="str">
            <v>Seasonal (0-5 Months)</v>
          </cell>
          <cell r="C302">
            <v>2</v>
          </cell>
          <cell r="E302">
            <v>1</v>
          </cell>
          <cell r="F302">
            <v>1</v>
          </cell>
          <cell r="G302">
            <v>1</v>
          </cell>
          <cell r="H302">
            <v>1</v>
          </cell>
        </row>
        <row r="303">
          <cell r="B303" t="str">
            <v>Seasonal (6 or more Months)</v>
          </cell>
          <cell r="C303">
            <v>3</v>
          </cell>
          <cell r="E303">
            <v>1.1000000000000001</v>
          </cell>
          <cell r="F303">
            <v>1.1000000000000001</v>
          </cell>
          <cell r="G303">
            <v>1.1000000000000001</v>
          </cell>
          <cell r="H303">
            <v>1.1000000000000001</v>
          </cell>
        </row>
        <row r="304">
          <cell r="B304" t="str">
            <v>Secondary</v>
          </cell>
          <cell r="C304">
            <v>4</v>
          </cell>
          <cell r="E304">
            <v>1</v>
          </cell>
          <cell r="F304">
            <v>1</v>
          </cell>
          <cell r="G304">
            <v>1</v>
          </cell>
          <cell r="H304">
            <v>1</v>
          </cell>
        </row>
        <row r="309">
          <cell r="B309" t="str">
            <v xml:space="preserve"> </v>
          </cell>
        </row>
        <row r="310">
          <cell r="B310" t="str">
            <v>Main Dwelling</v>
          </cell>
        </row>
        <row r="314">
          <cell r="B314" t="str">
            <v>Select One</v>
          </cell>
        </row>
        <row r="315">
          <cell r="B315">
            <v>1</v>
          </cell>
        </row>
        <row r="316">
          <cell r="B316">
            <v>2</v>
          </cell>
        </row>
        <row r="317">
          <cell r="B317">
            <v>3</v>
          </cell>
        </row>
        <row r="318">
          <cell r="B318">
            <v>4</v>
          </cell>
        </row>
        <row r="319">
          <cell r="B319">
            <v>5</v>
          </cell>
        </row>
        <row r="320">
          <cell r="B320">
            <v>6</v>
          </cell>
        </row>
        <row r="321">
          <cell r="B321">
            <v>7</v>
          </cell>
        </row>
        <row r="322">
          <cell r="B322">
            <v>8</v>
          </cell>
        </row>
        <row r="323">
          <cell r="B323">
            <v>9</v>
          </cell>
        </row>
        <row r="324">
          <cell r="B324">
            <v>10</v>
          </cell>
        </row>
        <row r="328">
          <cell r="B328" t="str">
            <v>Select One</v>
          </cell>
        </row>
        <row r="329">
          <cell r="B329" t="str">
            <v>Frame</v>
          </cell>
        </row>
        <row r="330">
          <cell r="B330" t="str">
            <v>Masonry</v>
          </cell>
        </row>
        <row r="331">
          <cell r="B331" t="str">
            <v>Superior</v>
          </cell>
        </row>
        <row r="332">
          <cell r="B332" t="str">
            <v>Plastic or Aluminum Siding Over Frame</v>
          </cell>
        </row>
        <row r="333">
          <cell r="B333" t="str">
            <v>Masonry Veneer</v>
          </cell>
        </row>
        <row r="337">
          <cell r="B337" t="str">
            <v>Select One</v>
          </cell>
        </row>
        <row r="338">
          <cell r="B338">
            <v>1</v>
          </cell>
        </row>
        <row r="339">
          <cell r="B339">
            <v>2</v>
          </cell>
        </row>
        <row r="340">
          <cell r="B340">
            <v>3</v>
          </cell>
        </row>
        <row r="341">
          <cell r="B341">
            <v>4</v>
          </cell>
        </row>
        <row r="342">
          <cell r="B342">
            <v>5</v>
          </cell>
        </row>
        <row r="343">
          <cell r="B343">
            <v>6</v>
          </cell>
        </row>
        <row r="344">
          <cell r="B344">
            <v>7</v>
          </cell>
        </row>
        <row r="345">
          <cell r="B345">
            <v>8</v>
          </cell>
        </row>
        <row r="346">
          <cell r="B346" t="str">
            <v>9 and Over</v>
          </cell>
        </row>
      </sheetData>
      <sheetData sheetId="6">
        <row r="3">
          <cell r="B3">
            <v>6000</v>
          </cell>
          <cell r="C3">
            <v>0.36699999999999999</v>
          </cell>
          <cell r="D3">
            <v>0.36699999999999999</v>
          </cell>
          <cell r="E3">
            <v>0.36699999999999999</v>
          </cell>
          <cell r="F3">
            <v>0.36699999999999999</v>
          </cell>
        </row>
        <row r="4">
          <cell r="B4">
            <v>7000</v>
          </cell>
          <cell r="C4">
            <v>0.40100000000000002</v>
          </cell>
          <cell r="D4">
            <v>0.40100000000000002</v>
          </cell>
          <cell r="E4">
            <v>0.40100000000000002</v>
          </cell>
          <cell r="F4">
            <v>0.40100000000000002</v>
          </cell>
        </row>
        <row r="5">
          <cell r="B5">
            <v>8000</v>
          </cell>
          <cell r="C5">
            <v>0.435</v>
          </cell>
          <cell r="D5">
            <v>0.435</v>
          </cell>
          <cell r="E5">
            <v>0.435</v>
          </cell>
          <cell r="F5">
            <v>0.435</v>
          </cell>
        </row>
        <row r="6">
          <cell r="B6">
            <v>9000</v>
          </cell>
          <cell r="C6">
            <v>0.47499999999999998</v>
          </cell>
          <cell r="D6">
            <v>0.47499999999999998</v>
          </cell>
          <cell r="E6">
            <v>0.47499999999999998</v>
          </cell>
          <cell r="F6">
            <v>0.47499999999999998</v>
          </cell>
        </row>
        <row r="7">
          <cell r="B7">
            <v>10000</v>
          </cell>
          <cell r="C7">
            <v>0.52500000000000002</v>
          </cell>
          <cell r="D7">
            <v>0.52500000000000002</v>
          </cell>
          <cell r="E7">
            <v>0.52500000000000002</v>
          </cell>
          <cell r="F7">
            <v>0.52500000000000002</v>
          </cell>
        </row>
        <row r="8">
          <cell r="B8">
            <v>11000</v>
          </cell>
          <cell r="C8">
            <v>0.57599999999999996</v>
          </cell>
          <cell r="D8">
            <v>0.57599999999999996</v>
          </cell>
          <cell r="E8">
            <v>0.57599999999999996</v>
          </cell>
          <cell r="F8">
            <v>0.57599999999999996</v>
          </cell>
        </row>
        <row r="9">
          <cell r="B9">
            <v>12000</v>
          </cell>
          <cell r="C9">
            <v>0.63300000000000001</v>
          </cell>
          <cell r="D9">
            <v>0.63300000000000001</v>
          </cell>
          <cell r="E9">
            <v>0.63300000000000001</v>
          </cell>
          <cell r="F9">
            <v>0.63300000000000001</v>
          </cell>
        </row>
        <row r="10">
          <cell r="B10">
            <v>13000</v>
          </cell>
          <cell r="C10">
            <v>0.68400000000000005</v>
          </cell>
          <cell r="D10">
            <v>0.68400000000000005</v>
          </cell>
          <cell r="E10">
            <v>0.68400000000000005</v>
          </cell>
          <cell r="F10">
            <v>0.68400000000000005</v>
          </cell>
        </row>
        <row r="11">
          <cell r="B11">
            <v>14000</v>
          </cell>
          <cell r="C11">
            <v>0.73399999999999999</v>
          </cell>
          <cell r="D11">
            <v>0.73399999999999999</v>
          </cell>
          <cell r="E11">
            <v>0.73399999999999999</v>
          </cell>
          <cell r="F11">
            <v>0.73399999999999999</v>
          </cell>
        </row>
        <row r="12">
          <cell r="B12">
            <v>15000</v>
          </cell>
          <cell r="C12">
            <v>0.79100000000000004</v>
          </cell>
          <cell r="D12">
            <v>0.79100000000000004</v>
          </cell>
          <cell r="E12">
            <v>0.79100000000000004</v>
          </cell>
          <cell r="F12">
            <v>0.79100000000000004</v>
          </cell>
        </row>
        <row r="13">
          <cell r="B13">
            <v>16000</v>
          </cell>
          <cell r="C13">
            <v>0.83099999999999996</v>
          </cell>
          <cell r="D13">
            <v>0.83099999999999996</v>
          </cell>
          <cell r="E13">
            <v>0.83099999999999996</v>
          </cell>
          <cell r="F13">
            <v>0.83099999999999996</v>
          </cell>
        </row>
        <row r="14">
          <cell r="B14">
            <v>17000</v>
          </cell>
          <cell r="C14">
            <v>0.87</v>
          </cell>
          <cell r="D14">
            <v>0.87</v>
          </cell>
          <cell r="E14">
            <v>0.87</v>
          </cell>
          <cell r="F14">
            <v>0.87</v>
          </cell>
        </row>
        <row r="15">
          <cell r="B15">
            <v>18000</v>
          </cell>
          <cell r="C15">
            <v>0.91500000000000004</v>
          </cell>
          <cell r="D15">
            <v>0.91500000000000004</v>
          </cell>
          <cell r="E15">
            <v>0.91500000000000004</v>
          </cell>
          <cell r="F15">
            <v>0.91500000000000004</v>
          </cell>
        </row>
        <row r="16">
          <cell r="B16">
            <v>19000</v>
          </cell>
          <cell r="C16">
            <v>0.95499999999999996</v>
          </cell>
          <cell r="D16">
            <v>0.95499999999999996</v>
          </cell>
          <cell r="E16">
            <v>0.95499999999999996</v>
          </cell>
          <cell r="F16">
            <v>0.95499999999999996</v>
          </cell>
        </row>
        <row r="17">
          <cell r="B17">
            <v>20000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</row>
        <row r="18">
          <cell r="B18">
            <v>21000</v>
          </cell>
          <cell r="C18">
            <v>1.0309999999999999</v>
          </cell>
          <cell r="D18">
            <v>1.0309999999999999</v>
          </cell>
          <cell r="E18">
            <v>1.0309999999999999</v>
          </cell>
          <cell r="F18">
            <v>1.0309999999999999</v>
          </cell>
        </row>
        <row r="19">
          <cell r="B19">
            <v>22000</v>
          </cell>
          <cell r="C19">
            <v>1.0629999999999999</v>
          </cell>
          <cell r="D19">
            <v>1.0629999999999999</v>
          </cell>
          <cell r="E19">
            <v>1.0629999999999999</v>
          </cell>
          <cell r="F19">
            <v>1.0629999999999999</v>
          </cell>
        </row>
        <row r="20">
          <cell r="B20">
            <v>23000</v>
          </cell>
          <cell r="C20">
            <v>1.0940000000000001</v>
          </cell>
          <cell r="D20">
            <v>1.0940000000000001</v>
          </cell>
          <cell r="E20">
            <v>1.0940000000000001</v>
          </cell>
          <cell r="F20">
            <v>1.0940000000000001</v>
          </cell>
        </row>
        <row r="21">
          <cell r="B21">
            <v>24000</v>
          </cell>
          <cell r="C21">
            <v>1.125</v>
          </cell>
          <cell r="D21">
            <v>1.125</v>
          </cell>
          <cell r="E21">
            <v>1.125</v>
          </cell>
          <cell r="F21">
            <v>1.125</v>
          </cell>
        </row>
        <row r="22">
          <cell r="B22">
            <v>25000</v>
          </cell>
          <cell r="C22">
            <v>1.157</v>
          </cell>
          <cell r="D22">
            <v>1.157</v>
          </cell>
          <cell r="E22">
            <v>1.157</v>
          </cell>
          <cell r="F22">
            <v>1.157</v>
          </cell>
        </row>
        <row r="23">
          <cell r="B23">
            <v>26000</v>
          </cell>
          <cell r="C23">
            <v>1.1879999999999999</v>
          </cell>
          <cell r="D23">
            <v>1.1879999999999999</v>
          </cell>
          <cell r="E23">
            <v>1.1879999999999999</v>
          </cell>
          <cell r="F23">
            <v>1.1879999999999999</v>
          </cell>
        </row>
        <row r="24">
          <cell r="B24">
            <v>27000</v>
          </cell>
          <cell r="C24">
            <v>1.2190000000000001</v>
          </cell>
          <cell r="D24">
            <v>1.2190000000000001</v>
          </cell>
          <cell r="E24">
            <v>1.2190000000000001</v>
          </cell>
          <cell r="F24">
            <v>1.2190000000000001</v>
          </cell>
        </row>
        <row r="25">
          <cell r="B25">
            <v>30000</v>
          </cell>
          <cell r="C25">
            <v>1.3129999999999999</v>
          </cell>
          <cell r="D25">
            <v>1.3129999999999999</v>
          </cell>
          <cell r="E25">
            <v>1.3129999999999999</v>
          </cell>
          <cell r="F25">
            <v>1.3129999999999999</v>
          </cell>
        </row>
        <row r="26">
          <cell r="B26">
            <v>35000</v>
          </cell>
          <cell r="C26">
            <v>1.4610000000000001</v>
          </cell>
          <cell r="D26">
            <v>1.4610000000000001</v>
          </cell>
          <cell r="E26">
            <v>1.4610000000000001</v>
          </cell>
          <cell r="F26">
            <v>1.4610000000000001</v>
          </cell>
        </row>
        <row r="27">
          <cell r="B27">
            <v>40000</v>
          </cell>
          <cell r="C27">
            <v>1.609</v>
          </cell>
          <cell r="D27">
            <v>1.609</v>
          </cell>
          <cell r="E27">
            <v>1.609</v>
          </cell>
          <cell r="F27">
            <v>1.609</v>
          </cell>
        </row>
        <row r="28">
          <cell r="B28">
            <v>45000</v>
          </cell>
          <cell r="C28">
            <v>1.774</v>
          </cell>
          <cell r="D28">
            <v>1.774</v>
          </cell>
          <cell r="E28">
            <v>1.774</v>
          </cell>
          <cell r="F28">
            <v>1.774</v>
          </cell>
        </row>
        <row r="29">
          <cell r="B29">
            <v>50000</v>
          </cell>
          <cell r="C29">
            <v>1.9379999999999999</v>
          </cell>
          <cell r="D29">
            <v>1.9379999999999999</v>
          </cell>
          <cell r="E29">
            <v>1.9379999999999999</v>
          </cell>
          <cell r="F29">
            <v>1.9379999999999999</v>
          </cell>
        </row>
        <row r="30">
          <cell r="B30">
            <v>55000</v>
          </cell>
          <cell r="C30">
            <v>2.1019999999999999</v>
          </cell>
          <cell r="D30">
            <v>2.1019999999999999</v>
          </cell>
          <cell r="E30">
            <v>2.1019999999999999</v>
          </cell>
          <cell r="F30">
            <v>2.1019999999999999</v>
          </cell>
        </row>
        <row r="31">
          <cell r="B31">
            <v>60000</v>
          </cell>
          <cell r="C31">
            <v>2.266</v>
          </cell>
          <cell r="D31">
            <v>2.266</v>
          </cell>
          <cell r="E31">
            <v>2.266</v>
          </cell>
          <cell r="F31">
            <v>2.266</v>
          </cell>
        </row>
        <row r="32">
          <cell r="B32">
            <v>65000</v>
          </cell>
          <cell r="C32">
            <v>2.4300000000000002</v>
          </cell>
          <cell r="D32">
            <v>2.4300000000000002</v>
          </cell>
          <cell r="E32">
            <v>2.4300000000000002</v>
          </cell>
          <cell r="F32">
            <v>2.4300000000000002</v>
          </cell>
        </row>
        <row r="33">
          <cell r="B33">
            <v>70000</v>
          </cell>
          <cell r="C33">
            <v>2.5939999999999999</v>
          </cell>
          <cell r="D33">
            <v>2.5939999999999999</v>
          </cell>
          <cell r="E33">
            <v>2.5939999999999999</v>
          </cell>
          <cell r="F33">
            <v>2.5939999999999999</v>
          </cell>
        </row>
        <row r="34">
          <cell r="B34">
            <v>75000</v>
          </cell>
          <cell r="C34">
            <v>2.758</v>
          </cell>
          <cell r="D34">
            <v>2.758</v>
          </cell>
          <cell r="E34">
            <v>2.758</v>
          </cell>
          <cell r="F34">
            <v>2.758</v>
          </cell>
        </row>
        <row r="35">
          <cell r="B35">
            <v>80000</v>
          </cell>
          <cell r="C35">
            <v>2.9220000000000002</v>
          </cell>
          <cell r="D35">
            <v>2.9220000000000002</v>
          </cell>
          <cell r="E35">
            <v>2.9220000000000002</v>
          </cell>
          <cell r="F35">
            <v>2.9220000000000002</v>
          </cell>
        </row>
        <row r="36">
          <cell r="B36">
            <v>85000</v>
          </cell>
          <cell r="C36">
            <v>3.09</v>
          </cell>
          <cell r="D36">
            <v>3.09</v>
          </cell>
          <cell r="E36">
            <v>3.09</v>
          </cell>
          <cell r="F36">
            <v>3.09</v>
          </cell>
        </row>
        <row r="37">
          <cell r="B37">
            <v>90000</v>
          </cell>
          <cell r="C37">
            <v>3.258</v>
          </cell>
          <cell r="D37">
            <v>3.258</v>
          </cell>
          <cell r="E37">
            <v>3.258</v>
          </cell>
          <cell r="F37">
            <v>3.258</v>
          </cell>
        </row>
        <row r="38">
          <cell r="B38">
            <v>95000</v>
          </cell>
          <cell r="C38">
            <v>3.4260000000000002</v>
          </cell>
          <cell r="D38">
            <v>3.4260000000000002</v>
          </cell>
          <cell r="E38">
            <v>3.4260000000000002</v>
          </cell>
          <cell r="F38">
            <v>3.4260000000000002</v>
          </cell>
        </row>
        <row r="39">
          <cell r="B39">
            <v>100000</v>
          </cell>
          <cell r="C39">
            <v>3.5939999999999999</v>
          </cell>
          <cell r="D39">
            <v>3.5939999999999999</v>
          </cell>
          <cell r="E39">
            <v>3.5939999999999999</v>
          </cell>
          <cell r="F39">
            <v>3.5939999999999999</v>
          </cell>
        </row>
        <row r="40">
          <cell r="B40">
            <v>105000</v>
          </cell>
          <cell r="C40">
            <v>3.794</v>
          </cell>
          <cell r="D40">
            <v>3.794</v>
          </cell>
          <cell r="E40">
            <v>3.794</v>
          </cell>
          <cell r="F40">
            <v>3.794</v>
          </cell>
        </row>
        <row r="41">
          <cell r="B41">
            <v>110000</v>
          </cell>
          <cell r="C41">
            <v>3.9940000000000002</v>
          </cell>
          <cell r="D41">
            <v>3.9940000000000002</v>
          </cell>
          <cell r="E41">
            <v>3.9940000000000002</v>
          </cell>
          <cell r="F41">
            <v>3.9940000000000002</v>
          </cell>
        </row>
        <row r="42">
          <cell r="B42">
            <v>115000</v>
          </cell>
          <cell r="C42">
            <v>4.194</v>
          </cell>
          <cell r="D42">
            <v>4.194</v>
          </cell>
          <cell r="E42">
            <v>4.194</v>
          </cell>
          <cell r="F42">
            <v>4.194</v>
          </cell>
        </row>
        <row r="43">
          <cell r="B43">
            <v>120000</v>
          </cell>
          <cell r="C43">
            <v>4.3940000000000001</v>
          </cell>
          <cell r="D43">
            <v>4.3940000000000001</v>
          </cell>
          <cell r="E43">
            <v>4.3940000000000001</v>
          </cell>
          <cell r="F43">
            <v>4.3940000000000001</v>
          </cell>
        </row>
        <row r="44">
          <cell r="B44">
            <v>125000</v>
          </cell>
          <cell r="C44">
            <v>4.5940000000000003</v>
          </cell>
          <cell r="D44">
            <v>4.5940000000000003</v>
          </cell>
          <cell r="E44">
            <v>4.5940000000000003</v>
          </cell>
          <cell r="F44">
            <v>4.5940000000000003</v>
          </cell>
        </row>
        <row r="45">
          <cell r="B45">
            <v>130000</v>
          </cell>
          <cell r="C45">
            <v>4.7939999999999996</v>
          </cell>
          <cell r="D45">
            <v>4.7939999999999996</v>
          </cell>
          <cell r="E45">
            <v>4.7939999999999996</v>
          </cell>
          <cell r="F45">
            <v>4.7939999999999996</v>
          </cell>
        </row>
        <row r="46">
          <cell r="B46">
            <v>135000</v>
          </cell>
          <cell r="C46">
            <v>4.9939999999999998</v>
          </cell>
          <cell r="D46">
            <v>4.9939999999999998</v>
          </cell>
          <cell r="E46">
            <v>4.9939999999999998</v>
          </cell>
          <cell r="F46">
            <v>4.9939999999999998</v>
          </cell>
        </row>
        <row r="47">
          <cell r="B47">
            <v>140000</v>
          </cell>
          <cell r="C47">
            <v>5.194</v>
          </cell>
          <cell r="D47">
            <v>5.194</v>
          </cell>
          <cell r="E47">
            <v>5.194</v>
          </cell>
          <cell r="F47">
            <v>5.194</v>
          </cell>
        </row>
        <row r="48">
          <cell r="B48">
            <v>145000</v>
          </cell>
          <cell r="C48">
            <v>5.3940000000000001</v>
          </cell>
          <cell r="D48">
            <v>5.3940000000000001</v>
          </cell>
          <cell r="E48">
            <v>5.3940000000000001</v>
          </cell>
          <cell r="F48">
            <v>5.3940000000000001</v>
          </cell>
        </row>
        <row r="49">
          <cell r="B49">
            <v>150000</v>
          </cell>
          <cell r="C49">
            <v>5.5940000000000003</v>
          </cell>
          <cell r="D49">
            <v>5.5940000000000003</v>
          </cell>
          <cell r="E49">
            <v>5.5940000000000003</v>
          </cell>
          <cell r="F49">
            <v>5.5940000000000003</v>
          </cell>
        </row>
        <row r="50">
          <cell r="B50">
            <v>155000</v>
          </cell>
          <cell r="C50">
            <v>5.7939999999999996</v>
          </cell>
          <cell r="D50">
            <v>5.7939999999999996</v>
          </cell>
          <cell r="E50">
            <v>5.7939999999999996</v>
          </cell>
          <cell r="F50">
            <v>5.7939999999999996</v>
          </cell>
        </row>
        <row r="51">
          <cell r="B51">
            <v>160000</v>
          </cell>
          <cell r="C51">
            <v>5.9939999999999998</v>
          </cell>
          <cell r="D51">
            <v>5.9939999999999998</v>
          </cell>
          <cell r="E51">
            <v>5.9939999999999998</v>
          </cell>
          <cell r="F51">
            <v>5.9939999999999998</v>
          </cell>
        </row>
        <row r="52">
          <cell r="B52">
            <v>165000</v>
          </cell>
          <cell r="C52">
            <v>6.194</v>
          </cell>
          <cell r="D52">
            <v>6.194</v>
          </cell>
          <cell r="E52">
            <v>6.194</v>
          </cell>
          <cell r="F52">
            <v>6.194</v>
          </cell>
        </row>
        <row r="53">
          <cell r="B53">
            <v>170000</v>
          </cell>
          <cell r="C53">
            <v>6.3940000000000001</v>
          </cell>
          <cell r="D53">
            <v>6.3940000000000001</v>
          </cell>
          <cell r="E53">
            <v>6.3940000000000001</v>
          </cell>
          <cell r="F53">
            <v>6.3940000000000001</v>
          </cell>
        </row>
        <row r="54">
          <cell r="B54">
            <v>175000</v>
          </cell>
          <cell r="C54">
            <v>6.5940000000000003</v>
          </cell>
          <cell r="D54">
            <v>6.5940000000000003</v>
          </cell>
          <cell r="E54">
            <v>6.5940000000000003</v>
          </cell>
          <cell r="F54">
            <v>6.5940000000000003</v>
          </cell>
        </row>
        <row r="55">
          <cell r="B55">
            <v>180000</v>
          </cell>
          <cell r="C55">
            <v>6.7939999999999996</v>
          </cell>
          <cell r="D55">
            <v>6.7939999999999996</v>
          </cell>
          <cell r="E55">
            <v>6.7939999999999996</v>
          </cell>
          <cell r="F55">
            <v>6.7939999999999996</v>
          </cell>
        </row>
        <row r="56">
          <cell r="B56">
            <v>185000</v>
          </cell>
          <cell r="C56">
            <v>6.9939999999999998</v>
          </cell>
          <cell r="D56">
            <v>6.9939999999999998</v>
          </cell>
          <cell r="E56">
            <v>6.9939999999999998</v>
          </cell>
          <cell r="F56">
            <v>6.9939999999999998</v>
          </cell>
        </row>
        <row r="57">
          <cell r="B57">
            <v>190000</v>
          </cell>
          <cell r="C57">
            <v>7.194</v>
          </cell>
          <cell r="D57">
            <v>7.194</v>
          </cell>
          <cell r="E57">
            <v>7.194</v>
          </cell>
          <cell r="F57">
            <v>7.194</v>
          </cell>
        </row>
        <row r="58">
          <cell r="B58">
            <v>195000</v>
          </cell>
          <cell r="C58">
            <v>7.3940000000000001</v>
          </cell>
          <cell r="D58">
            <v>7.3940000000000001</v>
          </cell>
          <cell r="E58">
            <v>7.3940000000000001</v>
          </cell>
          <cell r="F58">
            <v>7.3940000000000001</v>
          </cell>
        </row>
        <row r="59">
          <cell r="B59">
            <v>200000</v>
          </cell>
          <cell r="C59">
            <v>7.5940000000000003</v>
          </cell>
          <cell r="D59">
            <v>7.5940000000000003</v>
          </cell>
          <cell r="E59">
            <v>7.5940000000000003</v>
          </cell>
          <cell r="F59">
            <v>7.5940000000000003</v>
          </cell>
        </row>
        <row r="63">
          <cell r="B63" t="str">
            <v>$100,000 Included</v>
          </cell>
          <cell r="C63">
            <v>1</v>
          </cell>
          <cell r="D63" t="b">
            <v>1</v>
          </cell>
          <cell r="E63">
            <v>1</v>
          </cell>
          <cell r="F63">
            <v>100000</v>
          </cell>
        </row>
        <row r="64">
          <cell r="B64" t="str">
            <v>Increase to $300,000</v>
          </cell>
          <cell r="C64">
            <v>1.0369999999999999</v>
          </cell>
          <cell r="E64">
            <v>2</v>
          </cell>
          <cell r="F64">
            <v>300000</v>
          </cell>
        </row>
        <row r="69">
          <cell r="B69">
            <v>6000</v>
          </cell>
          <cell r="C69" t="str">
            <v>$500 / X-Wind</v>
          </cell>
          <cell r="D69" t="str">
            <v>6000$500 / X-Wind</v>
          </cell>
          <cell r="E69">
            <v>1.33</v>
          </cell>
        </row>
        <row r="70">
          <cell r="B70">
            <v>6000</v>
          </cell>
          <cell r="C70" t="str">
            <v>$1,000 / X-Wind</v>
          </cell>
          <cell r="D70" t="str">
            <v>6000$1,000 / X-Wind</v>
          </cell>
          <cell r="E70">
            <v>1</v>
          </cell>
        </row>
        <row r="71">
          <cell r="B71">
            <v>6000</v>
          </cell>
          <cell r="C71" t="str">
            <v>$2,500 / X-Wind</v>
          </cell>
          <cell r="D71" t="str">
            <v>6000$2,500 / X-Wind</v>
          </cell>
          <cell r="E71" t="str">
            <v>Invalid</v>
          </cell>
        </row>
        <row r="72">
          <cell r="B72">
            <v>6000</v>
          </cell>
          <cell r="C72" t="str">
            <v>$500 / $500</v>
          </cell>
          <cell r="D72" t="str">
            <v>6000$500 / $500</v>
          </cell>
          <cell r="E72">
            <v>1.1499999999999999</v>
          </cell>
        </row>
        <row r="73">
          <cell r="B73">
            <v>6000</v>
          </cell>
          <cell r="C73" t="str">
            <v>$500 / 2%</v>
          </cell>
          <cell r="D73" t="str">
            <v>6000$500 / 2%</v>
          </cell>
          <cell r="E73" t="str">
            <v>Invalid</v>
          </cell>
        </row>
        <row r="74">
          <cell r="B74">
            <v>6000</v>
          </cell>
          <cell r="C74" t="str">
            <v>$1,000 / 2%</v>
          </cell>
          <cell r="D74" t="str">
            <v>6000$1,000 / 2%</v>
          </cell>
          <cell r="E74" t="str">
            <v>Invalid</v>
          </cell>
        </row>
        <row r="75">
          <cell r="B75">
            <v>6000</v>
          </cell>
          <cell r="C75" t="str">
            <v>$2,500 / 2%</v>
          </cell>
          <cell r="D75" t="str">
            <v>6000$2,500 / 2%</v>
          </cell>
          <cell r="E75" t="str">
            <v>Invalid</v>
          </cell>
        </row>
        <row r="76">
          <cell r="B76">
            <v>6000</v>
          </cell>
          <cell r="C76" t="str">
            <v>$500 / 5%</v>
          </cell>
          <cell r="D76" t="str">
            <v>6000$500 / 5%</v>
          </cell>
          <cell r="E76" t="str">
            <v>Invalid</v>
          </cell>
        </row>
        <row r="77">
          <cell r="B77">
            <v>6000</v>
          </cell>
          <cell r="C77" t="str">
            <v>$1,000 / 5%</v>
          </cell>
          <cell r="D77" t="str">
            <v>6000$1,000 / 5%</v>
          </cell>
          <cell r="E77" t="str">
            <v>Invalid</v>
          </cell>
        </row>
        <row r="78">
          <cell r="B78">
            <v>6000</v>
          </cell>
          <cell r="C78" t="str">
            <v>$2,500 / 5%</v>
          </cell>
          <cell r="D78" t="str">
            <v>6000$2,500 / 5%</v>
          </cell>
          <cell r="E78" t="str">
            <v>Invalid</v>
          </cell>
        </row>
        <row r="79">
          <cell r="B79">
            <v>6000</v>
          </cell>
          <cell r="C79" t="str">
            <v>$500 / 10%</v>
          </cell>
          <cell r="D79" t="str">
            <v>6000$500 / 10%</v>
          </cell>
          <cell r="E79">
            <v>1.1000000000000001</v>
          </cell>
        </row>
        <row r="80">
          <cell r="B80">
            <v>6000</v>
          </cell>
          <cell r="C80" t="str">
            <v>$1,000 / 10%</v>
          </cell>
          <cell r="D80" t="str">
            <v>6000$1,000 / 10%</v>
          </cell>
          <cell r="E80" t="str">
            <v>Invalid</v>
          </cell>
        </row>
        <row r="81">
          <cell r="B81">
            <v>6000</v>
          </cell>
          <cell r="C81" t="str">
            <v>$2,500 / 10%</v>
          </cell>
          <cell r="D81" t="str">
            <v>6000$2,500 / 10%</v>
          </cell>
          <cell r="E81" t="str">
            <v>Invalid</v>
          </cell>
        </row>
        <row r="82">
          <cell r="B82">
            <v>10000</v>
          </cell>
          <cell r="C82" t="str">
            <v>$500 / X-Wind</v>
          </cell>
          <cell r="D82" t="str">
            <v>10000$500 / X-Wind</v>
          </cell>
          <cell r="E82">
            <v>1.33</v>
          </cell>
        </row>
        <row r="83">
          <cell r="B83">
            <v>10000</v>
          </cell>
          <cell r="C83" t="str">
            <v>$1,000 / X-Wind</v>
          </cell>
          <cell r="D83" t="str">
            <v>10000$1,000 / X-Wind</v>
          </cell>
          <cell r="E83">
            <v>1</v>
          </cell>
        </row>
        <row r="84">
          <cell r="B84">
            <v>10000</v>
          </cell>
          <cell r="C84" t="str">
            <v>$2,500 / X-Wind</v>
          </cell>
          <cell r="D84" t="str">
            <v>10000$2,500 / X-Wind</v>
          </cell>
          <cell r="E84" t="str">
            <v>Invalid</v>
          </cell>
        </row>
        <row r="85">
          <cell r="B85">
            <v>10000</v>
          </cell>
          <cell r="C85" t="str">
            <v>$500 / $500</v>
          </cell>
          <cell r="D85" t="str">
            <v>10000$500 / $500</v>
          </cell>
          <cell r="E85">
            <v>1.1499999999999999</v>
          </cell>
        </row>
        <row r="86">
          <cell r="B86">
            <v>10000</v>
          </cell>
          <cell r="C86" t="str">
            <v>$500 / 2%</v>
          </cell>
          <cell r="D86" t="str">
            <v>10000$500 / 2%</v>
          </cell>
          <cell r="E86" t="str">
            <v>Invalid</v>
          </cell>
        </row>
        <row r="87">
          <cell r="B87">
            <v>10000</v>
          </cell>
          <cell r="C87" t="str">
            <v>$1,000 / 2%</v>
          </cell>
          <cell r="D87" t="str">
            <v>10000$1,000 / 2%</v>
          </cell>
          <cell r="E87" t="str">
            <v>Invalid</v>
          </cell>
        </row>
        <row r="88">
          <cell r="B88">
            <v>10000</v>
          </cell>
          <cell r="C88" t="str">
            <v>$2,500 / 2%</v>
          </cell>
          <cell r="D88" t="str">
            <v>10000$2,500 / 2%</v>
          </cell>
          <cell r="E88" t="str">
            <v>Invalid</v>
          </cell>
        </row>
        <row r="89">
          <cell r="B89">
            <v>10000</v>
          </cell>
          <cell r="C89" t="str">
            <v>$500 / 5%</v>
          </cell>
          <cell r="D89" t="str">
            <v>10000$500 / 5%</v>
          </cell>
          <cell r="E89">
            <v>1.1000000000000001</v>
          </cell>
        </row>
        <row r="90">
          <cell r="B90">
            <v>10000</v>
          </cell>
          <cell r="C90" t="str">
            <v>$1,000 / 5%</v>
          </cell>
          <cell r="D90" t="str">
            <v>10000$1,000 / 5%</v>
          </cell>
          <cell r="E90" t="str">
            <v>Invalid</v>
          </cell>
        </row>
        <row r="91">
          <cell r="B91">
            <v>10000</v>
          </cell>
          <cell r="C91" t="str">
            <v>$2,500 / 5%</v>
          </cell>
          <cell r="D91" t="str">
            <v>10000$2,500 / 5%</v>
          </cell>
          <cell r="E91" t="str">
            <v>Invalid</v>
          </cell>
        </row>
        <row r="92">
          <cell r="B92">
            <v>10000</v>
          </cell>
          <cell r="C92" t="str">
            <v>$500 / 10%</v>
          </cell>
          <cell r="D92" t="str">
            <v>10000$500 / 10%</v>
          </cell>
          <cell r="E92">
            <v>1.06</v>
          </cell>
        </row>
        <row r="93">
          <cell r="B93">
            <v>10000</v>
          </cell>
          <cell r="C93" t="str">
            <v>$1,000 / 10%</v>
          </cell>
          <cell r="D93" t="str">
            <v>10000$1,000 / 10%</v>
          </cell>
          <cell r="E93">
            <v>0.96</v>
          </cell>
        </row>
        <row r="94">
          <cell r="B94">
            <v>10000</v>
          </cell>
          <cell r="C94" t="str">
            <v>$2,500 / 10%</v>
          </cell>
          <cell r="D94" t="str">
            <v>10000$2,500 / 10%</v>
          </cell>
          <cell r="E94" t="str">
            <v>Invalid</v>
          </cell>
        </row>
        <row r="95">
          <cell r="B95">
            <v>15000</v>
          </cell>
          <cell r="C95" t="str">
            <v>$500 / X-Wind</v>
          </cell>
          <cell r="D95" t="str">
            <v>15000$500 / X-Wind</v>
          </cell>
          <cell r="E95">
            <v>1.33</v>
          </cell>
        </row>
        <row r="96">
          <cell r="B96">
            <v>15000</v>
          </cell>
          <cell r="C96" t="str">
            <v>$1,000 / X-Wind</v>
          </cell>
          <cell r="D96" t="str">
            <v>15000$1,000 / X-Wind</v>
          </cell>
          <cell r="E96">
            <v>1</v>
          </cell>
        </row>
        <row r="97">
          <cell r="B97">
            <v>15000</v>
          </cell>
          <cell r="C97" t="str">
            <v>$2,500 / X-Wind</v>
          </cell>
          <cell r="D97" t="str">
            <v>15000$2,500 / X-Wind</v>
          </cell>
          <cell r="E97" t="str">
            <v>Invalid</v>
          </cell>
        </row>
        <row r="98">
          <cell r="B98">
            <v>15000</v>
          </cell>
          <cell r="C98" t="str">
            <v>$500 / $500</v>
          </cell>
          <cell r="D98" t="str">
            <v>15000$500 / $500</v>
          </cell>
          <cell r="E98">
            <v>1.1499999999999999</v>
          </cell>
        </row>
        <row r="99">
          <cell r="B99">
            <v>15000</v>
          </cell>
          <cell r="C99" t="str">
            <v>$500 / 2%</v>
          </cell>
          <cell r="D99" t="str">
            <v>15000$500 / 2%</v>
          </cell>
          <cell r="E99" t="str">
            <v>Invalid</v>
          </cell>
        </row>
        <row r="100">
          <cell r="B100">
            <v>15000</v>
          </cell>
          <cell r="C100" t="str">
            <v>$1,000 / 2%</v>
          </cell>
          <cell r="D100" t="str">
            <v>15000$1,000 / 2%</v>
          </cell>
          <cell r="E100" t="str">
            <v>Invalid</v>
          </cell>
        </row>
        <row r="101">
          <cell r="B101">
            <v>15000</v>
          </cell>
          <cell r="C101" t="str">
            <v>$2,500 / 2%</v>
          </cell>
          <cell r="D101" t="str">
            <v>15000$2,500 / 2%</v>
          </cell>
          <cell r="E101" t="str">
            <v>Invalid</v>
          </cell>
        </row>
        <row r="102">
          <cell r="B102">
            <v>15000</v>
          </cell>
          <cell r="C102" t="str">
            <v>$500 / 5%</v>
          </cell>
          <cell r="D102" t="str">
            <v>15000$500 / 5%</v>
          </cell>
          <cell r="E102">
            <v>1.05</v>
          </cell>
        </row>
        <row r="103">
          <cell r="B103">
            <v>15000</v>
          </cell>
          <cell r="C103" t="str">
            <v>$1,000 / 5%</v>
          </cell>
          <cell r="D103" t="str">
            <v>15000$1,000 / 5%</v>
          </cell>
          <cell r="E103" t="str">
            <v>Invalid</v>
          </cell>
        </row>
        <row r="104">
          <cell r="B104">
            <v>15000</v>
          </cell>
          <cell r="C104" t="str">
            <v>$2,500 / 5%</v>
          </cell>
          <cell r="D104" t="str">
            <v>15000$2,500 / 5%</v>
          </cell>
          <cell r="E104" t="str">
            <v>Invalid</v>
          </cell>
        </row>
        <row r="105">
          <cell r="B105">
            <v>15000</v>
          </cell>
          <cell r="C105" t="str">
            <v>$500 / 10%</v>
          </cell>
          <cell r="D105" t="str">
            <v>15000$500 / 10%</v>
          </cell>
          <cell r="E105">
            <v>0.95</v>
          </cell>
        </row>
        <row r="106">
          <cell r="B106">
            <v>15000</v>
          </cell>
          <cell r="C106" t="str">
            <v>$1,000 / 10%</v>
          </cell>
          <cell r="D106" t="str">
            <v>15000$1,000 / 10%</v>
          </cell>
          <cell r="E106">
            <v>0.9</v>
          </cell>
        </row>
        <row r="107">
          <cell r="B107">
            <v>15000</v>
          </cell>
          <cell r="C107" t="str">
            <v>$2,500 / 10%</v>
          </cell>
          <cell r="D107" t="str">
            <v>15000$2,500 / 10%</v>
          </cell>
          <cell r="E107" t="str">
            <v>Invalid</v>
          </cell>
        </row>
        <row r="108">
          <cell r="B108">
            <v>20000</v>
          </cell>
          <cell r="C108" t="str">
            <v>$500 / X-Wind</v>
          </cell>
          <cell r="D108" t="str">
            <v>20000$500 / X-Wind</v>
          </cell>
          <cell r="E108">
            <v>1.33</v>
          </cell>
        </row>
        <row r="109">
          <cell r="B109">
            <v>20000</v>
          </cell>
          <cell r="C109" t="str">
            <v>$1,000 / X-Wind</v>
          </cell>
          <cell r="D109" t="str">
            <v>20000$1,000 / X-Wind</v>
          </cell>
          <cell r="E109">
            <v>1</v>
          </cell>
        </row>
        <row r="110">
          <cell r="B110">
            <v>20000</v>
          </cell>
          <cell r="C110" t="str">
            <v>$2,500 / X-Wind</v>
          </cell>
          <cell r="D110" t="str">
            <v>20000$2,500 / X-Wind</v>
          </cell>
          <cell r="E110" t="str">
            <v>Invalid</v>
          </cell>
        </row>
        <row r="111">
          <cell r="B111">
            <v>20000</v>
          </cell>
          <cell r="C111" t="str">
            <v>$500 / $500</v>
          </cell>
          <cell r="D111" t="str">
            <v>20000$500 / $500</v>
          </cell>
          <cell r="E111">
            <v>1.1499999999999999</v>
          </cell>
        </row>
        <row r="112">
          <cell r="B112">
            <v>20000</v>
          </cell>
          <cell r="C112" t="str">
            <v>$500 / 2%</v>
          </cell>
          <cell r="D112" t="str">
            <v>20000$500 / 2%</v>
          </cell>
          <cell r="E112" t="str">
            <v>Invalid</v>
          </cell>
        </row>
        <row r="113">
          <cell r="B113">
            <v>20000</v>
          </cell>
          <cell r="C113" t="str">
            <v>$1,000 / 2%</v>
          </cell>
          <cell r="D113" t="str">
            <v>20000$1,000 / 2%</v>
          </cell>
          <cell r="E113" t="str">
            <v>Invalid</v>
          </cell>
        </row>
        <row r="114">
          <cell r="B114">
            <v>20000</v>
          </cell>
          <cell r="C114" t="str">
            <v>$2,500 / 2%</v>
          </cell>
          <cell r="D114" t="str">
            <v>20000$2,500 / 2%</v>
          </cell>
          <cell r="E114" t="str">
            <v>Invalid</v>
          </cell>
        </row>
        <row r="115">
          <cell r="B115">
            <v>20000</v>
          </cell>
          <cell r="C115" t="str">
            <v>$500 / 5%</v>
          </cell>
          <cell r="D115" t="str">
            <v>20000$500 / 5%</v>
          </cell>
          <cell r="E115">
            <v>1.05</v>
          </cell>
        </row>
        <row r="116">
          <cell r="B116">
            <v>20000</v>
          </cell>
          <cell r="C116" t="str">
            <v>$1,000 / 5%</v>
          </cell>
          <cell r="D116" t="str">
            <v>20000$1,000 / 5%</v>
          </cell>
          <cell r="E116">
            <v>0.9</v>
          </cell>
        </row>
        <row r="117">
          <cell r="B117">
            <v>20000</v>
          </cell>
          <cell r="C117" t="str">
            <v>$2,500 / 5%</v>
          </cell>
          <cell r="D117" t="str">
            <v>20000$2,500 / 5%</v>
          </cell>
          <cell r="E117" t="str">
            <v>Invalid</v>
          </cell>
        </row>
        <row r="118">
          <cell r="B118">
            <v>20000</v>
          </cell>
          <cell r="C118" t="str">
            <v>$500 / 10%</v>
          </cell>
          <cell r="D118" t="str">
            <v>20000$500 / 10%</v>
          </cell>
          <cell r="E118">
            <v>0.95</v>
          </cell>
        </row>
        <row r="119">
          <cell r="B119">
            <v>20000</v>
          </cell>
          <cell r="C119" t="str">
            <v>$1,000 / 10%</v>
          </cell>
          <cell r="D119" t="str">
            <v>20000$1,000 / 10%</v>
          </cell>
          <cell r="E119">
            <v>0.82</v>
          </cell>
        </row>
        <row r="120">
          <cell r="B120">
            <v>20000</v>
          </cell>
          <cell r="C120" t="str">
            <v>$2,500 / 10%</v>
          </cell>
          <cell r="D120" t="str">
            <v>20000$2,500 / 10%</v>
          </cell>
          <cell r="E120" t="str">
            <v>Invalid</v>
          </cell>
        </row>
        <row r="121">
          <cell r="B121">
            <v>25000</v>
          </cell>
          <cell r="C121" t="str">
            <v>$500 / X-Wind</v>
          </cell>
          <cell r="D121" t="str">
            <v>25000$500 / X-Wind</v>
          </cell>
          <cell r="E121">
            <v>1.33</v>
          </cell>
        </row>
        <row r="122">
          <cell r="B122">
            <v>25000</v>
          </cell>
          <cell r="C122" t="str">
            <v>$1,000 / X-Wind</v>
          </cell>
          <cell r="D122" t="str">
            <v>25000$1,000 / X-Wind</v>
          </cell>
          <cell r="E122">
            <v>1</v>
          </cell>
        </row>
        <row r="123">
          <cell r="B123">
            <v>25000</v>
          </cell>
          <cell r="C123" t="str">
            <v>$2,500 / X-Wind</v>
          </cell>
          <cell r="D123" t="str">
            <v>25000$2,500 / X-Wind</v>
          </cell>
          <cell r="E123" t="str">
            <v>Invalid</v>
          </cell>
        </row>
        <row r="124">
          <cell r="B124">
            <v>25000</v>
          </cell>
          <cell r="C124" t="str">
            <v>$500 / $500</v>
          </cell>
          <cell r="D124" t="str">
            <v>25000$500 / $500</v>
          </cell>
          <cell r="E124">
            <v>1.1499999999999999</v>
          </cell>
        </row>
        <row r="125">
          <cell r="B125">
            <v>25000</v>
          </cell>
          <cell r="C125" t="str">
            <v>$500 / 2%</v>
          </cell>
          <cell r="D125" t="str">
            <v>25000$500 / 2%</v>
          </cell>
          <cell r="E125">
            <v>1.1399999999999999</v>
          </cell>
        </row>
        <row r="126">
          <cell r="B126">
            <v>25000</v>
          </cell>
          <cell r="C126" t="str">
            <v>$1,000 / 2%</v>
          </cell>
          <cell r="D126" t="str">
            <v>25000$1,000 / 2%</v>
          </cell>
          <cell r="E126" t="str">
            <v>Invalid</v>
          </cell>
        </row>
        <row r="127">
          <cell r="B127">
            <v>25000</v>
          </cell>
          <cell r="C127" t="str">
            <v>$2,500 / 2%</v>
          </cell>
          <cell r="D127" t="str">
            <v>25000$2,500 / 2%</v>
          </cell>
          <cell r="E127" t="str">
            <v>Invalid</v>
          </cell>
        </row>
        <row r="128">
          <cell r="B128">
            <v>25000</v>
          </cell>
          <cell r="C128" t="str">
            <v>$500 / 5%</v>
          </cell>
          <cell r="D128" t="str">
            <v>25000$500 / 5%</v>
          </cell>
          <cell r="E128">
            <v>1.05</v>
          </cell>
        </row>
        <row r="129">
          <cell r="B129">
            <v>25000</v>
          </cell>
          <cell r="C129" t="str">
            <v>$1,000 / 5%</v>
          </cell>
          <cell r="D129" t="str">
            <v>25000$1,000 / 5%</v>
          </cell>
          <cell r="E129">
            <v>0.9</v>
          </cell>
        </row>
        <row r="130">
          <cell r="B130">
            <v>25000</v>
          </cell>
          <cell r="C130" t="str">
            <v>$2,500 / 5%</v>
          </cell>
          <cell r="D130" t="str">
            <v>25000$2,500 / 5%</v>
          </cell>
          <cell r="E130" t="str">
            <v>Invalid</v>
          </cell>
        </row>
        <row r="131">
          <cell r="B131">
            <v>25000</v>
          </cell>
          <cell r="C131" t="str">
            <v>$500 / 10%</v>
          </cell>
          <cell r="D131" t="str">
            <v>25000$500 / 10%</v>
          </cell>
          <cell r="E131">
            <v>0.88</v>
          </cell>
        </row>
        <row r="132">
          <cell r="B132">
            <v>25000</v>
          </cell>
          <cell r="C132" t="str">
            <v>$1,000 / 10%</v>
          </cell>
          <cell r="D132" t="str">
            <v>25000$1,000 / 10%</v>
          </cell>
          <cell r="E132">
            <v>0.82</v>
          </cell>
        </row>
        <row r="133">
          <cell r="B133">
            <v>25000</v>
          </cell>
          <cell r="C133" t="str">
            <v>$2,500 / 10%</v>
          </cell>
          <cell r="D133" t="str">
            <v>25000$2,500 / 10%</v>
          </cell>
          <cell r="E133">
            <v>0.72</v>
          </cell>
        </row>
        <row r="134">
          <cell r="B134">
            <v>30000</v>
          </cell>
          <cell r="C134" t="str">
            <v>$500 / X-Wind</v>
          </cell>
          <cell r="D134" t="str">
            <v>30000$500 / X-Wind</v>
          </cell>
          <cell r="E134">
            <v>1.33</v>
          </cell>
        </row>
        <row r="135">
          <cell r="B135">
            <v>30000</v>
          </cell>
          <cell r="C135" t="str">
            <v>$1,000 / X-Wind</v>
          </cell>
          <cell r="D135" t="str">
            <v>30000$1,000 / X-Wind</v>
          </cell>
          <cell r="E135">
            <v>1</v>
          </cell>
        </row>
        <row r="136">
          <cell r="B136">
            <v>30000</v>
          </cell>
          <cell r="C136" t="str">
            <v>$2,500 / X-Wind</v>
          </cell>
          <cell r="D136" t="str">
            <v>30000$2,500 / X-Wind</v>
          </cell>
          <cell r="E136" t="str">
            <v>Invalid</v>
          </cell>
        </row>
        <row r="137">
          <cell r="B137">
            <v>30000</v>
          </cell>
          <cell r="C137" t="str">
            <v>$500 / $500</v>
          </cell>
          <cell r="D137" t="str">
            <v>30000$500 / $500</v>
          </cell>
          <cell r="E137">
            <v>1.2</v>
          </cell>
        </row>
        <row r="138">
          <cell r="B138">
            <v>30000</v>
          </cell>
          <cell r="C138" t="str">
            <v>$500 / 2%</v>
          </cell>
          <cell r="D138" t="str">
            <v>30000$500 / 2%</v>
          </cell>
          <cell r="E138">
            <v>1.1399999999999999</v>
          </cell>
        </row>
        <row r="139">
          <cell r="B139">
            <v>30000</v>
          </cell>
          <cell r="C139" t="str">
            <v>$1,000 / 2%</v>
          </cell>
          <cell r="D139" t="str">
            <v>30000$1,000 / 2%</v>
          </cell>
          <cell r="E139" t="str">
            <v>Invalid</v>
          </cell>
        </row>
        <row r="140">
          <cell r="B140">
            <v>30000</v>
          </cell>
          <cell r="C140" t="str">
            <v>$2,500 / 2%</v>
          </cell>
          <cell r="D140" t="str">
            <v>30000$2,500 / 2%</v>
          </cell>
          <cell r="E140" t="str">
            <v>Invalid</v>
          </cell>
        </row>
        <row r="141">
          <cell r="B141">
            <v>30000</v>
          </cell>
          <cell r="C141" t="str">
            <v>$500 / 5%</v>
          </cell>
          <cell r="D141" t="str">
            <v>30000$500 / 5%</v>
          </cell>
          <cell r="E141">
            <v>1.05</v>
          </cell>
        </row>
        <row r="142">
          <cell r="B142">
            <v>30000</v>
          </cell>
          <cell r="C142" t="str">
            <v>$1,000 / 5%</v>
          </cell>
          <cell r="D142" t="str">
            <v>30000$1,000 / 5%</v>
          </cell>
          <cell r="E142">
            <v>0.9</v>
          </cell>
        </row>
        <row r="143">
          <cell r="B143">
            <v>30000</v>
          </cell>
          <cell r="C143" t="str">
            <v>$2,500 / 5%</v>
          </cell>
          <cell r="D143" t="str">
            <v>30000$2,500 / 5%</v>
          </cell>
          <cell r="E143" t="str">
            <v>Invalid</v>
          </cell>
        </row>
        <row r="144">
          <cell r="B144">
            <v>30000</v>
          </cell>
          <cell r="C144" t="str">
            <v>$500 / 10%</v>
          </cell>
          <cell r="D144" t="str">
            <v>30000$500 / 10%</v>
          </cell>
          <cell r="E144">
            <v>0.88</v>
          </cell>
        </row>
        <row r="145">
          <cell r="B145">
            <v>30000</v>
          </cell>
          <cell r="C145" t="str">
            <v>$1,000 / 10%</v>
          </cell>
          <cell r="D145" t="str">
            <v>30000$1,000 / 10%</v>
          </cell>
          <cell r="E145">
            <v>0.8</v>
          </cell>
        </row>
        <row r="146">
          <cell r="B146">
            <v>30000</v>
          </cell>
          <cell r="C146" t="str">
            <v>$2,500 / 10%</v>
          </cell>
          <cell r="D146" t="str">
            <v>30000$2,500 / 10%</v>
          </cell>
          <cell r="E146">
            <v>0.72</v>
          </cell>
        </row>
        <row r="147">
          <cell r="B147">
            <v>50000</v>
          </cell>
          <cell r="C147" t="str">
            <v>$500 / X-Wind</v>
          </cell>
          <cell r="D147" t="str">
            <v>50000$500 / X-Wind</v>
          </cell>
          <cell r="E147">
            <v>1.33</v>
          </cell>
        </row>
        <row r="148">
          <cell r="B148">
            <v>50000</v>
          </cell>
          <cell r="C148" t="str">
            <v>$1,000 / X-Wind</v>
          </cell>
          <cell r="D148" t="str">
            <v>50000$1,000 / X-Wind</v>
          </cell>
          <cell r="E148">
            <v>1</v>
          </cell>
        </row>
        <row r="149">
          <cell r="B149">
            <v>50000</v>
          </cell>
          <cell r="C149" t="str">
            <v>$2,500 / X-Wind</v>
          </cell>
          <cell r="D149" t="str">
            <v>50000$2,500 / X-Wind</v>
          </cell>
          <cell r="E149" t="str">
            <v>Invalid</v>
          </cell>
        </row>
        <row r="150">
          <cell r="B150">
            <v>50000</v>
          </cell>
          <cell r="C150" t="str">
            <v>$500 / $500</v>
          </cell>
          <cell r="D150" t="str">
            <v>50000$500 / $500</v>
          </cell>
          <cell r="E150">
            <v>1.25</v>
          </cell>
        </row>
        <row r="151">
          <cell r="B151">
            <v>50000</v>
          </cell>
          <cell r="C151" t="str">
            <v>$500 / 2%</v>
          </cell>
          <cell r="D151" t="str">
            <v>50000$500 / 2%</v>
          </cell>
          <cell r="E151">
            <v>1.1399999999999999</v>
          </cell>
        </row>
        <row r="152">
          <cell r="B152">
            <v>50000</v>
          </cell>
          <cell r="C152" t="str">
            <v>$1,000 / 2%</v>
          </cell>
          <cell r="D152" t="str">
            <v>50000$1,000 / 2%</v>
          </cell>
          <cell r="E152">
            <v>1</v>
          </cell>
        </row>
        <row r="153">
          <cell r="B153">
            <v>50000</v>
          </cell>
          <cell r="C153" t="str">
            <v>$2,500 / 2%</v>
          </cell>
          <cell r="D153" t="str">
            <v>50000$2,500 / 2%</v>
          </cell>
          <cell r="E153" t="str">
            <v>Invalid</v>
          </cell>
        </row>
        <row r="154">
          <cell r="B154">
            <v>50000</v>
          </cell>
          <cell r="C154" t="str">
            <v>$500 / 5%</v>
          </cell>
          <cell r="D154" t="str">
            <v>50000$500 / 5%</v>
          </cell>
          <cell r="E154">
            <v>1.05</v>
          </cell>
        </row>
        <row r="155">
          <cell r="B155">
            <v>50000</v>
          </cell>
          <cell r="C155" t="str">
            <v>$1,000 / 5%</v>
          </cell>
          <cell r="D155" t="str">
            <v>50000$1,000 / 5%</v>
          </cell>
          <cell r="E155">
            <v>0.9</v>
          </cell>
        </row>
        <row r="156">
          <cell r="B156">
            <v>50000</v>
          </cell>
          <cell r="C156" t="str">
            <v>$2,500 / 5%</v>
          </cell>
          <cell r="D156" t="str">
            <v>50000$2,500 / 5%</v>
          </cell>
          <cell r="E156">
            <v>0.8</v>
          </cell>
        </row>
        <row r="157">
          <cell r="B157">
            <v>50000</v>
          </cell>
          <cell r="C157" t="str">
            <v>$500 / 10%</v>
          </cell>
          <cell r="D157" t="str">
            <v>50000$500 / 10%</v>
          </cell>
          <cell r="E157">
            <v>0.88</v>
          </cell>
        </row>
        <row r="158">
          <cell r="B158">
            <v>50000</v>
          </cell>
          <cell r="C158" t="str">
            <v>$1,000 / 10%</v>
          </cell>
          <cell r="D158" t="str">
            <v>50000$1,000 / 10%</v>
          </cell>
          <cell r="E158">
            <v>0.77</v>
          </cell>
        </row>
        <row r="159">
          <cell r="B159">
            <v>50000</v>
          </cell>
          <cell r="C159" t="str">
            <v>$2,500 / 10%</v>
          </cell>
          <cell r="D159" t="str">
            <v>50000$2,500 / 10%</v>
          </cell>
          <cell r="E159">
            <v>0.7</v>
          </cell>
        </row>
        <row r="160">
          <cell r="B160">
            <v>100000</v>
          </cell>
          <cell r="C160" t="str">
            <v>$500 / X-Wind</v>
          </cell>
          <cell r="D160" t="str">
            <v>100000$500 / X-Wind</v>
          </cell>
          <cell r="E160">
            <v>1.18</v>
          </cell>
        </row>
        <row r="161">
          <cell r="B161">
            <v>100000</v>
          </cell>
          <cell r="C161" t="str">
            <v>$1,000 / X-Wind</v>
          </cell>
          <cell r="D161" t="str">
            <v>100000$1,000 / X-Wind</v>
          </cell>
          <cell r="E161">
            <v>1</v>
          </cell>
        </row>
        <row r="162">
          <cell r="B162">
            <v>100000</v>
          </cell>
          <cell r="C162" t="str">
            <v>$2,500 / X-Wind</v>
          </cell>
          <cell r="D162" t="str">
            <v>100000$2,500 / X-Wind</v>
          </cell>
          <cell r="E162">
            <v>0.71</v>
          </cell>
        </row>
        <row r="163">
          <cell r="B163">
            <v>100000</v>
          </cell>
          <cell r="C163" t="str">
            <v>$500 / $500</v>
          </cell>
          <cell r="D163" t="str">
            <v>100000$500 / $500</v>
          </cell>
          <cell r="E163" t="str">
            <v>Invalid</v>
          </cell>
        </row>
        <row r="164">
          <cell r="B164">
            <v>100000</v>
          </cell>
          <cell r="C164" t="str">
            <v>$500 / 2%</v>
          </cell>
          <cell r="D164" t="str">
            <v>100000$500 / 2%</v>
          </cell>
          <cell r="E164">
            <v>1.1399999999999999</v>
          </cell>
        </row>
        <row r="165">
          <cell r="B165">
            <v>100000</v>
          </cell>
          <cell r="C165" t="str">
            <v>$1,000 / 2%</v>
          </cell>
          <cell r="D165" t="str">
            <v>100000$1,000 / 2%</v>
          </cell>
          <cell r="E165">
            <v>1</v>
          </cell>
        </row>
        <row r="166">
          <cell r="B166">
            <v>100000</v>
          </cell>
          <cell r="C166" t="str">
            <v>$2,500 / 2%</v>
          </cell>
          <cell r="D166" t="str">
            <v>100000$2,500 / 2%</v>
          </cell>
          <cell r="E166" t="str">
            <v>Invalid</v>
          </cell>
        </row>
        <row r="167">
          <cell r="B167">
            <v>100000</v>
          </cell>
          <cell r="C167" t="str">
            <v>$500 / 5%</v>
          </cell>
          <cell r="D167" t="str">
            <v>100000$500 / 5%</v>
          </cell>
          <cell r="E167">
            <v>1.05</v>
          </cell>
        </row>
        <row r="168">
          <cell r="B168">
            <v>100000</v>
          </cell>
          <cell r="C168" t="str">
            <v>$1,000 / 5%</v>
          </cell>
          <cell r="D168" t="str">
            <v>100000$1,000 / 5%</v>
          </cell>
          <cell r="E168">
            <v>0.9</v>
          </cell>
        </row>
        <row r="169">
          <cell r="B169">
            <v>100000</v>
          </cell>
          <cell r="C169" t="str">
            <v>$2,500 / 5%</v>
          </cell>
          <cell r="D169" t="str">
            <v>100000$2,500 / 5%</v>
          </cell>
          <cell r="E169">
            <v>0.8</v>
          </cell>
        </row>
        <row r="170">
          <cell r="B170">
            <v>100000</v>
          </cell>
          <cell r="C170" t="str">
            <v>$500 / 10%</v>
          </cell>
          <cell r="D170" t="str">
            <v>100000$500 / 10%</v>
          </cell>
          <cell r="E170">
            <v>0.88</v>
          </cell>
        </row>
        <row r="171">
          <cell r="B171">
            <v>100000</v>
          </cell>
          <cell r="C171" t="str">
            <v>$1,000 / 10%</v>
          </cell>
          <cell r="D171" t="str">
            <v>100000$1,000 / 10%</v>
          </cell>
          <cell r="E171">
            <v>0.77</v>
          </cell>
        </row>
        <row r="172">
          <cell r="B172">
            <v>100000</v>
          </cell>
          <cell r="C172" t="str">
            <v>$2,500 / 10%</v>
          </cell>
          <cell r="D172" t="str">
            <v>100000$2,500 / 10%</v>
          </cell>
          <cell r="E172">
            <v>0.7</v>
          </cell>
        </row>
        <row r="173">
          <cell r="B173">
            <v>125000</v>
          </cell>
          <cell r="C173" t="str">
            <v>$500 / X-Wind</v>
          </cell>
          <cell r="D173" t="str">
            <v>125000$500 / X-Wind</v>
          </cell>
          <cell r="E173">
            <v>1.18</v>
          </cell>
        </row>
        <row r="174">
          <cell r="B174">
            <v>125000</v>
          </cell>
          <cell r="C174" t="str">
            <v>$1,000 / X-Wind</v>
          </cell>
          <cell r="D174" t="str">
            <v>125000$1,000 / X-Wind</v>
          </cell>
          <cell r="E174">
            <v>1</v>
          </cell>
        </row>
        <row r="175">
          <cell r="B175">
            <v>125000</v>
          </cell>
          <cell r="C175" t="str">
            <v>$2,500 / X-Wind</v>
          </cell>
          <cell r="D175" t="str">
            <v>125000$2,500 / X-Wind</v>
          </cell>
          <cell r="E175">
            <v>0.71</v>
          </cell>
        </row>
        <row r="176">
          <cell r="B176">
            <v>125000</v>
          </cell>
          <cell r="C176" t="str">
            <v>$500 / $500</v>
          </cell>
          <cell r="D176" t="str">
            <v>125000$500 / $500</v>
          </cell>
          <cell r="E176" t="str">
            <v>Invalid</v>
          </cell>
        </row>
        <row r="177">
          <cell r="B177">
            <v>125000</v>
          </cell>
          <cell r="C177" t="str">
            <v>$500 / 2%</v>
          </cell>
          <cell r="D177" t="str">
            <v>125000$500 / 2%</v>
          </cell>
          <cell r="E177">
            <v>1.1399999999999999</v>
          </cell>
        </row>
        <row r="178">
          <cell r="B178">
            <v>125000</v>
          </cell>
          <cell r="C178" t="str">
            <v>$1,000 / 2%</v>
          </cell>
          <cell r="D178" t="str">
            <v>125000$1,000 / 2%</v>
          </cell>
          <cell r="E178">
            <v>1</v>
          </cell>
        </row>
        <row r="179">
          <cell r="B179">
            <v>125000</v>
          </cell>
          <cell r="C179" t="str">
            <v>$2,500 / 2%</v>
          </cell>
          <cell r="D179" t="str">
            <v>125000$2,500 / 2%</v>
          </cell>
          <cell r="E179">
            <v>0.85</v>
          </cell>
        </row>
        <row r="180">
          <cell r="B180">
            <v>125000</v>
          </cell>
          <cell r="C180" t="str">
            <v>$500 / 5%</v>
          </cell>
          <cell r="D180" t="str">
            <v>125000$500 / 5%</v>
          </cell>
          <cell r="E180">
            <v>1.05</v>
          </cell>
        </row>
        <row r="181">
          <cell r="B181">
            <v>125000</v>
          </cell>
          <cell r="C181" t="str">
            <v>$1,000 / 5%</v>
          </cell>
          <cell r="D181" t="str">
            <v>125000$1,000 / 5%</v>
          </cell>
          <cell r="E181">
            <v>0.9</v>
          </cell>
        </row>
        <row r="182">
          <cell r="B182">
            <v>125000</v>
          </cell>
          <cell r="C182" t="str">
            <v>$2,500 / 5%</v>
          </cell>
          <cell r="D182" t="str">
            <v>125000$2,500 / 5%</v>
          </cell>
          <cell r="E182">
            <v>0.75</v>
          </cell>
        </row>
        <row r="183">
          <cell r="B183">
            <v>125000</v>
          </cell>
          <cell r="C183" t="str">
            <v>$500 / 10%</v>
          </cell>
          <cell r="D183" t="str">
            <v>125000$500 / 10%</v>
          </cell>
          <cell r="E183">
            <v>0.88</v>
          </cell>
        </row>
        <row r="184">
          <cell r="B184">
            <v>125000</v>
          </cell>
          <cell r="C184" t="str">
            <v>$1,000 / 10%</v>
          </cell>
          <cell r="D184" t="str">
            <v>125000$1,000 / 10%</v>
          </cell>
          <cell r="E184">
            <v>0.77</v>
          </cell>
        </row>
        <row r="185">
          <cell r="B185">
            <v>125000</v>
          </cell>
          <cell r="C185" t="str">
            <v>$2,500 / 10%</v>
          </cell>
          <cell r="D185" t="str">
            <v>125000$2,500 / 10%</v>
          </cell>
          <cell r="E185">
            <v>0.62</v>
          </cell>
        </row>
        <row r="189">
          <cell r="B189" t="str">
            <v>$500 / X-Wind</v>
          </cell>
        </row>
        <row r="190">
          <cell r="B190" t="str">
            <v>$1,000 / X-Wind</v>
          </cell>
        </row>
        <row r="191">
          <cell r="B191" t="str">
            <v>$2,500 / X-Wind</v>
          </cell>
        </row>
        <row r="192">
          <cell r="B192" t="str">
            <v>$500 / $500</v>
          </cell>
        </row>
        <row r="193">
          <cell r="B193" t="str">
            <v>$500 / 2%</v>
          </cell>
        </row>
        <row r="194">
          <cell r="B194" t="str">
            <v>$1,000 / 2%</v>
          </cell>
        </row>
        <row r="195">
          <cell r="B195" t="str">
            <v>$2,500 / 2%</v>
          </cell>
        </row>
        <row r="196">
          <cell r="B196" t="str">
            <v>$500 / 5%</v>
          </cell>
        </row>
        <row r="197">
          <cell r="B197" t="str">
            <v>$1,000 / 5%</v>
          </cell>
        </row>
        <row r="198">
          <cell r="B198" t="str">
            <v>$2,500 / 5%</v>
          </cell>
        </row>
        <row r="199">
          <cell r="B199" t="str">
            <v>$500 / 10%</v>
          </cell>
        </row>
        <row r="200">
          <cell r="B200" t="str">
            <v>$1,000 / 10%</v>
          </cell>
        </row>
        <row r="201">
          <cell r="B201" t="str">
            <v>$2,500 / 10%</v>
          </cell>
        </row>
      </sheetData>
      <sheetData sheetId="7">
        <row r="3">
          <cell r="B3" t="b">
            <v>1</v>
          </cell>
          <cell r="C3">
            <v>1.35</v>
          </cell>
          <cell r="D3">
            <v>1.35</v>
          </cell>
          <cell r="E3">
            <v>1.35</v>
          </cell>
          <cell r="F3">
            <v>1.35</v>
          </cell>
          <cell r="H3">
            <v>1</v>
          </cell>
        </row>
        <row r="4">
          <cell r="B4" t="b">
            <v>0</v>
          </cell>
          <cell r="C4">
            <v>1</v>
          </cell>
          <cell r="D4">
            <v>1</v>
          </cell>
          <cell r="E4">
            <v>1</v>
          </cell>
          <cell r="F4">
            <v>1</v>
          </cell>
          <cell r="G4" t="b">
            <v>1</v>
          </cell>
          <cell r="H4">
            <v>2</v>
          </cell>
        </row>
        <row r="8">
          <cell r="B8" t="str">
            <v>25% of Coverage A Included</v>
          </cell>
          <cell r="C8">
            <v>0.04</v>
          </cell>
          <cell r="D8" t="b">
            <v>1</v>
          </cell>
          <cell r="E8">
            <v>1</v>
          </cell>
        </row>
        <row r="9">
          <cell r="B9" t="str">
            <v>Increase to 50% of Cov A</v>
          </cell>
          <cell r="C9">
            <v>4.4999999999999998E-2</v>
          </cell>
          <cell r="E9">
            <v>2</v>
          </cell>
        </row>
        <row r="14">
          <cell r="B14" t="str">
            <v>$10,000 Included</v>
          </cell>
          <cell r="C14">
            <v>0</v>
          </cell>
          <cell r="D14">
            <v>1</v>
          </cell>
          <cell r="E14">
            <v>10000</v>
          </cell>
        </row>
        <row r="15">
          <cell r="B15" t="str">
            <v>Increase to $25,000</v>
          </cell>
          <cell r="C15">
            <v>45</v>
          </cell>
          <cell r="D15">
            <v>2</v>
          </cell>
          <cell r="E15">
            <v>25000</v>
          </cell>
        </row>
        <row r="16">
          <cell r="B16" t="str">
            <v>Increase to $50,000</v>
          </cell>
          <cell r="C16">
            <v>72</v>
          </cell>
          <cell r="D16">
            <v>3</v>
          </cell>
          <cell r="E16">
            <v>50000</v>
          </cell>
        </row>
        <row r="21">
          <cell r="B21" t="b">
            <v>1</v>
          </cell>
          <cell r="C21">
            <v>6</v>
          </cell>
        </row>
        <row r="22">
          <cell r="B22" t="b">
            <v>0</v>
          </cell>
          <cell r="C22">
            <v>0</v>
          </cell>
        </row>
        <row r="27">
          <cell r="B27" t="str">
            <v>$2,000 Included</v>
          </cell>
          <cell r="C27">
            <v>1</v>
          </cell>
          <cell r="D27" t="b">
            <v>1</v>
          </cell>
          <cell r="E27">
            <v>2000</v>
          </cell>
        </row>
        <row r="28">
          <cell r="B28" t="str">
            <v>Increase to $3,000</v>
          </cell>
          <cell r="C28">
            <v>2</v>
          </cell>
          <cell r="E28">
            <v>3000</v>
          </cell>
        </row>
        <row r="32">
          <cell r="B32" t="str">
            <v>005</v>
          </cell>
          <cell r="C32">
            <v>1</v>
          </cell>
        </row>
        <row r="33">
          <cell r="B33" t="str">
            <v>007</v>
          </cell>
          <cell r="C33">
            <v>2</v>
          </cell>
        </row>
        <row r="34">
          <cell r="B34" t="str">
            <v>031</v>
          </cell>
          <cell r="C34">
            <v>2</v>
          </cell>
        </row>
        <row r="35">
          <cell r="B35" t="str">
            <v>030</v>
          </cell>
          <cell r="C35">
            <v>3</v>
          </cell>
        </row>
        <row r="36">
          <cell r="B36" t="str">
            <v>032</v>
          </cell>
          <cell r="C36">
            <v>3</v>
          </cell>
        </row>
        <row r="37">
          <cell r="B37" t="str">
            <v>033</v>
          </cell>
          <cell r="C37">
            <v>3</v>
          </cell>
        </row>
        <row r="38">
          <cell r="B38" t="str">
            <v>034</v>
          </cell>
          <cell r="C38">
            <v>3</v>
          </cell>
        </row>
        <row r="39">
          <cell r="B39" t="str">
            <v>035</v>
          </cell>
          <cell r="C39">
            <v>4</v>
          </cell>
        </row>
        <row r="40">
          <cell r="B40" t="str">
            <v>361</v>
          </cell>
          <cell r="C40">
            <v>4</v>
          </cell>
        </row>
        <row r="41">
          <cell r="B41" t="str">
            <v>362</v>
          </cell>
          <cell r="C41">
            <v>4</v>
          </cell>
        </row>
        <row r="42">
          <cell r="B42" t="str">
            <v>037</v>
          </cell>
          <cell r="C42">
            <v>5</v>
          </cell>
        </row>
        <row r="43">
          <cell r="B43" t="str">
            <v>038</v>
          </cell>
          <cell r="C43">
            <v>6</v>
          </cell>
        </row>
        <row r="44">
          <cell r="B44" t="str">
            <v>010</v>
          </cell>
          <cell r="C44">
            <v>7</v>
          </cell>
        </row>
        <row r="45">
          <cell r="B45" t="str">
            <v>181</v>
          </cell>
          <cell r="C45">
            <v>7</v>
          </cell>
        </row>
        <row r="46">
          <cell r="B46" t="str">
            <v>182</v>
          </cell>
          <cell r="C46">
            <v>7</v>
          </cell>
        </row>
        <row r="47">
          <cell r="B47" t="str">
            <v>183</v>
          </cell>
          <cell r="C47">
            <v>7</v>
          </cell>
        </row>
        <row r="48">
          <cell r="B48" t="str">
            <v>042</v>
          </cell>
          <cell r="C48">
            <v>8</v>
          </cell>
        </row>
        <row r="49">
          <cell r="B49" t="str">
            <v>080</v>
          </cell>
          <cell r="C49">
            <v>8</v>
          </cell>
        </row>
        <row r="50">
          <cell r="B50" t="str">
            <v>081</v>
          </cell>
          <cell r="C50">
            <v>8</v>
          </cell>
        </row>
        <row r="51">
          <cell r="B51" t="str">
            <v>041</v>
          </cell>
          <cell r="C51">
            <v>9</v>
          </cell>
        </row>
        <row r="52">
          <cell r="B52" t="str">
            <v>046</v>
          </cell>
          <cell r="C52">
            <v>9</v>
          </cell>
        </row>
        <row r="53">
          <cell r="B53" t="str">
            <v>047</v>
          </cell>
          <cell r="C53">
            <v>9</v>
          </cell>
        </row>
        <row r="54">
          <cell r="B54" t="str">
            <v>057</v>
          </cell>
          <cell r="C54">
            <v>9</v>
          </cell>
        </row>
        <row r="55">
          <cell r="B55" t="str">
            <v>062</v>
          </cell>
          <cell r="C55">
            <v>9</v>
          </cell>
        </row>
        <row r="56">
          <cell r="B56" t="str">
            <v>159</v>
          </cell>
          <cell r="C56">
            <v>9</v>
          </cell>
        </row>
        <row r="57">
          <cell r="B57" t="str">
            <v>531</v>
          </cell>
          <cell r="C57">
            <v>9</v>
          </cell>
        </row>
        <row r="58">
          <cell r="B58" t="str">
            <v>532</v>
          </cell>
          <cell r="C58">
            <v>9</v>
          </cell>
        </row>
        <row r="59">
          <cell r="B59" t="str">
            <v>533</v>
          </cell>
          <cell r="C59">
            <v>9</v>
          </cell>
        </row>
        <row r="60">
          <cell r="B60" t="str">
            <v>541</v>
          </cell>
          <cell r="C60">
            <v>9</v>
          </cell>
        </row>
        <row r="61">
          <cell r="B61" t="str">
            <v>542</v>
          </cell>
          <cell r="C61">
            <v>9</v>
          </cell>
        </row>
        <row r="62">
          <cell r="B62" t="str">
            <v>551</v>
          </cell>
          <cell r="C62">
            <v>9</v>
          </cell>
        </row>
        <row r="63">
          <cell r="B63" t="str">
            <v>552</v>
          </cell>
          <cell r="C63">
            <v>9</v>
          </cell>
        </row>
        <row r="64">
          <cell r="B64" t="str">
            <v>553</v>
          </cell>
          <cell r="C64">
            <v>9</v>
          </cell>
        </row>
        <row r="65">
          <cell r="B65" t="str">
            <v>554</v>
          </cell>
          <cell r="C65">
            <v>9</v>
          </cell>
        </row>
        <row r="66">
          <cell r="B66" t="str">
            <v>555</v>
          </cell>
          <cell r="C66">
            <v>9</v>
          </cell>
        </row>
        <row r="67">
          <cell r="B67" t="str">
            <v>561</v>
          </cell>
          <cell r="C67">
            <v>9</v>
          </cell>
        </row>
        <row r="68">
          <cell r="B68" t="str">
            <v>562</v>
          </cell>
          <cell r="C68">
            <v>9</v>
          </cell>
        </row>
        <row r="69">
          <cell r="B69" t="str">
            <v>581</v>
          </cell>
          <cell r="C69">
            <v>9</v>
          </cell>
        </row>
        <row r="70">
          <cell r="B70" t="str">
            <v>582</v>
          </cell>
          <cell r="C70">
            <v>9</v>
          </cell>
        </row>
        <row r="71">
          <cell r="B71" t="str">
            <v>583</v>
          </cell>
          <cell r="C71">
            <v>9</v>
          </cell>
        </row>
        <row r="72">
          <cell r="B72" t="str">
            <v>591</v>
          </cell>
          <cell r="C72">
            <v>9</v>
          </cell>
        </row>
        <row r="73">
          <cell r="B73" t="str">
            <v>592</v>
          </cell>
          <cell r="C73">
            <v>9</v>
          </cell>
        </row>
        <row r="74">
          <cell r="B74" t="str">
            <v>594</v>
          </cell>
          <cell r="C74">
            <v>9</v>
          </cell>
        </row>
        <row r="75">
          <cell r="B75" t="str">
            <v>595</v>
          </cell>
          <cell r="C75">
            <v>9</v>
          </cell>
        </row>
        <row r="76">
          <cell r="B76" t="str">
            <v>596</v>
          </cell>
          <cell r="C76">
            <v>9</v>
          </cell>
        </row>
        <row r="77">
          <cell r="B77" t="str">
            <v>601</v>
          </cell>
          <cell r="C77">
            <v>9</v>
          </cell>
        </row>
        <row r="78">
          <cell r="B78" t="str">
            <v>602</v>
          </cell>
          <cell r="C78">
            <v>9</v>
          </cell>
        </row>
        <row r="79">
          <cell r="B79" t="str">
            <v>603</v>
          </cell>
          <cell r="C79">
            <v>9</v>
          </cell>
        </row>
        <row r="80">
          <cell r="B80" t="str">
            <v>604</v>
          </cell>
          <cell r="C80">
            <v>9</v>
          </cell>
        </row>
        <row r="81">
          <cell r="B81" t="str">
            <v>605</v>
          </cell>
          <cell r="C81">
            <v>9</v>
          </cell>
        </row>
        <row r="82">
          <cell r="B82" t="str">
            <v>606</v>
          </cell>
          <cell r="C82">
            <v>9</v>
          </cell>
        </row>
        <row r="83">
          <cell r="B83" t="str">
            <v>607</v>
          </cell>
          <cell r="C83">
            <v>9</v>
          </cell>
        </row>
        <row r="84">
          <cell r="B84" t="str">
            <v>608</v>
          </cell>
          <cell r="C84">
            <v>9</v>
          </cell>
        </row>
        <row r="85">
          <cell r="B85" t="str">
            <v>609</v>
          </cell>
          <cell r="C85">
            <v>9</v>
          </cell>
        </row>
        <row r="86">
          <cell r="B86" t="str">
            <v>701</v>
          </cell>
          <cell r="C86">
            <v>9</v>
          </cell>
        </row>
        <row r="87">
          <cell r="B87" t="str">
            <v>702</v>
          </cell>
          <cell r="C87">
            <v>9</v>
          </cell>
        </row>
        <row r="88">
          <cell r="B88" t="str">
            <v>711</v>
          </cell>
          <cell r="C88">
            <v>9</v>
          </cell>
        </row>
        <row r="89">
          <cell r="B89" t="str">
            <v>712</v>
          </cell>
          <cell r="C89">
            <v>9</v>
          </cell>
        </row>
        <row r="90">
          <cell r="B90" t="str">
            <v>713</v>
          </cell>
          <cell r="C90">
            <v>9</v>
          </cell>
        </row>
        <row r="91">
          <cell r="B91" t="str">
            <v>714</v>
          </cell>
          <cell r="C91">
            <v>9</v>
          </cell>
        </row>
        <row r="92">
          <cell r="B92" t="str">
            <v>715</v>
          </cell>
          <cell r="C92">
            <v>9</v>
          </cell>
        </row>
        <row r="93">
          <cell r="B93" t="str">
            <v>721</v>
          </cell>
          <cell r="C93">
            <v>9</v>
          </cell>
        </row>
        <row r="94">
          <cell r="B94" t="str">
            <v>722</v>
          </cell>
          <cell r="C94">
            <v>9</v>
          </cell>
        </row>
        <row r="95">
          <cell r="B95" t="str">
            <v>723</v>
          </cell>
          <cell r="C95">
            <v>9</v>
          </cell>
        </row>
        <row r="96">
          <cell r="B96" t="str">
            <v>724</v>
          </cell>
          <cell r="C96">
            <v>9</v>
          </cell>
        </row>
        <row r="97">
          <cell r="B97" t="str">
            <v>725</v>
          </cell>
          <cell r="C97">
            <v>9</v>
          </cell>
        </row>
        <row r="98">
          <cell r="B98" t="str">
            <v>726</v>
          </cell>
          <cell r="C98">
            <v>9</v>
          </cell>
        </row>
        <row r="99">
          <cell r="B99" t="str">
            <v>731</v>
          </cell>
          <cell r="C99">
            <v>9</v>
          </cell>
        </row>
        <row r="100">
          <cell r="B100" t="str">
            <v>732</v>
          </cell>
          <cell r="C100">
            <v>9</v>
          </cell>
        </row>
        <row r="101">
          <cell r="B101" t="str">
            <v>733</v>
          </cell>
          <cell r="C101">
            <v>9</v>
          </cell>
        </row>
        <row r="102">
          <cell r="B102" t="str">
            <v>734</v>
          </cell>
          <cell r="C102">
            <v>9</v>
          </cell>
        </row>
        <row r="103">
          <cell r="B103" t="str">
            <v>735</v>
          </cell>
          <cell r="C103">
            <v>9</v>
          </cell>
        </row>
        <row r="104">
          <cell r="B104" t="str">
            <v>736</v>
          </cell>
          <cell r="C104">
            <v>9</v>
          </cell>
        </row>
        <row r="105">
          <cell r="B105" t="str">
            <v>737</v>
          </cell>
          <cell r="C105">
            <v>9</v>
          </cell>
        </row>
        <row r="106">
          <cell r="B106" t="str">
            <v>039</v>
          </cell>
          <cell r="C106">
            <v>10</v>
          </cell>
        </row>
        <row r="107">
          <cell r="B107" t="str">
            <v>040</v>
          </cell>
          <cell r="C107">
            <v>10</v>
          </cell>
        </row>
        <row r="108">
          <cell r="B108" t="str">
            <v>043</v>
          </cell>
          <cell r="C108">
            <v>10</v>
          </cell>
        </row>
        <row r="109">
          <cell r="B109" t="str">
            <v>049</v>
          </cell>
          <cell r="C109">
            <v>10</v>
          </cell>
        </row>
        <row r="110">
          <cell r="B110" t="str">
            <v>050</v>
          </cell>
          <cell r="C110">
            <v>10</v>
          </cell>
        </row>
        <row r="111">
          <cell r="B111" t="str">
            <v>063</v>
          </cell>
          <cell r="C111">
            <v>10</v>
          </cell>
        </row>
        <row r="112">
          <cell r="B112" t="str">
            <v>064</v>
          </cell>
          <cell r="C112">
            <v>10</v>
          </cell>
        </row>
        <row r="113">
          <cell r="B113" t="str">
            <v>090</v>
          </cell>
          <cell r="C113">
            <v>10</v>
          </cell>
        </row>
        <row r="114">
          <cell r="B114" t="str">
            <v>192</v>
          </cell>
          <cell r="C114">
            <v>10</v>
          </cell>
        </row>
        <row r="115">
          <cell r="B115" t="str">
            <v>193</v>
          </cell>
          <cell r="C115">
            <v>10</v>
          </cell>
        </row>
        <row r="116">
          <cell r="B116" t="str">
            <v>292</v>
          </cell>
          <cell r="C116">
            <v>10</v>
          </cell>
        </row>
        <row r="117">
          <cell r="B117" t="str">
            <v>293</v>
          </cell>
          <cell r="C117">
            <v>10</v>
          </cell>
        </row>
        <row r="118">
          <cell r="B118" t="str">
            <v>392</v>
          </cell>
          <cell r="C118">
            <v>10</v>
          </cell>
        </row>
        <row r="119">
          <cell r="B119" t="str">
            <v>393</v>
          </cell>
          <cell r="C119">
            <v>10</v>
          </cell>
        </row>
        <row r="120">
          <cell r="B120" t="str">
            <v>492</v>
          </cell>
          <cell r="C120">
            <v>10</v>
          </cell>
        </row>
        <row r="121">
          <cell r="B121" t="str">
            <v>493</v>
          </cell>
          <cell r="C121">
            <v>10</v>
          </cell>
        </row>
        <row r="122">
          <cell r="B122" t="str">
            <v>511</v>
          </cell>
          <cell r="C122">
            <v>10</v>
          </cell>
        </row>
        <row r="123">
          <cell r="B123" t="str">
            <v>512</v>
          </cell>
          <cell r="C123">
            <v>10</v>
          </cell>
        </row>
        <row r="124">
          <cell r="B124" t="str">
            <v>593</v>
          </cell>
          <cell r="C124">
            <v>10</v>
          </cell>
        </row>
        <row r="125">
          <cell r="B125" t="str">
            <v>692</v>
          </cell>
          <cell r="C125">
            <v>10</v>
          </cell>
        </row>
        <row r="126">
          <cell r="B126" t="str">
            <v>693</v>
          </cell>
          <cell r="C126">
            <v>10</v>
          </cell>
        </row>
        <row r="127">
          <cell r="B127" t="str">
            <v>792</v>
          </cell>
          <cell r="C127">
            <v>10</v>
          </cell>
        </row>
        <row r="128">
          <cell r="B128" t="str">
            <v>793</v>
          </cell>
          <cell r="C128">
            <v>10</v>
          </cell>
        </row>
        <row r="129">
          <cell r="B129" t="str">
            <v>892</v>
          </cell>
          <cell r="C129">
            <v>10</v>
          </cell>
        </row>
        <row r="130">
          <cell r="B130" t="str">
            <v>893</v>
          </cell>
          <cell r="C130">
            <v>10</v>
          </cell>
        </row>
        <row r="131">
          <cell r="B131" t="str">
            <v>921</v>
          </cell>
          <cell r="C131">
            <v>10</v>
          </cell>
        </row>
        <row r="132">
          <cell r="B132" t="str">
            <v>922</v>
          </cell>
          <cell r="C132">
            <v>10</v>
          </cell>
        </row>
        <row r="133">
          <cell r="B133" t="str">
            <v>923</v>
          </cell>
          <cell r="C133">
            <v>10</v>
          </cell>
        </row>
        <row r="134">
          <cell r="B134" t="str">
            <v>931</v>
          </cell>
          <cell r="C134">
            <v>10</v>
          </cell>
        </row>
        <row r="135">
          <cell r="B135" t="str">
            <v>932</v>
          </cell>
          <cell r="C135">
            <v>10</v>
          </cell>
        </row>
        <row r="136">
          <cell r="B136" t="str">
            <v>933</v>
          </cell>
          <cell r="C136">
            <v>10</v>
          </cell>
        </row>
        <row r="137">
          <cell r="B137" t="str">
            <v>934</v>
          </cell>
          <cell r="C137">
            <v>10</v>
          </cell>
        </row>
        <row r="138">
          <cell r="B138" t="str">
            <v>992</v>
          </cell>
          <cell r="C138">
            <v>10</v>
          </cell>
        </row>
        <row r="139">
          <cell r="B139" t="str">
            <v>993</v>
          </cell>
          <cell r="C139">
            <v>10</v>
          </cell>
        </row>
        <row r="143">
          <cell r="D143" t="str">
            <v>11000</v>
          </cell>
          <cell r="E143">
            <v>0</v>
          </cell>
        </row>
        <row r="144">
          <cell r="D144" t="str">
            <v>12000</v>
          </cell>
          <cell r="E144">
            <v>8</v>
          </cell>
        </row>
        <row r="145">
          <cell r="D145" t="str">
            <v>13000</v>
          </cell>
          <cell r="E145">
            <v>15</v>
          </cell>
        </row>
        <row r="146">
          <cell r="D146" t="str">
            <v>21000</v>
          </cell>
          <cell r="E146">
            <v>0</v>
          </cell>
        </row>
        <row r="147">
          <cell r="D147" t="str">
            <v>22000</v>
          </cell>
          <cell r="E147">
            <v>7</v>
          </cell>
        </row>
        <row r="148">
          <cell r="D148" t="str">
            <v>23000</v>
          </cell>
          <cell r="E148">
            <v>14</v>
          </cell>
        </row>
        <row r="149">
          <cell r="D149" t="str">
            <v>31000</v>
          </cell>
          <cell r="E149">
            <v>0</v>
          </cell>
        </row>
        <row r="150">
          <cell r="D150" t="str">
            <v>32000</v>
          </cell>
          <cell r="E150">
            <v>7</v>
          </cell>
        </row>
        <row r="151">
          <cell r="D151" t="str">
            <v>33000</v>
          </cell>
          <cell r="E151">
            <v>13</v>
          </cell>
        </row>
        <row r="152">
          <cell r="D152" t="str">
            <v>41000</v>
          </cell>
          <cell r="E152">
            <v>0</v>
          </cell>
        </row>
        <row r="153">
          <cell r="D153" t="str">
            <v>42000</v>
          </cell>
          <cell r="E153">
            <v>6</v>
          </cell>
        </row>
        <row r="154">
          <cell r="D154" t="str">
            <v>43000</v>
          </cell>
          <cell r="E154">
            <v>12</v>
          </cell>
        </row>
        <row r="155">
          <cell r="D155" t="str">
            <v>51000</v>
          </cell>
          <cell r="E155">
            <v>0</v>
          </cell>
        </row>
        <row r="156">
          <cell r="D156" t="str">
            <v>52000</v>
          </cell>
          <cell r="E156">
            <v>6</v>
          </cell>
        </row>
        <row r="157">
          <cell r="D157" t="str">
            <v>53000</v>
          </cell>
          <cell r="E157">
            <v>11</v>
          </cell>
        </row>
        <row r="158">
          <cell r="D158" t="str">
            <v>61000</v>
          </cell>
          <cell r="E158">
            <v>0</v>
          </cell>
        </row>
        <row r="159">
          <cell r="D159" t="str">
            <v>62000</v>
          </cell>
          <cell r="E159">
            <v>5</v>
          </cell>
        </row>
        <row r="160">
          <cell r="D160" t="str">
            <v>63000</v>
          </cell>
          <cell r="E160">
            <v>11</v>
          </cell>
        </row>
        <row r="161">
          <cell r="D161" t="str">
            <v>71000</v>
          </cell>
          <cell r="E161">
            <v>0</v>
          </cell>
        </row>
        <row r="162">
          <cell r="D162" t="str">
            <v>72000</v>
          </cell>
          <cell r="E162">
            <v>5</v>
          </cell>
        </row>
        <row r="163">
          <cell r="D163" t="str">
            <v>73000</v>
          </cell>
          <cell r="E163">
            <v>10</v>
          </cell>
        </row>
        <row r="164">
          <cell r="D164" t="str">
            <v>81000</v>
          </cell>
          <cell r="E164">
            <v>0</v>
          </cell>
        </row>
        <row r="165">
          <cell r="D165" t="str">
            <v>82000</v>
          </cell>
          <cell r="E165">
            <v>5</v>
          </cell>
        </row>
        <row r="166">
          <cell r="D166" t="str">
            <v>83000</v>
          </cell>
          <cell r="E166">
            <v>9</v>
          </cell>
        </row>
        <row r="167">
          <cell r="D167" t="str">
            <v>91000</v>
          </cell>
          <cell r="E167">
            <v>0</v>
          </cell>
        </row>
        <row r="168">
          <cell r="D168" t="str">
            <v>92000</v>
          </cell>
          <cell r="E168">
            <v>4</v>
          </cell>
        </row>
        <row r="169">
          <cell r="D169" t="str">
            <v>93000</v>
          </cell>
          <cell r="E169">
            <v>9</v>
          </cell>
        </row>
        <row r="170">
          <cell r="D170" t="str">
            <v>101000</v>
          </cell>
          <cell r="E170">
            <v>0</v>
          </cell>
        </row>
        <row r="171">
          <cell r="D171" t="str">
            <v>102000</v>
          </cell>
          <cell r="E171">
            <v>4</v>
          </cell>
        </row>
        <row r="172">
          <cell r="D172" t="str">
            <v>103000</v>
          </cell>
          <cell r="E172">
            <v>8</v>
          </cell>
        </row>
      </sheetData>
      <sheetData sheetId="8"/>
      <sheetData sheetId="9">
        <row r="3">
          <cell r="B3" t="b">
            <v>1</v>
          </cell>
          <cell r="C3">
            <v>1</v>
          </cell>
          <cell r="D3">
            <v>1</v>
          </cell>
        </row>
        <row r="4">
          <cell r="B4" t="b">
            <v>0</v>
          </cell>
          <cell r="C4">
            <v>2</v>
          </cell>
          <cell r="D4">
            <v>0</v>
          </cell>
        </row>
        <row r="8">
          <cell r="B8" t="b">
            <v>1</v>
          </cell>
        </row>
        <row r="9">
          <cell r="B9" t="b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F92DC-4A5F-4A9D-9E3A-C599DA2CEC46}">
  <sheetPr codeName="Sheet1"/>
  <dimension ref="A1:T90"/>
  <sheetViews>
    <sheetView tabSelected="1" topLeftCell="B4" zoomScaleNormal="100" workbookViewId="0">
      <selection activeCell="E23" sqref="E23"/>
    </sheetView>
  </sheetViews>
  <sheetFormatPr baseColWidth="10" defaultColWidth="9" defaultRowHeight="16" x14ac:dyDescent="0.2"/>
  <cols>
    <col min="1" max="1" width="96.83203125" style="2" bestFit="1" customWidth="1"/>
    <col min="2" max="2" width="56.83203125" style="2" customWidth="1"/>
    <col min="3" max="3" width="6.33203125" style="3" customWidth="1"/>
    <col min="4" max="4" width="65.33203125" style="2" customWidth="1"/>
    <col min="5" max="5" width="20.83203125" style="7" customWidth="1"/>
    <col min="6" max="6" width="67.83203125" style="28" bestFit="1" customWidth="1"/>
    <col min="7" max="7" width="9" style="28"/>
    <col min="8" max="8" width="4.5" style="28" customWidth="1"/>
    <col min="9" max="9" width="5" style="2" customWidth="1"/>
    <col min="10" max="10" width="70.33203125" style="2" bestFit="1" customWidth="1"/>
    <col min="11" max="11" width="20.5" style="2" bestFit="1" customWidth="1"/>
    <col min="12" max="12" width="25.83203125" style="2" bestFit="1" customWidth="1"/>
    <col min="13" max="13" width="23" style="2" bestFit="1" customWidth="1"/>
    <col min="14" max="15" width="3" style="2" customWidth="1"/>
    <col min="16" max="16" width="43" style="2" bestFit="1" customWidth="1"/>
    <col min="17" max="17" width="20.5" style="2" bestFit="1" customWidth="1"/>
    <col min="18" max="18" width="17" style="2" customWidth="1"/>
    <col min="19" max="19" width="23" style="2" bestFit="1" customWidth="1"/>
    <col min="20" max="20" width="33" style="2" bestFit="1" customWidth="1"/>
    <col min="21" max="16384" width="9" style="2"/>
  </cols>
  <sheetData>
    <row r="1" spans="1:20" s="69" customFormat="1" ht="31" x14ac:dyDescent="0.2">
      <c r="A1" s="64" t="s">
        <v>0</v>
      </c>
      <c r="B1" s="65" t="s">
        <v>1</v>
      </c>
      <c r="C1" s="66" t="s">
        <v>2</v>
      </c>
      <c r="D1" s="67"/>
      <c r="E1" s="67"/>
      <c r="F1" s="151" t="s">
        <v>349</v>
      </c>
      <c r="G1" s="152">
        <v>2</v>
      </c>
      <c r="H1" s="68"/>
    </row>
    <row r="3" spans="1:20" s="1" customFormat="1" ht="44" x14ac:dyDescent="0.2">
      <c r="A3" s="71" t="s">
        <v>3</v>
      </c>
      <c r="B3" s="72"/>
      <c r="C3" s="8"/>
      <c r="D3" s="73" t="s">
        <v>4</v>
      </c>
      <c r="E3" s="74"/>
      <c r="F3"/>
      <c r="G3"/>
      <c r="H3"/>
      <c r="J3" s="159" t="s">
        <v>302</v>
      </c>
      <c r="K3" s="160"/>
      <c r="L3" s="160"/>
      <c r="M3" s="161"/>
      <c r="P3" s="159" t="s">
        <v>301</v>
      </c>
      <c r="Q3" s="160"/>
      <c r="R3" s="160"/>
      <c r="S3" s="161"/>
    </row>
    <row r="4" spans="1:20" ht="15.75" customHeight="1" x14ac:dyDescent="0.2">
      <c r="A4" s="4" t="s">
        <v>5</v>
      </c>
      <c r="B4" s="34">
        <v>0.11</v>
      </c>
      <c r="C4" s="123"/>
      <c r="D4" s="4" t="s">
        <v>6</v>
      </c>
      <c r="E4" s="61" t="s">
        <v>176</v>
      </c>
      <c r="F4" s="126"/>
      <c r="J4" s="162"/>
      <c r="K4" s="163"/>
      <c r="L4" s="163"/>
      <c r="M4" s="164"/>
      <c r="P4" s="162"/>
      <c r="Q4" s="163"/>
      <c r="R4" s="163"/>
      <c r="S4" s="164"/>
    </row>
    <row r="5" spans="1:20" ht="34" x14ac:dyDescent="0.2">
      <c r="A5" s="31" t="s">
        <v>7</v>
      </c>
      <c r="B5" s="10" t="s">
        <v>177</v>
      </c>
      <c r="C5" s="123"/>
      <c r="D5" s="31" t="s">
        <v>8</v>
      </c>
      <c r="E5" s="10" t="s">
        <v>181</v>
      </c>
      <c r="F5" s="126"/>
      <c r="J5" s="5"/>
      <c r="K5" s="175" t="s">
        <v>9</v>
      </c>
      <c r="L5" s="177" t="s">
        <v>10</v>
      </c>
      <c r="M5" s="132"/>
      <c r="P5" s="5"/>
      <c r="Q5" s="182" t="s">
        <v>9</v>
      </c>
      <c r="R5" s="158" t="s">
        <v>10</v>
      </c>
      <c r="S5" s="132"/>
    </row>
    <row r="6" spans="1:20" ht="18" thickBot="1" x14ac:dyDescent="0.25">
      <c r="A6" s="112" t="s">
        <v>11</v>
      </c>
      <c r="B6" s="183" t="s">
        <v>255</v>
      </c>
      <c r="C6" s="186"/>
      <c r="D6" s="5" t="s">
        <v>12</v>
      </c>
      <c r="E6" s="12">
        <v>9928040</v>
      </c>
      <c r="F6" s="126"/>
      <c r="J6" s="5"/>
      <c r="K6" s="176"/>
      <c r="L6" s="178"/>
      <c r="M6" s="115"/>
      <c r="P6" s="5"/>
      <c r="Q6" s="182"/>
      <c r="R6" s="158"/>
      <c r="S6" s="115"/>
    </row>
    <row r="7" spans="1:20" x14ac:dyDescent="0.2">
      <c r="A7" s="35" t="s">
        <v>13</v>
      </c>
      <c r="B7" s="184"/>
      <c r="C7" s="186"/>
      <c r="D7" s="5" t="s">
        <v>14</v>
      </c>
      <c r="E7" s="12">
        <v>25000</v>
      </c>
      <c r="F7" s="127"/>
      <c r="J7" s="133" t="s">
        <v>15</v>
      </c>
      <c r="K7" s="118" t="s">
        <v>16</v>
      </c>
      <c r="L7" s="118" t="s">
        <v>16</v>
      </c>
      <c r="M7" s="134" t="s">
        <v>287</v>
      </c>
      <c r="P7" s="128" t="s">
        <v>15</v>
      </c>
      <c r="Q7" s="129" t="s">
        <v>16</v>
      </c>
      <c r="R7" s="129" t="s">
        <v>16</v>
      </c>
      <c r="S7" s="130" t="s">
        <v>287</v>
      </c>
    </row>
    <row r="8" spans="1:20" ht="34" x14ac:dyDescent="0.2">
      <c r="A8" s="35" t="s">
        <v>17</v>
      </c>
      <c r="B8" s="184"/>
      <c r="C8" s="186"/>
      <c r="D8" s="5" t="s">
        <v>18</v>
      </c>
      <c r="E8" s="12">
        <v>605000</v>
      </c>
      <c r="F8" s="127"/>
      <c r="J8" s="70" t="s">
        <v>19</v>
      </c>
      <c r="K8" s="119">
        <v>5000</v>
      </c>
      <c r="L8" s="119">
        <v>10000</v>
      </c>
      <c r="M8" s="119"/>
      <c r="N8" s="124"/>
      <c r="O8" s="124"/>
      <c r="P8" s="70" t="s">
        <v>288</v>
      </c>
      <c r="Q8" s="119">
        <v>10000</v>
      </c>
      <c r="R8" s="119">
        <v>15000</v>
      </c>
      <c r="S8" s="119"/>
      <c r="T8" s="124"/>
    </row>
    <row r="9" spans="1:20" ht="17" x14ac:dyDescent="0.2">
      <c r="A9" s="35" t="s">
        <v>20</v>
      </c>
      <c r="B9" s="184"/>
      <c r="C9" s="186"/>
      <c r="D9" s="5" t="s">
        <v>21</v>
      </c>
      <c r="E9" s="15"/>
      <c r="F9" s="126"/>
      <c r="J9" s="31" t="s">
        <v>22</v>
      </c>
      <c r="K9" s="120">
        <v>25000</v>
      </c>
      <c r="L9" s="120">
        <v>50000</v>
      </c>
      <c r="M9" s="119"/>
      <c r="N9" s="124"/>
      <c r="O9" s="124"/>
      <c r="P9" s="31" t="s">
        <v>289</v>
      </c>
      <c r="Q9" s="120">
        <v>50000</v>
      </c>
      <c r="R9" s="120">
        <v>75000</v>
      </c>
      <c r="S9" s="120"/>
      <c r="T9" s="124"/>
    </row>
    <row r="10" spans="1:20" ht="17" x14ac:dyDescent="0.2">
      <c r="A10" s="35" t="s">
        <v>23</v>
      </c>
      <c r="B10" s="184"/>
      <c r="C10" s="186"/>
      <c r="D10" s="4" t="s">
        <v>24</v>
      </c>
      <c r="E10" s="78">
        <v>496402</v>
      </c>
      <c r="F10" s="124"/>
      <c r="J10" s="31" t="s">
        <v>25</v>
      </c>
      <c r="K10" s="120">
        <v>10000</v>
      </c>
      <c r="L10" s="120">
        <v>25000</v>
      </c>
      <c r="M10" s="119"/>
      <c r="N10" s="124"/>
      <c r="O10" s="124"/>
      <c r="P10" s="31" t="s">
        <v>30</v>
      </c>
      <c r="Q10" s="120">
        <v>300000</v>
      </c>
      <c r="R10" s="120">
        <v>325000</v>
      </c>
      <c r="S10" s="120"/>
      <c r="T10" s="124"/>
    </row>
    <row r="11" spans="1:20" ht="17" x14ac:dyDescent="0.2">
      <c r="A11" s="36" t="s">
        <v>26</v>
      </c>
      <c r="B11" s="185"/>
      <c r="C11" s="186"/>
      <c r="D11" s="5" t="s">
        <v>27</v>
      </c>
      <c r="E11" s="15">
        <v>992804</v>
      </c>
      <c r="F11" s="124"/>
      <c r="J11" s="31" t="s">
        <v>28</v>
      </c>
      <c r="K11" s="120">
        <v>2500</v>
      </c>
      <c r="L11" s="120">
        <v>5000</v>
      </c>
      <c r="M11" s="119"/>
      <c r="N11" s="124"/>
      <c r="O11" s="124"/>
      <c r="P11" s="31" t="s">
        <v>290</v>
      </c>
      <c r="Q11" s="120">
        <v>300000</v>
      </c>
      <c r="R11" s="120">
        <v>325000</v>
      </c>
      <c r="S11" s="120"/>
      <c r="T11" s="124"/>
    </row>
    <row r="12" spans="1:20" ht="34" x14ac:dyDescent="0.2">
      <c r="C12" s="124"/>
      <c r="D12" s="5" t="s">
        <v>29</v>
      </c>
      <c r="E12" s="10" t="s">
        <v>164</v>
      </c>
      <c r="F12" s="139"/>
      <c r="J12" s="31" t="s">
        <v>30</v>
      </c>
      <c r="K12" s="120">
        <v>150000</v>
      </c>
      <c r="L12" s="120">
        <v>300000</v>
      </c>
      <c r="M12" s="119"/>
      <c r="N12" s="124"/>
      <c r="O12" s="124"/>
      <c r="P12" s="31" t="s">
        <v>291</v>
      </c>
      <c r="Q12" s="120">
        <v>150000</v>
      </c>
      <c r="R12" s="120">
        <v>175000</v>
      </c>
      <c r="S12" s="120"/>
      <c r="T12" s="124"/>
    </row>
    <row r="13" spans="1:20" ht="34" x14ac:dyDescent="0.2">
      <c r="A13" s="153" t="s">
        <v>31</v>
      </c>
      <c r="B13" s="154"/>
      <c r="C13" s="123"/>
      <c r="D13" s="5" t="s">
        <v>32</v>
      </c>
      <c r="E13" s="15"/>
      <c r="F13" s="139"/>
      <c r="J13" s="31" t="s">
        <v>33</v>
      </c>
      <c r="K13" s="120">
        <v>12500</v>
      </c>
      <c r="L13" s="120">
        <v>25000</v>
      </c>
      <c r="M13" s="119"/>
      <c r="N13" s="124"/>
      <c r="O13" s="124"/>
      <c r="P13" s="31" t="s">
        <v>292</v>
      </c>
      <c r="Q13" s="120">
        <v>150000</v>
      </c>
      <c r="R13" s="120">
        <v>150000</v>
      </c>
      <c r="S13" s="120"/>
      <c r="T13" s="124"/>
    </row>
    <row r="14" spans="1:20" ht="17" x14ac:dyDescent="0.2">
      <c r="A14" s="4" t="s">
        <v>34</v>
      </c>
      <c r="B14" s="61" t="s">
        <v>354</v>
      </c>
      <c r="C14" s="123"/>
      <c r="D14" s="5" t="s">
        <v>348</v>
      </c>
      <c r="E14" s="16"/>
      <c r="F14" s="126"/>
      <c r="J14" s="31" t="s">
        <v>36</v>
      </c>
      <c r="K14" s="120">
        <v>50000</v>
      </c>
      <c r="L14" s="120">
        <v>100000</v>
      </c>
      <c r="M14" s="119"/>
      <c r="N14" s="124"/>
      <c r="O14" s="124"/>
      <c r="P14" s="31" t="s">
        <v>293</v>
      </c>
      <c r="Q14" s="120">
        <v>15000</v>
      </c>
      <c r="R14" s="120">
        <v>15000</v>
      </c>
      <c r="S14" s="120"/>
      <c r="T14" s="124"/>
    </row>
    <row r="15" spans="1:20" ht="17" x14ac:dyDescent="0.2">
      <c r="A15" s="5" t="s">
        <v>37</v>
      </c>
      <c r="B15" s="10" t="s">
        <v>351</v>
      </c>
      <c r="C15" s="123"/>
      <c r="D15" s="6"/>
      <c r="E15" s="26"/>
      <c r="F15" s="126"/>
      <c r="J15" s="31" t="s">
        <v>38</v>
      </c>
      <c r="K15" s="120">
        <v>25000</v>
      </c>
      <c r="L15" s="120">
        <v>50000</v>
      </c>
      <c r="M15" s="119"/>
      <c r="N15" s="124"/>
      <c r="O15" s="124"/>
      <c r="P15" s="31" t="s">
        <v>294</v>
      </c>
      <c r="Q15" s="120">
        <v>50000</v>
      </c>
      <c r="R15" s="120">
        <v>50000</v>
      </c>
      <c r="S15" s="120"/>
      <c r="T15" s="124"/>
    </row>
    <row r="16" spans="1:20" ht="17" x14ac:dyDescent="0.2">
      <c r="A16" s="6" t="s">
        <v>39</v>
      </c>
      <c r="B16" s="155" t="s">
        <v>352</v>
      </c>
      <c r="C16" s="123"/>
      <c r="J16" s="31" t="s">
        <v>41</v>
      </c>
      <c r="K16" s="120">
        <v>25000</v>
      </c>
      <c r="L16" s="120">
        <v>50000</v>
      </c>
      <c r="M16" s="119"/>
      <c r="N16" s="124"/>
      <c r="O16" s="124"/>
      <c r="P16" s="31" t="s">
        <v>44</v>
      </c>
      <c r="Q16" s="120">
        <v>10000</v>
      </c>
      <c r="R16" s="120">
        <v>10000</v>
      </c>
      <c r="S16" s="120"/>
      <c r="T16" s="124"/>
    </row>
    <row r="17" spans="1:20" ht="19" x14ac:dyDescent="0.2">
      <c r="A17" s="5" t="s">
        <v>42</v>
      </c>
      <c r="B17" s="10" t="s">
        <v>180</v>
      </c>
      <c r="C17" s="123"/>
      <c r="D17" s="166" t="s">
        <v>57</v>
      </c>
      <c r="E17" s="167"/>
      <c r="F17" s="126"/>
      <c r="J17" s="31" t="s">
        <v>44</v>
      </c>
      <c r="K17" s="120">
        <v>5000</v>
      </c>
      <c r="L17" s="120">
        <v>10000</v>
      </c>
      <c r="M17" s="119"/>
      <c r="N17" s="124"/>
      <c r="O17" s="124"/>
      <c r="P17" s="31" t="s">
        <v>47</v>
      </c>
      <c r="Q17" s="120">
        <v>1000</v>
      </c>
      <c r="R17" s="120">
        <v>1000</v>
      </c>
      <c r="S17" s="120"/>
      <c r="T17" s="124"/>
    </row>
    <row r="18" spans="1:20" ht="17" x14ac:dyDescent="0.2">
      <c r="A18" s="5" t="s">
        <v>45</v>
      </c>
      <c r="B18" s="10" t="s">
        <v>177</v>
      </c>
      <c r="C18" s="123"/>
      <c r="D18" s="5" t="s">
        <v>304</v>
      </c>
      <c r="E18" s="208" t="s">
        <v>305</v>
      </c>
      <c r="F18" s="126"/>
      <c r="J18" s="31" t="s">
        <v>47</v>
      </c>
      <c r="K18" s="120">
        <v>500</v>
      </c>
      <c r="L18" s="120">
        <v>1000</v>
      </c>
      <c r="M18" s="119"/>
      <c r="N18" s="124"/>
      <c r="O18" s="124"/>
      <c r="P18" s="31" t="s">
        <v>295</v>
      </c>
      <c r="Q18" s="120">
        <v>300000</v>
      </c>
      <c r="R18" s="120">
        <v>300000</v>
      </c>
      <c r="S18" s="120"/>
      <c r="T18" s="124"/>
    </row>
    <row r="19" spans="1:20" ht="17" x14ac:dyDescent="0.2">
      <c r="A19" s="5" t="s">
        <v>48</v>
      </c>
      <c r="B19" s="27"/>
      <c r="C19" s="123"/>
      <c r="D19" s="5" t="s">
        <v>307</v>
      </c>
      <c r="E19" s="12"/>
      <c r="F19" s="124"/>
      <c r="J19" s="31" t="s">
        <v>50</v>
      </c>
      <c r="K19" s="120">
        <v>25000</v>
      </c>
      <c r="L19" s="120">
        <v>50000</v>
      </c>
      <c r="M19" s="119"/>
      <c r="N19" s="124"/>
      <c r="O19" s="124"/>
      <c r="P19" s="31" t="s">
        <v>296</v>
      </c>
      <c r="Q19" s="120">
        <v>5000</v>
      </c>
      <c r="R19" s="120">
        <v>5000</v>
      </c>
      <c r="S19" s="120"/>
      <c r="T19" s="124"/>
    </row>
    <row r="20" spans="1:20" ht="17" x14ac:dyDescent="0.2">
      <c r="A20" s="5" t="s">
        <v>51</v>
      </c>
      <c r="B20" s="27"/>
      <c r="C20" s="123"/>
      <c r="D20" s="5" t="s">
        <v>40</v>
      </c>
      <c r="E20" s="12">
        <v>300000</v>
      </c>
      <c r="F20" s="124"/>
      <c r="J20" s="31" t="s">
        <v>53</v>
      </c>
      <c r="K20" s="120">
        <v>500</v>
      </c>
      <c r="L20" s="120">
        <v>1000</v>
      </c>
      <c r="M20" s="119"/>
      <c r="N20" s="124"/>
      <c r="O20" s="124"/>
      <c r="P20" s="31" t="s">
        <v>297</v>
      </c>
      <c r="Q20" s="120">
        <v>20000</v>
      </c>
      <c r="R20" s="120">
        <v>20000</v>
      </c>
      <c r="S20" s="120"/>
      <c r="T20" s="124"/>
    </row>
    <row r="21" spans="1:20" ht="17" x14ac:dyDescent="0.2">
      <c r="A21" s="6" t="s">
        <v>54</v>
      </c>
      <c r="B21" s="26"/>
      <c r="C21" s="123"/>
      <c r="D21" s="5" t="s">
        <v>43</v>
      </c>
      <c r="E21" s="10" t="s">
        <v>177</v>
      </c>
      <c r="F21" s="124"/>
      <c r="J21" s="31" t="s">
        <v>55</v>
      </c>
      <c r="K21" s="120">
        <v>125000</v>
      </c>
      <c r="L21" s="120">
        <v>250000</v>
      </c>
      <c r="M21" s="119"/>
      <c r="N21" s="124"/>
      <c r="O21" s="124"/>
      <c r="P21" s="31" t="s">
        <v>55</v>
      </c>
      <c r="Q21" s="120">
        <v>250000</v>
      </c>
      <c r="R21" s="120">
        <v>250000</v>
      </c>
      <c r="S21" s="120"/>
      <c r="T21" s="124"/>
    </row>
    <row r="22" spans="1:20" ht="17" x14ac:dyDescent="0.2">
      <c r="A22" s="5" t="s">
        <v>56</v>
      </c>
      <c r="B22" s="12">
        <v>54182</v>
      </c>
      <c r="C22" s="123"/>
      <c r="D22" s="5" t="s">
        <v>46</v>
      </c>
      <c r="E22" s="15"/>
      <c r="F22" s="124"/>
      <c r="J22" s="31" t="s">
        <v>58</v>
      </c>
      <c r="K22" s="120">
        <v>125000</v>
      </c>
      <c r="L22" s="120">
        <v>250000</v>
      </c>
      <c r="M22" s="119"/>
      <c r="N22" s="124"/>
      <c r="O22" s="124"/>
      <c r="P22" s="31" t="s">
        <v>58</v>
      </c>
      <c r="Q22" s="120">
        <v>250000</v>
      </c>
      <c r="R22" s="120">
        <v>250000</v>
      </c>
      <c r="S22" s="120"/>
      <c r="T22" s="124"/>
    </row>
    <row r="23" spans="1:20" ht="17" x14ac:dyDescent="0.2">
      <c r="A23" s="5" t="s">
        <v>59</v>
      </c>
      <c r="B23" s="24"/>
      <c r="C23" s="123"/>
      <c r="D23" s="5" t="s">
        <v>49</v>
      </c>
      <c r="E23" s="10" t="s">
        <v>164</v>
      </c>
      <c r="F23" s="124"/>
      <c r="J23" s="31" t="s">
        <v>61</v>
      </c>
      <c r="K23" s="120">
        <v>125000</v>
      </c>
      <c r="L23" s="120">
        <v>250000</v>
      </c>
      <c r="M23" s="119"/>
      <c r="N23" s="124"/>
      <c r="O23" s="124"/>
      <c r="P23" s="31" t="s">
        <v>61</v>
      </c>
      <c r="Q23" s="120">
        <v>250000</v>
      </c>
      <c r="R23" s="120">
        <v>250000</v>
      </c>
      <c r="S23" s="120"/>
      <c r="T23" s="124"/>
    </row>
    <row r="24" spans="1:20" ht="17" x14ac:dyDescent="0.2">
      <c r="A24" s="4" t="s">
        <v>62</v>
      </c>
      <c r="B24" s="61" t="s">
        <v>170</v>
      </c>
      <c r="C24" s="123"/>
      <c r="D24" s="6" t="s">
        <v>52</v>
      </c>
      <c r="E24" s="13">
        <v>1000000</v>
      </c>
      <c r="F24" s="124"/>
      <c r="J24" s="31" t="s">
        <v>64</v>
      </c>
      <c r="K24" s="120">
        <v>300000</v>
      </c>
      <c r="L24" s="120">
        <v>500000</v>
      </c>
      <c r="M24" s="119"/>
      <c r="N24" s="124"/>
      <c r="O24" s="124"/>
      <c r="P24" s="31" t="s">
        <v>298</v>
      </c>
      <c r="Q24" s="120">
        <v>50000</v>
      </c>
      <c r="R24" s="120">
        <v>50000</v>
      </c>
      <c r="S24" s="120"/>
      <c r="T24" s="124"/>
    </row>
    <row r="25" spans="1:20" s="1" customFormat="1" ht="19" x14ac:dyDescent="0.2">
      <c r="A25" s="5" t="s">
        <v>65</v>
      </c>
      <c r="B25" s="24">
        <v>45930</v>
      </c>
      <c r="C25" s="123"/>
      <c r="D25" s="4" t="s">
        <v>60</v>
      </c>
      <c r="E25" s="14">
        <v>75000</v>
      </c>
      <c r="F25" s="124"/>
      <c r="G25" s="29"/>
      <c r="H25" s="29"/>
      <c r="J25" s="31" t="s">
        <v>67</v>
      </c>
      <c r="K25" s="120">
        <v>300000</v>
      </c>
      <c r="L25" s="120">
        <v>500000</v>
      </c>
      <c r="M25" s="119"/>
      <c r="N25" s="124"/>
      <c r="O25" s="124"/>
      <c r="P25" s="31" t="s">
        <v>80</v>
      </c>
      <c r="Q25" s="120">
        <v>15000</v>
      </c>
      <c r="R25" s="120">
        <v>15000</v>
      </c>
      <c r="S25" s="120"/>
      <c r="T25" s="131"/>
    </row>
    <row r="26" spans="1:20" s="1" customFormat="1" ht="19" x14ac:dyDescent="0.2">
      <c r="A26" s="5" t="s">
        <v>249</v>
      </c>
      <c r="B26" s="24" t="s">
        <v>252</v>
      </c>
      <c r="C26" s="123"/>
      <c r="D26" s="5" t="s">
        <v>63</v>
      </c>
      <c r="E26" s="12"/>
      <c r="F26" s="124"/>
      <c r="G26" s="29"/>
      <c r="H26" s="29"/>
      <c r="J26" s="31" t="s">
        <v>70</v>
      </c>
      <c r="K26" s="120">
        <v>5000</v>
      </c>
      <c r="L26" s="120">
        <v>10000</v>
      </c>
      <c r="M26" s="119"/>
      <c r="N26" s="124"/>
      <c r="O26" s="124"/>
      <c r="P26" s="31" t="s">
        <v>82</v>
      </c>
      <c r="Q26" s="120">
        <v>5000</v>
      </c>
      <c r="R26" s="120">
        <v>5000</v>
      </c>
      <c r="S26" s="120"/>
      <c r="T26" s="131"/>
    </row>
    <row r="27" spans="1:20" ht="17" x14ac:dyDescent="0.2">
      <c r="A27" s="6" t="s">
        <v>68</v>
      </c>
      <c r="B27" s="62" t="s">
        <v>168</v>
      </c>
      <c r="C27" s="123"/>
      <c r="D27" s="5" t="s">
        <v>310</v>
      </c>
      <c r="E27" s="12"/>
      <c r="F27" s="124"/>
      <c r="J27" s="31" t="s">
        <v>73</v>
      </c>
      <c r="K27" s="120">
        <v>5000</v>
      </c>
      <c r="L27" s="120">
        <v>10000</v>
      </c>
      <c r="M27" s="119"/>
      <c r="N27" s="124"/>
      <c r="O27" s="124"/>
      <c r="P27" s="31" t="s">
        <v>84</v>
      </c>
      <c r="Q27" s="120">
        <v>25000</v>
      </c>
      <c r="R27" s="120">
        <v>25000</v>
      </c>
      <c r="S27" s="120"/>
      <c r="T27" s="124"/>
    </row>
    <row r="28" spans="1:20" ht="17" x14ac:dyDescent="0.2">
      <c r="A28" s="5" t="s">
        <v>71</v>
      </c>
      <c r="B28" s="10" t="s">
        <v>355</v>
      </c>
      <c r="C28" s="123"/>
      <c r="D28" s="5" t="s">
        <v>313</v>
      </c>
      <c r="E28" s="12"/>
      <c r="F28" s="124"/>
      <c r="J28" s="31" t="s">
        <v>76</v>
      </c>
      <c r="K28" s="120">
        <v>5000</v>
      </c>
      <c r="L28" s="120">
        <v>10000</v>
      </c>
      <c r="M28" s="119"/>
      <c r="N28" s="124"/>
      <c r="O28" s="124"/>
      <c r="P28" s="31" t="s">
        <v>90</v>
      </c>
      <c r="Q28" s="120">
        <v>15000</v>
      </c>
      <c r="R28" s="120">
        <v>15000</v>
      </c>
      <c r="S28" s="120"/>
      <c r="T28" s="124"/>
    </row>
    <row r="29" spans="1:20" ht="17" x14ac:dyDescent="0.2">
      <c r="A29" s="5" t="s">
        <v>74</v>
      </c>
      <c r="B29" s="10" t="s">
        <v>356</v>
      </c>
      <c r="C29" s="123"/>
      <c r="D29" s="5" t="s">
        <v>314</v>
      </c>
      <c r="E29" s="12"/>
      <c r="F29" s="124"/>
      <c r="J29" s="31" t="s">
        <v>78</v>
      </c>
      <c r="K29" s="120">
        <v>10000</v>
      </c>
      <c r="L29" s="120">
        <v>20000</v>
      </c>
      <c r="M29" s="119"/>
      <c r="N29" s="124"/>
      <c r="O29" s="124"/>
      <c r="P29" s="31" t="s">
        <v>91</v>
      </c>
      <c r="Q29" s="120">
        <v>5000</v>
      </c>
      <c r="R29" s="120">
        <v>5000</v>
      </c>
      <c r="S29" s="120"/>
      <c r="T29" s="124"/>
    </row>
    <row r="30" spans="1:20" ht="17" x14ac:dyDescent="0.2">
      <c r="A30" s="5" t="s">
        <v>77</v>
      </c>
      <c r="B30" s="10" t="s">
        <v>353</v>
      </c>
      <c r="C30" s="123"/>
      <c r="D30" s="6" t="s">
        <v>315</v>
      </c>
      <c r="E30" s="140"/>
      <c r="F30" s="126"/>
      <c r="J30" s="31" t="s">
        <v>80</v>
      </c>
      <c r="K30" s="120">
        <v>7500</v>
      </c>
      <c r="L30" s="120">
        <v>15000</v>
      </c>
      <c r="M30" s="119"/>
      <c r="N30" s="124"/>
      <c r="O30" s="124"/>
      <c r="P30" s="31" t="s">
        <v>299</v>
      </c>
      <c r="Q30" s="120">
        <v>300000</v>
      </c>
      <c r="R30" s="120">
        <v>300000</v>
      </c>
      <c r="S30" s="120"/>
      <c r="T30" s="124"/>
    </row>
    <row r="31" spans="1:20" ht="17" x14ac:dyDescent="0.2">
      <c r="A31" s="6" t="s">
        <v>79</v>
      </c>
      <c r="B31" s="62">
        <v>95949</v>
      </c>
      <c r="C31" s="123"/>
      <c r="D31" s="28"/>
      <c r="E31" s="28"/>
      <c r="J31" s="31" t="s">
        <v>82</v>
      </c>
      <c r="K31" s="120">
        <v>2500</v>
      </c>
      <c r="L31" s="120">
        <v>5000</v>
      </c>
      <c r="M31" s="119"/>
      <c r="N31" s="124"/>
      <c r="O31" s="124"/>
      <c r="P31" s="60" t="s">
        <v>300</v>
      </c>
      <c r="Q31" s="122">
        <v>10000</v>
      </c>
      <c r="R31" s="122">
        <v>10000</v>
      </c>
      <c r="S31" s="122"/>
      <c r="T31" s="124"/>
    </row>
    <row r="32" spans="1:20" ht="20" x14ac:dyDescent="0.2">
      <c r="B32" s="62"/>
      <c r="C32" s="123"/>
      <c r="D32" s="147" t="s">
        <v>346</v>
      </c>
      <c r="E32" s="147"/>
      <c r="F32" s="148" t="s">
        <v>81</v>
      </c>
      <c r="G32" s="149"/>
      <c r="J32" s="31" t="s">
        <v>84</v>
      </c>
      <c r="K32" s="120">
        <v>12500</v>
      </c>
      <c r="L32" s="120">
        <v>25000</v>
      </c>
      <c r="M32" s="119"/>
      <c r="N32" s="124"/>
      <c r="O32" s="124"/>
      <c r="Q32"/>
      <c r="R32"/>
      <c r="S32"/>
      <c r="T32"/>
    </row>
    <row r="33" spans="1:20" ht="19" x14ac:dyDescent="0.2">
      <c r="A33" s="73" t="s">
        <v>83</v>
      </c>
      <c r="B33" s="74"/>
      <c r="C33" s="123"/>
      <c r="D33" s="143" t="s">
        <v>316</v>
      </c>
      <c r="E33" s="144" t="b">
        <v>1</v>
      </c>
      <c r="F33" s="150" t="s">
        <v>317</v>
      </c>
      <c r="G33" s="156">
        <v>3360</v>
      </c>
      <c r="H33" s="124"/>
      <c r="I33" s="124"/>
      <c r="J33" s="31" t="s">
        <v>86</v>
      </c>
      <c r="K33" s="120">
        <v>150000</v>
      </c>
      <c r="L33" s="120">
        <v>300000</v>
      </c>
      <c r="M33" s="119"/>
      <c r="N33" s="124"/>
      <c r="O33" s="124"/>
      <c r="Q33"/>
      <c r="R33"/>
      <c r="S33"/>
      <c r="T33"/>
    </row>
    <row r="34" spans="1:20" ht="17" x14ac:dyDescent="0.2">
      <c r="A34" s="4" t="s">
        <v>85</v>
      </c>
      <c r="B34" s="61" t="s">
        <v>357</v>
      </c>
      <c r="C34" s="123"/>
      <c r="D34" s="143" t="s">
        <v>318</v>
      </c>
      <c r="E34" s="144" t="b">
        <v>1</v>
      </c>
      <c r="F34" s="150" t="s">
        <v>319</v>
      </c>
      <c r="G34" s="156">
        <v>1400</v>
      </c>
      <c r="H34" s="124"/>
      <c r="I34" s="124"/>
      <c r="J34" s="31" t="s">
        <v>88</v>
      </c>
      <c r="K34" s="120">
        <v>25000</v>
      </c>
      <c r="L34" s="120">
        <v>50000</v>
      </c>
      <c r="M34" s="119"/>
      <c r="N34" s="124"/>
      <c r="O34" s="124"/>
      <c r="Q34"/>
      <c r="R34"/>
      <c r="S34"/>
      <c r="T34"/>
    </row>
    <row r="35" spans="1:20" ht="17" x14ac:dyDescent="0.2">
      <c r="A35" s="5" t="s">
        <v>87</v>
      </c>
      <c r="B35" s="10"/>
      <c r="C35" s="123"/>
      <c r="D35" s="143" t="s">
        <v>320</v>
      </c>
      <c r="E35" s="144"/>
      <c r="F35" s="150" t="s">
        <v>321</v>
      </c>
      <c r="G35" s="156"/>
      <c r="H35" s="124"/>
      <c r="I35" s="124"/>
      <c r="J35" s="31" t="s">
        <v>90</v>
      </c>
      <c r="K35" s="120">
        <v>7500</v>
      </c>
      <c r="L35" s="120">
        <v>15000</v>
      </c>
      <c r="M35" s="119"/>
      <c r="N35" s="124"/>
      <c r="O35" s="124"/>
      <c r="Q35"/>
      <c r="R35"/>
      <c r="S35"/>
      <c r="T35"/>
    </row>
    <row r="36" spans="1:20" ht="17" x14ac:dyDescent="0.2">
      <c r="A36" s="6" t="s">
        <v>89</v>
      </c>
      <c r="B36" s="62"/>
      <c r="C36" s="123"/>
      <c r="D36" s="143" t="s">
        <v>215</v>
      </c>
      <c r="E36" s="144"/>
      <c r="F36" s="150" t="s">
        <v>322</v>
      </c>
      <c r="G36" s="146"/>
      <c r="H36" s="124"/>
      <c r="I36" s="124"/>
      <c r="J36" s="31" t="s">
        <v>91</v>
      </c>
      <c r="K36" s="120">
        <v>2500</v>
      </c>
      <c r="L36" s="120">
        <v>5000</v>
      </c>
      <c r="M36" s="119"/>
      <c r="N36" s="124"/>
      <c r="O36" s="124"/>
      <c r="Q36"/>
      <c r="R36"/>
      <c r="S36"/>
      <c r="T36"/>
    </row>
    <row r="37" spans="1:20" ht="17" x14ac:dyDescent="0.2">
      <c r="C37" s="123"/>
      <c r="D37" s="179" t="s">
        <v>323</v>
      </c>
      <c r="E37" s="181"/>
      <c r="F37" s="150" t="s">
        <v>324</v>
      </c>
      <c r="G37" s="146"/>
      <c r="H37" s="124"/>
      <c r="I37" s="124"/>
      <c r="J37" s="31" t="s">
        <v>93</v>
      </c>
      <c r="K37" s="120">
        <v>25000</v>
      </c>
      <c r="L37" s="120">
        <v>50000</v>
      </c>
      <c r="M37" s="119"/>
      <c r="N37" s="124"/>
      <c r="O37" s="124"/>
      <c r="Q37"/>
      <c r="R37"/>
      <c r="S37"/>
      <c r="T37"/>
    </row>
    <row r="38" spans="1:20" ht="19" x14ac:dyDescent="0.2">
      <c r="A38" s="73" t="s">
        <v>92</v>
      </c>
      <c r="B38" s="74"/>
      <c r="C38" s="123"/>
      <c r="D38" s="179"/>
      <c r="E38" s="181"/>
      <c r="F38" s="150" t="s">
        <v>325</v>
      </c>
      <c r="G38" s="146"/>
      <c r="H38" s="124"/>
      <c r="I38" s="124"/>
      <c r="J38" s="31" t="s">
        <v>95</v>
      </c>
      <c r="K38" s="120">
        <v>7500</v>
      </c>
      <c r="L38" s="120">
        <v>15000</v>
      </c>
      <c r="M38" s="119"/>
      <c r="N38" s="124"/>
      <c r="O38" s="124"/>
      <c r="Q38"/>
      <c r="R38"/>
      <c r="S38"/>
      <c r="T38"/>
    </row>
    <row r="39" spans="1:20" ht="17" x14ac:dyDescent="0.2">
      <c r="A39" s="4" t="s">
        <v>94</v>
      </c>
      <c r="B39" s="10" t="s">
        <v>358</v>
      </c>
      <c r="C39" s="123"/>
      <c r="D39" s="179"/>
      <c r="E39" s="181"/>
      <c r="F39" s="150" t="s">
        <v>326</v>
      </c>
      <c r="G39" s="146"/>
      <c r="H39" s="124"/>
      <c r="I39" s="124"/>
      <c r="J39" s="31" t="s">
        <v>97</v>
      </c>
      <c r="K39" s="120">
        <v>12500</v>
      </c>
      <c r="L39" s="120">
        <v>25000</v>
      </c>
      <c r="M39" s="119"/>
      <c r="N39" s="124"/>
      <c r="O39" s="124"/>
      <c r="Q39"/>
      <c r="R39"/>
      <c r="S39"/>
      <c r="T39"/>
    </row>
    <row r="40" spans="1:20" ht="18" thickBot="1" x14ac:dyDescent="0.25">
      <c r="A40" s="5" t="s">
        <v>96</v>
      </c>
      <c r="B40" s="10" t="s">
        <v>356</v>
      </c>
      <c r="C40" s="123"/>
      <c r="D40" s="179"/>
      <c r="E40" s="181"/>
      <c r="F40" s="150" t="s">
        <v>327</v>
      </c>
      <c r="G40" s="146"/>
      <c r="H40" s="124"/>
      <c r="I40" s="124"/>
      <c r="J40" s="135" t="s">
        <v>99</v>
      </c>
      <c r="K40" s="121">
        <v>25000</v>
      </c>
      <c r="L40" s="121">
        <v>75000</v>
      </c>
      <c r="M40" s="119"/>
      <c r="N40" s="124"/>
      <c r="O40" s="124"/>
      <c r="Q40"/>
      <c r="R40"/>
      <c r="S40"/>
      <c r="T40"/>
    </row>
    <row r="41" spans="1:20" x14ac:dyDescent="0.2">
      <c r="A41" s="5" t="s">
        <v>98</v>
      </c>
      <c r="B41" s="10" t="s">
        <v>353</v>
      </c>
      <c r="C41" s="123"/>
      <c r="D41" s="179"/>
      <c r="E41" s="181"/>
      <c r="F41" s="150" t="s">
        <v>328</v>
      </c>
      <c r="G41" s="146"/>
      <c r="H41" s="124"/>
      <c r="I41" s="124"/>
      <c r="J41" s="136" t="s">
        <v>101</v>
      </c>
      <c r="K41" s="122" t="s">
        <v>102</v>
      </c>
      <c r="L41" s="122" t="s">
        <v>102</v>
      </c>
      <c r="M41" s="122"/>
      <c r="N41" s="124"/>
      <c r="O41" s="124"/>
      <c r="Q41"/>
      <c r="R41"/>
      <c r="S41"/>
      <c r="T41"/>
    </row>
    <row r="42" spans="1:20" ht="17" x14ac:dyDescent="0.2">
      <c r="A42" s="6" t="s">
        <v>100</v>
      </c>
      <c r="B42" s="62">
        <v>95949</v>
      </c>
      <c r="C42" s="123"/>
      <c r="D42" s="179"/>
      <c r="E42" s="181"/>
      <c r="F42" s="28" t="s">
        <v>347</v>
      </c>
      <c r="G42" s="146"/>
      <c r="H42" s="124"/>
      <c r="I42" s="124"/>
      <c r="O42" s="124"/>
      <c r="Q42"/>
      <c r="R42"/>
      <c r="S42"/>
      <c r="T42"/>
    </row>
    <row r="43" spans="1:20" x14ac:dyDescent="0.2">
      <c r="A43" s="5" t="s">
        <v>248</v>
      </c>
      <c r="B43" s="62" t="s">
        <v>359</v>
      </c>
      <c r="C43" s="123"/>
      <c r="D43" s="143" t="s">
        <v>329</v>
      </c>
      <c r="E43" s="144" t="b">
        <v>1</v>
      </c>
      <c r="F43" s="150" t="s">
        <v>330</v>
      </c>
      <c r="G43" s="146">
        <v>1</v>
      </c>
      <c r="H43" s="124"/>
      <c r="I43" s="124"/>
      <c r="J43"/>
      <c r="K43" s="111"/>
      <c r="L43"/>
      <c r="M43"/>
      <c r="Q43"/>
      <c r="R43"/>
      <c r="S43"/>
      <c r="T43"/>
    </row>
    <row r="44" spans="1:20" x14ac:dyDescent="0.2">
      <c r="A44" s="4" t="s">
        <v>103</v>
      </c>
      <c r="B44" s="61">
        <v>2012</v>
      </c>
      <c r="C44" s="123"/>
      <c r="D44" s="143" t="s">
        <v>331</v>
      </c>
      <c r="E44" s="144"/>
      <c r="F44" s="2"/>
      <c r="G44" s="2"/>
      <c r="H44" s="124"/>
      <c r="I44" s="124"/>
      <c r="J44"/>
      <c r="K44"/>
      <c r="L44"/>
      <c r="M44"/>
      <c r="N44"/>
      <c r="O44"/>
      <c r="Q44"/>
      <c r="R44"/>
      <c r="S44"/>
      <c r="T44"/>
    </row>
    <row r="45" spans="1:20" x14ac:dyDescent="0.2">
      <c r="A45" s="5" t="s">
        <v>104</v>
      </c>
      <c r="B45" s="9">
        <v>1</v>
      </c>
      <c r="C45" s="123"/>
      <c r="D45" s="143" t="s">
        <v>309</v>
      </c>
      <c r="E45" s="144" t="b">
        <v>1</v>
      </c>
      <c r="F45" s="150" t="s">
        <v>332</v>
      </c>
      <c r="G45" s="156">
        <v>4000</v>
      </c>
      <c r="H45" s="124"/>
      <c r="I45" s="124"/>
      <c r="J45"/>
      <c r="K45"/>
      <c r="L45"/>
      <c r="M45"/>
      <c r="N45"/>
      <c r="O45"/>
      <c r="P45"/>
      <c r="Q45"/>
      <c r="R45"/>
      <c r="S45"/>
    </row>
    <row r="46" spans="1:20" x14ac:dyDescent="0.2">
      <c r="A46" s="5" t="s">
        <v>265</v>
      </c>
      <c r="B46" s="9">
        <v>4</v>
      </c>
      <c r="C46" s="123"/>
      <c r="D46" s="143" t="s">
        <v>333</v>
      </c>
      <c r="E46" s="144"/>
      <c r="F46" s="150" t="s">
        <v>334</v>
      </c>
      <c r="G46" s="146"/>
      <c r="H46" s="124"/>
      <c r="I46" s="124"/>
    </row>
    <row r="47" spans="1:20" x14ac:dyDescent="0.2">
      <c r="A47" s="2" t="s">
        <v>269</v>
      </c>
      <c r="B47" s="9" t="s">
        <v>266</v>
      </c>
      <c r="C47" s="123"/>
      <c r="D47" s="179" t="s">
        <v>335</v>
      </c>
      <c r="E47" s="180"/>
      <c r="F47" s="150" t="s">
        <v>336</v>
      </c>
      <c r="G47" s="146"/>
      <c r="H47" s="124"/>
      <c r="I47" s="124"/>
    </row>
    <row r="48" spans="1:20" x14ac:dyDescent="0.2">
      <c r="A48" s="5" t="s">
        <v>270</v>
      </c>
      <c r="B48" s="9">
        <v>33</v>
      </c>
      <c r="C48" s="123"/>
      <c r="D48" s="179"/>
      <c r="E48" s="180"/>
      <c r="F48" s="150" t="s">
        <v>337</v>
      </c>
      <c r="G48" s="146"/>
      <c r="H48" s="124"/>
      <c r="I48" s="124"/>
    </row>
    <row r="49" spans="1:9" x14ac:dyDescent="0.2">
      <c r="A49" s="5" t="s">
        <v>271</v>
      </c>
      <c r="B49" s="27"/>
      <c r="C49" s="123"/>
      <c r="D49" s="179"/>
      <c r="E49" s="180"/>
      <c r="F49" s="150" t="s">
        <v>338</v>
      </c>
      <c r="G49" s="146"/>
      <c r="H49" s="124"/>
      <c r="I49" s="124"/>
    </row>
    <row r="50" spans="1:9" x14ac:dyDescent="0.25">
      <c r="A50" s="5" t="s">
        <v>272</v>
      </c>
      <c r="B50" s="157"/>
      <c r="C50" s="124"/>
      <c r="D50" s="179"/>
      <c r="E50" s="180"/>
      <c r="F50" s="150" t="s">
        <v>339</v>
      </c>
      <c r="G50" s="146"/>
      <c r="H50" s="124"/>
      <c r="I50" s="124"/>
    </row>
    <row r="51" spans="1:9" x14ac:dyDescent="0.2">
      <c r="A51" s="5" t="s">
        <v>273</v>
      </c>
      <c r="B51" s="27"/>
      <c r="C51" s="124"/>
      <c r="D51" s="143" t="s">
        <v>340</v>
      </c>
      <c r="E51" s="144"/>
      <c r="F51" s="150" t="s">
        <v>350</v>
      </c>
      <c r="G51" s="146"/>
      <c r="H51" s="124"/>
      <c r="I51" s="124"/>
    </row>
    <row r="52" spans="1:9" x14ac:dyDescent="0.2">
      <c r="A52" s="5" t="s">
        <v>274</v>
      </c>
      <c r="B52" s="27"/>
      <c r="C52" s="124"/>
      <c r="D52" s="143" t="s">
        <v>341</v>
      </c>
      <c r="E52" s="144"/>
      <c r="F52" s="150" t="s">
        <v>342</v>
      </c>
      <c r="G52" s="156"/>
      <c r="H52" s="124"/>
      <c r="I52" s="124"/>
    </row>
    <row r="53" spans="1:9" x14ac:dyDescent="0.2">
      <c r="A53" s="5" t="s">
        <v>105</v>
      </c>
      <c r="B53" s="9" t="s">
        <v>165</v>
      </c>
      <c r="C53" s="124"/>
      <c r="D53" s="143" t="s">
        <v>343</v>
      </c>
      <c r="E53" s="144"/>
      <c r="F53" s="150" t="s">
        <v>344</v>
      </c>
      <c r="G53" s="146"/>
      <c r="H53" s="124"/>
      <c r="I53" s="124"/>
    </row>
    <row r="54" spans="1:9" x14ac:dyDescent="0.2">
      <c r="A54" s="2" t="s">
        <v>275</v>
      </c>
      <c r="B54" s="9" t="s">
        <v>177</v>
      </c>
      <c r="C54" s="124"/>
      <c r="D54" s="145" t="s">
        <v>345</v>
      </c>
      <c r="E54" s="146"/>
      <c r="F54" s="2"/>
      <c r="H54" s="124"/>
      <c r="I54" s="124"/>
    </row>
    <row r="55" spans="1:9" x14ac:dyDescent="0.2">
      <c r="A55" s="2" t="s">
        <v>280</v>
      </c>
      <c r="B55" s="9"/>
      <c r="C55" s="124"/>
      <c r="E55" s="2"/>
      <c r="F55" s="2"/>
      <c r="H55" s="2"/>
    </row>
    <row r="56" spans="1:9" ht="19" x14ac:dyDescent="0.2">
      <c r="A56" s="5" t="s">
        <v>106</v>
      </c>
      <c r="B56" s="10" t="s">
        <v>197</v>
      </c>
      <c r="C56" s="124"/>
      <c r="D56" s="73" t="s">
        <v>114</v>
      </c>
      <c r="E56" s="74"/>
      <c r="F56" s="2"/>
    </row>
    <row r="57" spans="1:9" x14ac:dyDescent="0.2">
      <c r="A57" s="2" t="s">
        <v>281</v>
      </c>
      <c r="B57" s="116" t="s">
        <v>277</v>
      </c>
      <c r="C57" s="124"/>
      <c r="D57" s="4" t="s">
        <v>116</v>
      </c>
      <c r="E57" s="33">
        <v>1</v>
      </c>
      <c r="F57" s="124"/>
    </row>
    <row r="58" spans="1:9" x14ac:dyDescent="0.2">
      <c r="A58" s="5" t="s">
        <v>107</v>
      </c>
      <c r="B58" s="9">
        <v>29394</v>
      </c>
      <c r="C58" s="124"/>
      <c r="D58" s="5" t="s">
        <v>117</v>
      </c>
      <c r="E58" s="27" t="s">
        <v>177</v>
      </c>
      <c r="F58" s="124"/>
    </row>
    <row r="59" spans="1:9" x14ac:dyDescent="0.2">
      <c r="A59" s="5" t="s">
        <v>108</v>
      </c>
      <c r="B59" s="9">
        <v>8760</v>
      </c>
      <c r="C59" s="124"/>
      <c r="D59" s="5" t="s">
        <v>118</v>
      </c>
      <c r="E59" s="27" t="s">
        <v>177</v>
      </c>
      <c r="F59" s="124"/>
    </row>
    <row r="60" spans="1:9" x14ac:dyDescent="0.2">
      <c r="A60" s="6" t="s">
        <v>109</v>
      </c>
      <c r="B60" s="11"/>
      <c r="C60" s="124"/>
      <c r="D60" s="5" t="s">
        <v>119</v>
      </c>
      <c r="F60" s="124"/>
    </row>
    <row r="61" spans="1:9" x14ac:dyDescent="0.2">
      <c r="A61" s="4" t="s">
        <v>110</v>
      </c>
      <c r="B61" s="33"/>
      <c r="C61" s="125"/>
      <c r="D61" s="5" t="s">
        <v>121</v>
      </c>
      <c r="E61" s="27" t="s">
        <v>177</v>
      </c>
      <c r="F61" s="124"/>
    </row>
    <row r="62" spans="1:9" ht="17" x14ac:dyDescent="0.2">
      <c r="A62" s="5" t="s">
        <v>111</v>
      </c>
      <c r="B62" s="27"/>
      <c r="C62" s="125"/>
      <c r="D62" s="60" t="s">
        <v>123</v>
      </c>
      <c r="E62" s="27" t="s">
        <v>177</v>
      </c>
      <c r="F62" s="124"/>
    </row>
    <row r="63" spans="1:9" x14ac:dyDescent="0.2">
      <c r="A63" s="5" t="s">
        <v>112</v>
      </c>
      <c r="B63" s="33"/>
      <c r="C63" s="125"/>
    </row>
    <row r="64" spans="1:9" ht="19" x14ac:dyDescent="0.2">
      <c r="A64" s="63" t="s">
        <v>282</v>
      </c>
      <c r="B64" s="27"/>
      <c r="C64" s="125"/>
      <c r="D64" s="137" t="s">
        <v>126</v>
      </c>
      <c r="E64" s="138"/>
      <c r="F64" s="2"/>
    </row>
    <row r="65" spans="1:6" ht="34" x14ac:dyDescent="0.2">
      <c r="A65" s="5" t="s">
        <v>113</v>
      </c>
      <c r="B65" s="33"/>
      <c r="C65" s="125"/>
      <c r="D65" s="70" t="s">
        <v>128</v>
      </c>
      <c r="E65" s="141" t="s">
        <v>177</v>
      </c>
      <c r="F65" s="114"/>
    </row>
    <row r="66" spans="1:6" ht="17" x14ac:dyDescent="0.2">
      <c r="A66" s="5" t="s">
        <v>283</v>
      </c>
      <c r="B66" s="27"/>
      <c r="C66" s="125"/>
      <c r="D66" s="70" t="s">
        <v>256</v>
      </c>
      <c r="E66" s="113"/>
      <c r="F66" s="35"/>
    </row>
    <row r="67" spans="1:6" x14ac:dyDescent="0.2">
      <c r="A67" s="5" t="s">
        <v>115</v>
      </c>
      <c r="B67" s="33"/>
      <c r="C67" s="125"/>
      <c r="D67" s="172" t="s">
        <v>257</v>
      </c>
      <c r="E67" s="169"/>
      <c r="F67" s="173"/>
    </row>
    <row r="68" spans="1:6" x14ac:dyDescent="0.2">
      <c r="A68" s="63" t="s">
        <v>284</v>
      </c>
      <c r="B68" s="27"/>
      <c r="C68" s="125"/>
      <c r="D68" s="174"/>
      <c r="E68" s="171"/>
      <c r="F68" s="173"/>
    </row>
    <row r="69" spans="1:6" ht="15.75" customHeight="1" x14ac:dyDescent="0.2">
      <c r="A69" s="5" t="s">
        <v>120</v>
      </c>
      <c r="B69" s="10" t="s">
        <v>164</v>
      </c>
      <c r="C69" s="124"/>
      <c r="D69" s="172" t="s">
        <v>258</v>
      </c>
      <c r="E69" s="169"/>
      <c r="F69" s="205"/>
    </row>
    <row r="70" spans="1:6" x14ac:dyDescent="0.2">
      <c r="A70" s="5" t="s">
        <v>122</v>
      </c>
      <c r="B70" s="10" t="s">
        <v>172</v>
      </c>
      <c r="C70" s="124"/>
      <c r="D70" s="173"/>
      <c r="E70" s="170"/>
      <c r="F70" s="205"/>
    </row>
    <row r="71" spans="1:6" x14ac:dyDescent="0.2">
      <c r="A71" s="5" t="s">
        <v>124</v>
      </c>
      <c r="B71" s="10" t="s">
        <v>184</v>
      </c>
      <c r="C71" s="125"/>
      <c r="D71" s="174"/>
      <c r="E71" s="171"/>
      <c r="F71" s="205"/>
    </row>
    <row r="72" spans="1:6" x14ac:dyDescent="0.2">
      <c r="A72" s="5" t="s">
        <v>125</v>
      </c>
      <c r="B72" s="10" t="s">
        <v>177</v>
      </c>
      <c r="C72" s="125"/>
      <c r="D72" s="172" t="s">
        <v>132</v>
      </c>
      <c r="E72" s="203" t="s">
        <v>177</v>
      </c>
      <c r="F72" s="168"/>
    </row>
    <row r="73" spans="1:6" x14ac:dyDescent="0.2">
      <c r="A73" s="2" t="s">
        <v>285</v>
      </c>
      <c r="B73" s="27"/>
      <c r="C73" s="125"/>
      <c r="D73" s="174"/>
      <c r="E73" s="204"/>
      <c r="F73" s="168"/>
    </row>
    <row r="74" spans="1:6" ht="17" x14ac:dyDescent="0.2">
      <c r="A74" s="5" t="s">
        <v>127</v>
      </c>
      <c r="B74" s="10" t="s">
        <v>177</v>
      </c>
      <c r="C74" s="125"/>
      <c r="D74" s="70" t="s">
        <v>303</v>
      </c>
      <c r="E74" s="142"/>
      <c r="F74" s="165"/>
    </row>
    <row r="75" spans="1:6" x14ac:dyDescent="0.2">
      <c r="A75" s="2" t="s">
        <v>286</v>
      </c>
      <c r="B75" s="117"/>
      <c r="C75" s="125"/>
      <c r="D75" s="60"/>
      <c r="E75" s="79"/>
      <c r="F75" s="165"/>
    </row>
    <row r="76" spans="1:6" ht="17" x14ac:dyDescent="0.2">
      <c r="A76" s="70" t="s">
        <v>129</v>
      </c>
      <c r="B76" s="61" t="s">
        <v>177</v>
      </c>
      <c r="C76" s="125"/>
    </row>
    <row r="77" spans="1:6" ht="17" x14ac:dyDescent="0.2">
      <c r="A77" s="31" t="s">
        <v>130</v>
      </c>
      <c r="B77" s="27"/>
      <c r="C77" s="125"/>
    </row>
    <row r="78" spans="1:6" ht="15.75" customHeight="1" x14ac:dyDescent="0.2">
      <c r="A78" s="31" t="s">
        <v>131</v>
      </c>
      <c r="B78" s="27"/>
      <c r="C78" s="124"/>
    </row>
    <row r="79" spans="1:6" ht="17" x14ac:dyDescent="0.2">
      <c r="A79" s="31" t="s">
        <v>133</v>
      </c>
      <c r="B79" s="27"/>
      <c r="C79" s="124"/>
    </row>
    <row r="80" spans="1:6" ht="17" x14ac:dyDescent="0.2">
      <c r="A80" s="60" t="s">
        <v>134</v>
      </c>
      <c r="B80" s="62" t="s">
        <v>164</v>
      </c>
      <c r="C80" s="124"/>
    </row>
    <row r="82" spans="1:6" x14ac:dyDescent="0.2">
      <c r="D82" s="28"/>
      <c r="E82" s="28"/>
      <c r="F82" s="2"/>
    </row>
    <row r="83" spans="1:6" x14ac:dyDescent="0.2">
      <c r="A83" s="197" t="s">
        <v>135</v>
      </c>
      <c r="B83" s="198"/>
      <c r="C83" s="198"/>
      <c r="D83" s="198"/>
      <c r="E83" s="199"/>
      <c r="F83" s="196" t="s">
        <v>136</v>
      </c>
    </row>
    <row r="84" spans="1:6" x14ac:dyDescent="0.2">
      <c r="A84" s="200"/>
      <c r="B84" s="201"/>
      <c r="C84" s="201"/>
      <c r="D84" s="201"/>
      <c r="E84" s="202"/>
      <c r="F84" s="196"/>
    </row>
    <row r="85" spans="1:6" ht="20" x14ac:dyDescent="0.2">
      <c r="A85" s="187"/>
      <c r="B85" s="188"/>
      <c r="C85" s="188"/>
      <c r="D85" s="188"/>
      <c r="E85" s="189"/>
      <c r="F85" s="30" t="s">
        <v>137</v>
      </c>
    </row>
    <row r="86" spans="1:6" ht="20" x14ac:dyDescent="0.2">
      <c r="A86" s="190"/>
      <c r="B86" s="191"/>
      <c r="C86" s="191"/>
      <c r="D86" s="191"/>
      <c r="E86" s="192"/>
      <c r="F86" s="30" t="s">
        <v>138</v>
      </c>
    </row>
    <row r="87" spans="1:6" ht="20" x14ac:dyDescent="0.2">
      <c r="A87" s="190"/>
      <c r="B87" s="191"/>
      <c r="C87" s="191"/>
      <c r="D87" s="191"/>
      <c r="E87" s="192"/>
      <c r="F87" s="30" t="s">
        <v>139</v>
      </c>
    </row>
    <row r="88" spans="1:6" ht="20" x14ac:dyDescent="0.2">
      <c r="A88" s="190"/>
      <c r="B88" s="191"/>
      <c r="C88" s="191"/>
      <c r="D88" s="191"/>
      <c r="E88" s="192"/>
      <c r="F88" s="30" t="s">
        <v>140</v>
      </c>
    </row>
    <row r="89" spans="1:6" ht="20" x14ac:dyDescent="0.2">
      <c r="A89" s="190"/>
      <c r="B89" s="191"/>
      <c r="C89" s="191"/>
      <c r="D89" s="191"/>
      <c r="E89" s="192"/>
      <c r="F89" s="30" t="s">
        <v>141</v>
      </c>
    </row>
    <row r="90" spans="1:6" ht="40" x14ac:dyDescent="0.2">
      <c r="A90" s="193"/>
      <c r="B90" s="194"/>
      <c r="C90" s="194"/>
      <c r="D90" s="194"/>
      <c r="E90" s="195"/>
      <c r="F90" s="30" t="s">
        <v>142</v>
      </c>
    </row>
  </sheetData>
  <protectedRanges>
    <protectedRange algorithmName="SHA-512" hashValue="OkonropkWKQLk9aWhbKFtdAEgkBuRrO43/j6IhQGieHhVkCO6ctIelWvVH5LlygR9E6jnZ4zTtIe+NfSO7WHMw==" saltValue="PM3pC8MxYk9KDHAg9etwSw==" spinCount="100000" sqref="F1:G1" name="Range1"/>
  </protectedRanges>
  <dataConsolidate/>
  <mergeCells count="26">
    <mergeCell ref="B6:B11"/>
    <mergeCell ref="C6:C11"/>
    <mergeCell ref="A85:E90"/>
    <mergeCell ref="F83:F84"/>
    <mergeCell ref="A83:E84"/>
    <mergeCell ref="D72:D73"/>
    <mergeCell ref="E72:E73"/>
    <mergeCell ref="F69:F71"/>
    <mergeCell ref="D67:D68"/>
    <mergeCell ref="E67:E68"/>
    <mergeCell ref="F67:F68"/>
    <mergeCell ref="R5:R6"/>
    <mergeCell ref="P3:S4"/>
    <mergeCell ref="J3:M4"/>
    <mergeCell ref="F74:F75"/>
    <mergeCell ref="D17:E17"/>
    <mergeCell ref="F72:F73"/>
    <mergeCell ref="E69:E71"/>
    <mergeCell ref="D69:D71"/>
    <mergeCell ref="K5:K6"/>
    <mergeCell ref="L5:L6"/>
    <mergeCell ref="D47:D50"/>
    <mergeCell ref="E47:E50"/>
    <mergeCell ref="D37:D42"/>
    <mergeCell ref="E37:E42"/>
    <mergeCell ref="Q5:Q6"/>
  </mergeCells>
  <conditionalFormatting sqref="B19">
    <cfRule type="expression" dxfId="20" priority="56">
      <formula>$B$18="Yes"</formula>
    </cfRule>
  </conditionalFormatting>
  <conditionalFormatting sqref="B20">
    <cfRule type="expression" dxfId="19" priority="55">
      <formula>$B$19="Other"</formula>
    </cfRule>
  </conditionalFormatting>
  <conditionalFormatting sqref="B21">
    <cfRule type="expression" dxfId="18" priority="48">
      <formula>B17="Renewal"</formula>
    </cfRule>
  </conditionalFormatting>
  <conditionalFormatting sqref="B49 B51:B52">
    <cfRule type="expression" dxfId="17" priority="64">
      <formula>$B$47="Phasing"</formula>
    </cfRule>
  </conditionalFormatting>
  <conditionalFormatting sqref="B57">
    <cfRule type="expression" dxfId="16" priority="29">
      <formula>$B$56&lt;&gt;"None"</formula>
    </cfRule>
  </conditionalFormatting>
  <conditionalFormatting sqref="B73">
    <cfRule type="expression" dxfId="14" priority="28">
      <formula>$B$72="Yes"</formula>
    </cfRule>
  </conditionalFormatting>
  <conditionalFormatting sqref="B75">
    <cfRule type="expression" dxfId="13" priority="27">
      <formula>$B$74="Yes"</formula>
    </cfRule>
  </conditionalFormatting>
  <conditionalFormatting sqref="B77:B79">
    <cfRule type="expression" dxfId="12" priority="62">
      <formula>$B$76="Yes"</formula>
    </cfRule>
  </conditionalFormatting>
  <conditionalFormatting sqref="E5:E15 E25:E30">
    <cfRule type="expression" dxfId="11" priority="142">
      <formula>$B$27="GL Only"</formula>
    </cfRule>
  </conditionalFormatting>
  <conditionalFormatting sqref="E18:E24">
    <cfRule type="expression" dxfId="10" priority="16">
      <formula>$B$27="Property Only"</formula>
    </cfRule>
  </conditionalFormatting>
  <conditionalFormatting sqref="E57:E59 E61:E62">
    <cfRule type="expression" dxfId="9" priority="141">
      <formula>$B$46&gt;3</formula>
    </cfRule>
  </conditionalFormatting>
  <conditionalFormatting sqref="E66:E67">
    <cfRule type="expression" dxfId="8" priority="34">
      <formula>$E$65="Yes"</formula>
    </cfRule>
  </conditionalFormatting>
  <conditionalFormatting sqref="E69">
    <cfRule type="expression" dxfId="7" priority="6">
      <formula>$E$65="Yes"</formula>
    </cfRule>
  </conditionalFormatting>
  <conditionalFormatting sqref="E74">
    <cfRule type="expression" dxfId="6" priority="17">
      <formula>$E$72="Yes"</formula>
    </cfRule>
  </conditionalFormatting>
  <conditionalFormatting sqref="G33:G53">
    <cfRule type="expression" dxfId="5" priority="5">
      <formula>E33=TRUE</formula>
    </cfRule>
  </conditionalFormatting>
  <conditionalFormatting sqref="G38:G42">
    <cfRule type="expression" dxfId="4" priority="4">
      <formula>$E$37=TRUE</formula>
    </cfRule>
  </conditionalFormatting>
  <conditionalFormatting sqref="G47:G50">
    <cfRule type="expression" dxfId="3" priority="3">
      <formula>$E$47=TRUE</formula>
    </cfRule>
  </conditionalFormatting>
  <conditionalFormatting sqref="K7:K41">
    <cfRule type="expression" dxfId="2" priority="2">
      <formula>$E$5="Gold (Basic)"</formula>
    </cfRule>
  </conditionalFormatting>
  <conditionalFormatting sqref="L8:L41">
    <cfRule type="expression" dxfId="1" priority="1">
      <formula>$E$5="Platinum (Enhanced)"</formula>
    </cfRule>
  </conditionalFormatting>
  <dataValidations count="8">
    <dataValidation type="whole" operator="lessThanOrEqual" allowBlank="1" showInputMessage="1" showErrorMessage="1" error="Must be less than or equal to $15,000,000" sqref="E15" xr:uid="{3C877078-B96E-4D6A-83A6-4B2C6A93ECE0}">
      <formula1>15000000</formula1>
    </dataValidation>
    <dataValidation type="whole" errorStyle="information" allowBlank="1" error="Must complete System Update information in rows 56 to 60." sqref="B44" xr:uid="{EBF3B881-2110-4212-9F41-926A7E23B9A4}">
      <formula1>1940</formula1>
      <formula2>2030</formula2>
    </dataValidation>
    <dataValidation type="whole" errorStyle="information" operator="lessThanOrEqual" allowBlank="1" showInputMessage="1" showErrorMessage="1" error="Please make sure to answer the next 3 questions." sqref="B49" xr:uid="{298EF60B-EFB3-4D44-B4D3-F8A54BED388F}">
      <formula1>0</formula1>
    </dataValidation>
    <dataValidation type="decimal" allowBlank="1" showInputMessage="1" showErrorMessage="1" sqref="B4" xr:uid="{B47748FE-52C6-4655-A7F8-08521555EA17}">
      <formula1>0</formula1>
      <formula2>1</formula2>
    </dataValidation>
    <dataValidation type="whole" allowBlank="1" showInputMessage="1" showErrorMessage="1" sqref="B48 B45:B46" xr:uid="{94E99381-A69D-417C-A1B2-60A4B973CC54}">
      <formula1>0</formula1>
      <formula2>5000</formula2>
    </dataValidation>
    <dataValidation type="whole" allowBlank="1" showInputMessage="1" showErrorMessage="1" sqref="S27:S31 S8:S25 M8:M40" xr:uid="{7BC8B0D9-0248-41F0-8829-EB1EEA333777}">
      <formula1>1</formula1>
      <formula2>1000000</formula2>
    </dataValidation>
    <dataValidation type="whole" operator="greaterThan" allowBlank="1" showInputMessage="1" showErrorMessage="1" sqref="G43 G45 G47:G48 G51:G53 G33:G38" xr:uid="{D77A44C0-55C7-4F33-BA9D-7A956F372847}">
      <formula1>0</formula1>
    </dataValidation>
    <dataValidation allowBlank="1" showInputMessage="1" sqref="B16" xr:uid="{6F6087F9-231A-4008-A5CE-194093C0F741}"/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9" id="{040522EC-BC3C-47A1-9402-FC0C01DC18B7}">
            <xm:f>(YEAR(Lists!$A$10)-$B$44&gt;30)</xm:f>
            <x14:dxf>
              <fill>
                <patternFill>
                  <bgColor theme="9" tint="0.79998168889431442"/>
                </patternFill>
              </fill>
            </x14:dxf>
          </x14:cfRule>
          <xm:sqref>B61:B68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1">
        <x14:dataValidation type="list" allowBlank="1" showInputMessage="1" showErrorMessage="1" xr:uid="{8D1FD7BB-1AB4-42E0-B772-4BACCA1546B2}">
          <x14:formula1>
            <xm:f>Lists!$A$2:$A$5</xm:f>
          </x14:formula1>
          <xm:sqref>E4</xm:sqref>
        </x14:dataValidation>
        <x14:dataValidation type="list" allowBlank="1" showInputMessage="1" showErrorMessage="1" xr:uid="{C36F6E6F-9672-4100-93BD-32EE4F24DFF7}">
          <x14:formula1>
            <xm:f>Lists!$C$2:$C$3</xm:f>
          </x14:formula1>
          <xm:sqref>E12 E21 E23 G46 B18 B68:B69 B51:B52 B76:B80 B64 G39:G42 B66 B62 B5 E72:E73 B72:B74 B54 G49:G50 E65 E58:E59 E61:E62</xm:sqref>
        </x14:dataValidation>
        <x14:dataValidation type="list" allowBlank="1" showInputMessage="1" showErrorMessage="1" xr:uid="{484B71CD-272A-4426-8823-0EA7FFFEE04C}">
          <x14:formula1>
            <xm:f>Lists!$E$2:$E$4</xm:f>
          </x14:formula1>
          <xm:sqref>E14</xm:sqref>
        </x14:dataValidation>
        <x14:dataValidation type="list" allowBlank="1" showInputMessage="1" showErrorMessage="1" xr:uid="{25714826-A61A-473A-B51E-C41186244001}">
          <x14:formula1>
            <xm:f>Lists!$G$2:$G$4</xm:f>
          </x14:formula1>
          <xm:sqref>E20</xm:sqref>
        </x14:dataValidation>
        <x14:dataValidation type="list" allowBlank="1" showInputMessage="1" showErrorMessage="1" xr:uid="{51467478-834C-4F07-9A1F-1CC769E67517}">
          <x14:formula1>
            <xm:f>Lists!$O$2:$O$8</xm:f>
          </x14:formula1>
          <xm:sqref>B53 B55</xm:sqref>
        </x14:dataValidation>
        <x14:dataValidation type="list" allowBlank="1" showInputMessage="1" showErrorMessage="1" xr:uid="{66E3ADF4-2CBD-497E-8691-919631B95BBF}">
          <x14:formula1>
            <xm:f>Lists!$Q$2:$Q$5</xm:f>
          </x14:formula1>
          <xm:sqref>B56</xm:sqref>
        </x14:dataValidation>
        <x14:dataValidation type="list" allowBlank="1" showInputMessage="1" showErrorMessage="1" xr:uid="{23B71AFA-8716-4764-89C4-34A3813C9C23}">
          <x14:formula1>
            <xm:f>Lists!$S$2:$S$3</xm:f>
          </x14:formula1>
          <xm:sqref>B17</xm:sqref>
        </x14:dataValidation>
        <x14:dataValidation type="list" allowBlank="1" showInputMessage="1" showErrorMessage="1" xr:uid="{4EF96B05-EBF8-418C-B3E4-EF96A128A63F}">
          <x14:formula1>
            <xm:f>Lists!$U$2:$U$4</xm:f>
          </x14:formula1>
          <xm:sqref>B27</xm:sqref>
        </x14:dataValidation>
        <x14:dataValidation type="list" allowBlank="1" showInputMessage="1" showErrorMessage="1" xr:uid="{FA840810-0B08-4A1F-899F-406E43EA8D64}">
          <x14:formula1>
            <xm:f>Lists!$W$2:$W$3</xm:f>
          </x14:formula1>
          <xm:sqref>E5</xm:sqref>
        </x14:dataValidation>
        <x14:dataValidation type="list" allowBlank="1" showInputMessage="1" showErrorMessage="1" xr:uid="{849CE753-0603-467E-8289-89E7DA987E77}">
          <x14:formula1>
            <xm:f>Lists!$AA$2:$AA$5</xm:f>
          </x14:formula1>
          <xm:sqref>B24</xm:sqref>
        </x14:dataValidation>
        <x14:dataValidation type="list" allowBlank="1" showInputMessage="1" showErrorMessage="1" xr:uid="{0B322284-746E-4A17-A5F3-44303978089D}">
          <x14:formula1>
            <xm:f>Lists!$M$2:$M$4</xm:f>
          </x14:formula1>
          <xm:sqref>E30</xm:sqref>
        </x14:dataValidation>
        <x14:dataValidation type="list" allowBlank="1" showInputMessage="1" showErrorMessage="1" xr:uid="{D9D9B0E3-BA50-4EB8-BCED-535C2EE2F797}">
          <x14:formula1>
            <xm:f>Lists!$AC$2:$AC$7</xm:f>
          </x14:formula1>
          <xm:sqref>B36</xm:sqref>
        </x14:dataValidation>
        <x14:dataValidation type="list" allowBlank="1" showInputMessage="1" showErrorMessage="1" xr:uid="{B642F79B-150E-4F7F-A746-07B71A353866}">
          <x14:formula1>
            <xm:f>Lists!$AE$2:$AE$4</xm:f>
          </x14:formula1>
          <xm:sqref>B70</xm:sqref>
        </x14:dataValidation>
        <x14:dataValidation type="list" allowBlank="1" showInputMessage="1" showErrorMessage="1" xr:uid="{E5693C4C-C53E-4E34-BCA6-54E4338446F4}">
          <x14:formula1>
            <xm:f>Lists!$AG$2:$AG$4</xm:f>
          </x14:formula1>
          <xm:sqref>B71</xm:sqref>
        </x14:dataValidation>
        <x14:dataValidation type="list" allowBlank="1" showInputMessage="1" showErrorMessage="1" xr:uid="{CDDECF1A-C175-4C4A-AFF2-39D61CEBEA48}">
          <x14:formula1>
            <xm:f>Lists!$AI$2:$AI$5</xm:f>
          </x14:formula1>
          <xm:sqref>B35</xm:sqref>
        </x14:dataValidation>
        <x14:dataValidation type="list" allowBlank="1" showInputMessage="1" showErrorMessage="1" xr:uid="{B264450A-181E-4270-B968-F2DE28DC263A}">
          <x14:formula1>
            <xm:f>Lists!$AK$2:$AK$5</xm:f>
          </x14:formula1>
          <xm:sqref>B19</xm:sqref>
        </x14:dataValidation>
        <x14:dataValidation type="date" operator="greaterThanOrEqual" allowBlank="1" showInputMessage="1" showErrorMessage="1" error="Date must be in the future." xr:uid="{0BC02075-572E-45CD-BB76-3FF5511D1975}">
          <x14:formula1>
            <xm:f>Lists!$A$10+1</xm:f>
          </x14:formula1>
          <xm:sqref>B23 B25</xm:sqref>
        </x14:dataValidation>
        <x14:dataValidation type="list" allowBlank="1" showInputMessage="1" showErrorMessage="1" xr:uid="{984B588E-F028-4394-92FE-1C56139E0071}">
          <x14:formula1>
            <xm:f>Lists!$I$12:$I$17</xm:f>
          </x14:formula1>
          <xm:sqref>E25</xm:sqref>
        </x14:dataValidation>
        <x14:dataValidation type="list" operator="greaterThanOrEqual" allowBlank="1" showInputMessage="1" showErrorMessage="1" error="Date must be in the future." xr:uid="{C22FD2E3-6631-4FE2-88C7-6B18361E495B}">
          <x14:formula1>
            <xm:f>Lists!$U$9:$U$11</xm:f>
          </x14:formula1>
          <xm:sqref>B26</xm:sqref>
        </x14:dataValidation>
        <x14:dataValidation type="list" allowBlank="1" showInputMessage="1" showErrorMessage="1" xr:uid="{32B8A97F-A9BA-4434-A802-7B2FA7D2B592}">
          <x14:formula1>
            <xm:f>Lists!$C$7:$C$8</xm:f>
          </x14:formula1>
          <xm:sqref>B6</xm:sqref>
        </x14:dataValidation>
        <x14:dataValidation type="list" allowBlank="1" showInputMessage="1" showErrorMessage="1" xr:uid="{388A0790-D882-4575-96A4-B46FF225C4AF}">
          <x14:formula1>
            <xm:f>Lists!$C$20:$C$21</xm:f>
          </x14:formula1>
          <xm:sqref>B47</xm:sqref>
        </x14:dataValidation>
        <x14:dataValidation type="list" allowBlank="1" showInputMessage="1" showErrorMessage="1" xr:uid="{957A6D94-4955-4B0B-9687-11AA64D61D7E}">
          <x14:formula1>
            <xm:f>Lists!$C$24:$C$27</xm:f>
          </x14:formula1>
          <xm:sqref>B57</xm:sqref>
        </x14:dataValidation>
        <x14:dataValidation type="list" allowBlank="1" showInputMessage="1" showErrorMessage="1" xr:uid="{8E2507F3-87B2-4858-8328-8FBA874C2D7B}">
          <x14:formula1>
            <xm:f>Lists!$C$29:$C$30</xm:f>
          </x14:formula1>
          <xm:sqref>B75</xm:sqref>
        </x14:dataValidation>
        <x14:dataValidation type="list" allowBlank="1" showInputMessage="1" showErrorMessage="1" xr:uid="{570FE700-3A37-4967-AE56-61486D901314}">
          <x14:formula1>
            <xm:f>Lists!$E$11:$E$12</xm:f>
          </x14:formula1>
          <xm:sqref>E18</xm:sqref>
        </x14:dataValidation>
        <x14:dataValidation type="list" allowBlank="1" showInputMessage="1" showErrorMessage="1" xr:uid="{47EA4C06-FDB8-4F08-B92D-2A283D87F433}">
          <x14:formula1>
            <xm:f>Lists!$E$15:$E$19</xm:f>
          </x14:formula1>
          <xm:sqref>E19</xm:sqref>
        </x14:dataValidation>
        <x14:dataValidation type="list" allowBlank="1" showInputMessage="1" showErrorMessage="1" xr:uid="{EA9B0019-0193-4C22-B98C-D8230B9C5538}">
          <x14:formula1>
            <xm:f>Lists!$I$2:$I$10</xm:f>
          </x14:formula1>
          <xm:sqref>E26</xm:sqref>
        </x14:dataValidation>
        <x14:dataValidation type="list" allowBlank="1" showInputMessage="1" showErrorMessage="1" xr:uid="{F556AFAE-93AC-4B2C-9BA8-A7DB46738AE2}">
          <x14:formula1>
            <xm:f>Lists!$E$7:$E$8</xm:f>
          </x14:formula1>
          <xm:sqref>E27</xm:sqref>
        </x14:dataValidation>
        <x14:dataValidation type="list" allowBlank="1" showInputMessage="1" showErrorMessage="1" xr:uid="{4C8B5319-211C-4594-913A-A9875F1D341F}">
          <x14:formula1>
            <xm:f>Lists!$K$2:$K$11</xm:f>
          </x14:formula1>
          <xm:sqref>E28</xm:sqref>
        </x14:dataValidation>
        <x14:dataValidation type="list" allowBlank="1" showInputMessage="1" showErrorMessage="1" xr:uid="{63C3F343-6718-4E1F-9FA8-D7175C30A841}">
          <x14:formula1>
            <xm:f>Lists!$O$12:$O$14</xm:f>
          </x14:formula1>
          <xm:sqref>E29</xm:sqref>
        </x14:dataValidation>
        <x14:dataValidation type="list" allowBlank="1" showInputMessage="1" showErrorMessage="1" xr:uid="{309218AE-A8FC-4002-9934-EB516E8F45F2}">
          <x14:formula1>
            <xm:f>Lists!$C$12:$C$17</xm:f>
          </x14:formula1>
          <xm:sqref>E66</xm:sqref>
        </x14:dataValidation>
        <x14:dataValidation type="list" allowBlank="1" showInputMessage="1" showErrorMessage="1" xr:uid="{3F4D84D0-48B3-4DE0-ABE7-0518F5475218}">
          <x14:formula1>
            <xm:f>Lists!$C$28:$C$29</xm:f>
          </x14:formula1>
          <xm:sqref>E43:E47 E33:E37 E51:E53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95A2C-A786-4C6A-BBAC-6C294E9C667A}">
  <dimension ref="A1"/>
  <sheetViews>
    <sheetView workbookViewId="0"/>
  </sheetViews>
  <sheetFormatPr baseColWidth="10" defaultColWidth="8.83203125" defaultRowHeight="15" x14ac:dyDescent="0.2"/>
  <sheetData>
    <row r="1" spans="1:1" ht="21" x14ac:dyDescent="0.25">
      <c r="A1" s="25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51117-B490-4886-83B8-F6B575C86D3F}">
  <dimension ref="C2:J75"/>
  <sheetViews>
    <sheetView zoomScaleNormal="100" workbookViewId="0">
      <selection activeCell="C3" sqref="C3"/>
    </sheetView>
  </sheetViews>
  <sheetFormatPr baseColWidth="10" defaultColWidth="8.83203125" defaultRowHeight="15" x14ac:dyDescent="0.2"/>
  <cols>
    <col min="1" max="2" width="3" customWidth="1"/>
    <col min="3" max="3" width="61.6640625" style="39" customWidth="1"/>
    <col min="4" max="4" width="15.83203125" style="37" customWidth="1"/>
    <col min="5" max="5" width="15.83203125" style="44" customWidth="1"/>
    <col min="6" max="7" width="7" style="38" customWidth="1"/>
    <col min="8" max="8" width="61.6640625" style="39" customWidth="1"/>
    <col min="9" max="9" width="15.83203125" style="40" customWidth="1"/>
    <col min="10" max="10" width="15.83203125" style="44" customWidth="1"/>
  </cols>
  <sheetData>
    <row r="2" spans="3:10" s="48" customFormat="1" ht="24" x14ac:dyDescent="0.3">
      <c r="C2" s="206" t="s">
        <v>144</v>
      </c>
      <c r="D2" s="206"/>
      <c r="E2" s="206"/>
      <c r="F2" s="47"/>
      <c r="G2" s="47"/>
      <c r="H2" s="207" t="s">
        <v>145</v>
      </c>
      <c r="I2" s="207"/>
      <c r="J2" s="207"/>
    </row>
    <row r="3" spans="3:10" x14ac:dyDescent="0.2">
      <c r="C3" s="37"/>
      <c r="D3" s="38"/>
      <c r="E3" s="43"/>
      <c r="F3" s="40"/>
      <c r="G3" s="40"/>
      <c r="H3" s="37"/>
      <c r="I3" s="38"/>
      <c r="J3" s="43"/>
    </row>
    <row r="4" spans="3:10" s="46" customFormat="1" ht="19" x14ac:dyDescent="0.25">
      <c r="C4" s="49" t="s">
        <v>15</v>
      </c>
      <c r="D4" s="50" t="s">
        <v>16</v>
      </c>
      <c r="E4" s="51" t="s">
        <v>146</v>
      </c>
      <c r="F4" s="52"/>
      <c r="G4" s="52"/>
      <c r="H4" s="49" t="s">
        <v>15</v>
      </c>
      <c r="I4" s="50" t="s">
        <v>16</v>
      </c>
      <c r="J4" s="51" t="s">
        <v>146</v>
      </c>
    </row>
    <row r="5" spans="3:10" s="46" customFormat="1" ht="20" x14ac:dyDescent="0.25">
      <c r="C5" s="54" t="s">
        <v>19</v>
      </c>
      <c r="D5" s="75">
        <v>10000</v>
      </c>
      <c r="E5" s="55" t="s">
        <v>147</v>
      </c>
      <c r="F5" s="53"/>
      <c r="G5" s="53"/>
      <c r="H5" s="54" t="s">
        <v>19</v>
      </c>
      <c r="I5" s="75">
        <v>5000</v>
      </c>
      <c r="J5" s="55" t="s">
        <v>147</v>
      </c>
    </row>
    <row r="6" spans="3:10" s="46" customFormat="1" ht="20" x14ac:dyDescent="0.25">
      <c r="C6" s="54" t="s">
        <v>22</v>
      </c>
      <c r="D6" s="75">
        <v>50000</v>
      </c>
      <c r="E6" s="55" t="s">
        <v>147</v>
      </c>
      <c r="F6" s="52"/>
      <c r="G6" s="52"/>
      <c r="H6" s="54" t="s">
        <v>22</v>
      </c>
      <c r="I6" s="75">
        <v>25000</v>
      </c>
      <c r="J6" s="55" t="s">
        <v>147</v>
      </c>
    </row>
    <row r="7" spans="3:10" s="46" customFormat="1" ht="20" x14ac:dyDescent="0.25">
      <c r="C7" s="54" t="s">
        <v>25</v>
      </c>
      <c r="D7" s="75">
        <v>25000</v>
      </c>
      <c r="E7" s="55" t="s">
        <v>147</v>
      </c>
      <c r="F7" s="52"/>
      <c r="G7" s="52"/>
      <c r="H7" s="54" t="s">
        <v>25</v>
      </c>
      <c r="I7" s="75">
        <v>10000</v>
      </c>
      <c r="J7" s="55" t="s">
        <v>147</v>
      </c>
    </row>
    <row r="8" spans="3:10" s="46" customFormat="1" ht="20" x14ac:dyDescent="0.25">
      <c r="C8" s="54" t="s">
        <v>28</v>
      </c>
      <c r="D8" s="75">
        <v>5000</v>
      </c>
      <c r="E8" s="55" t="s">
        <v>147</v>
      </c>
      <c r="F8" s="52"/>
      <c r="G8" s="52"/>
      <c r="H8" s="54" t="s">
        <v>28</v>
      </c>
      <c r="I8" s="75">
        <v>2500</v>
      </c>
      <c r="J8" s="55" t="s">
        <v>147</v>
      </c>
    </row>
    <row r="9" spans="3:10" s="46" customFormat="1" ht="20" x14ac:dyDescent="0.25">
      <c r="C9" s="54" t="s">
        <v>30</v>
      </c>
      <c r="D9" s="75">
        <v>300000</v>
      </c>
      <c r="E9" s="55" t="s">
        <v>147</v>
      </c>
      <c r="F9" s="52"/>
      <c r="G9" s="52"/>
      <c r="H9" s="54" t="s">
        <v>30</v>
      </c>
      <c r="I9" s="75">
        <v>150000</v>
      </c>
      <c r="J9" s="55" t="s">
        <v>147</v>
      </c>
    </row>
    <row r="10" spans="3:10" s="46" customFormat="1" ht="20" x14ac:dyDescent="0.25">
      <c r="C10" s="54" t="s">
        <v>33</v>
      </c>
      <c r="D10" s="75">
        <v>25000</v>
      </c>
      <c r="E10" s="55" t="s">
        <v>147</v>
      </c>
      <c r="F10" s="52"/>
      <c r="G10" s="52"/>
      <c r="H10" s="54" t="s">
        <v>33</v>
      </c>
      <c r="I10" s="75">
        <v>12500</v>
      </c>
      <c r="J10" s="55" t="s">
        <v>147</v>
      </c>
    </row>
    <row r="11" spans="3:10" s="46" customFormat="1" ht="20" x14ac:dyDescent="0.25">
      <c r="C11" s="54" t="s">
        <v>36</v>
      </c>
      <c r="D11" s="75">
        <v>100000</v>
      </c>
      <c r="E11" s="55" t="s">
        <v>147</v>
      </c>
      <c r="F11" s="52"/>
      <c r="G11" s="52"/>
      <c r="H11" s="54" t="s">
        <v>36</v>
      </c>
      <c r="I11" s="75">
        <v>50000</v>
      </c>
      <c r="J11" s="55" t="s">
        <v>147</v>
      </c>
    </row>
    <row r="12" spans="3:10" s="46" customFormat="1" ht="20" x14ac:dyDescent="0.25">
      <c r="C12" s="54" t="s">
        <v>38</v>
      </c>
      <c r="D12" s="75">
        <v>50000</v>
      </c>
      <c r="E12" s="55" t="s">
        <v>147</v>
      </c>
      <c r="F12" s="52"/>
      <c r="G12" s="52"/>
      <c r="H12" s="54" t="s">
        <v>38</v>
      </c>
      <c r="I12" s="75">
        <v>25000</v>
      </c>
      <c r="J12" s="55" t="s">
        <v>147</v>
      </c>
    </row>
    <row r="13" spans="3:10" s="46" customFormat="1" ht="20" x14ac:dyDescent="0.25">
      <c r="C13" s="54" t="s">
        <v>41</v>
      </c>
      <c r="D13" s="75">
        <v>50000</v>
      </c>
      <c r="E13" s="55" t="s">
        <v>147</v>
      </c>
      <c r="F13" s="52"/>
      <c r="G13" s="52"/>
      <c r="H13" s="54" t="s">
        <v>41</v>
      </c>
      <c r="I13" s="75">
        <v>25000</v>
      </c>
      <c r="J13" s="55" t="s">
        <v>147</v>
      </c>
    </row>
    <row r="14" spans="3:10" s="46" customFormat="1" ht="20" x14ac:dyDescent="0.25">
      <c r="C14" s="54" t="s">
        <v>44</v>
      </c>
      <c r="D14" s="75">
        <v>10000</v>
      </c>
      <c r="E14" s="55" t="s">
        <v>147</v>
      </c>
      <c r="F14" s="52"/>
      <c r="G14" s="52"/>
      <c r="H14" s="54" t="s">
        <v>44</v>
      </c>
      <c r="I14" s="75">
        <v>5000</v>
      </c>
      <c r="J14" s="55" t="s">
        <v>147</v>
      </c>
    </row>
    <row r="15" spans="3:10" s="46" customFormat="1" ht="20" x14ac:dyDescent="0.25">
      <c r="C15" s="54" t="s">
        <v>47</v>
      </c>
      <c r="D15" s="75">
        <v>1000</v>
      </c>
      <c r="E15" s="55" t="s">
        <v>147</v>
      </c>
      <c r="F15" s="52"/>
      <c r="G15" s="52"/>
      <c r="H15" s="54" t="s">
        <v>47</v>
      </c>
      <c r="I15" s="75">
        <v>500</v>
      </c>
      <c r="J15" s="55" t="s">
        <v>147</v>
      </c>
    </row>
    <row r="16" spans="3:10" s="46" customFormat="1" ht="20" x14ac:dyDescent="0.25">
      <c r="C16" s="54" t="s">
        <v>50</v>
      </c>
      <c r="D16" s="75">
        <v>50000</v>
      </c>
      <c r="E16" s="55" t="s">
        <v>147</v>
      </c>
      <c r="F16" s="52"/>
      <c r="G16" s="52"/>
      <c r="H16" s="54" t="s">
        <v>50</v>
      </c>
      <c r="I16" s="75">
        <v>25000</v>
      </c>
      <c r="J16" s="55" t="s">
        <v>147</v>
      </c>
    </row>
    <row r="17" spans="3:10" s="46" customFormat="1" ht="20" x14ac:dyDescent="0.25">
      <c r="C17" s="54" t="s">
        <v>53</v>
      </c>
      <c r="D17" s="75">
        <v>1000</v>
      </c>
      <c r="E17" s="55" t="s">
        <v>147</v>
      </c>
      <c r="F17" s="52"/>
      <c r="G17" s="52"/>
      <c r="H17" s="54" t="s">
        <v>53</v>
      </c>
      <c r="I17" s="75">
        <v>500</v>
      </c>
      <c r="J17" s="55" t="s">
        <v>147</v>
      </c>
    </row>
    <row r="18" spans="3:10" s="46" customFormat="1" ht="20" x14ac:dyDescent="0.25">
      <c r="C18" s="54" t="s">
        <v>55</v>
      </c>
      <c r="D18" s="75">
        <v>250000</v>
      </c>
      <c r="E18" s="55" t="s">
        <v>147</v>
      </c>
      <c r="F18" s="52"/>
      <c r="G18" s="52"/>
      <c r="H18" s="54" t="s">
        <v>55</v>
      </c>
      <c r="I18" s="75">
        <v>125000</v>
      </c>
      <c r="J18" s="55" t="s">
        <v>147</v>
      </c>
    </row>
    <row r="19" spans="3:10" s="46" customFormat="1" ht="20" x14ac:dyDescent="0.25">
      <c r="C19" s="54" t="s">
        <v>58</v>
      </c>
      <c r="D19" s="75">
        <v>250000</v>
      </c>
      <c r="E19" s="55" t="s">
        <v>147</v>
      </c>
      <c r="F19" s="52"/>
      <c r="G19" s="52"/>
      <c r="H19" s="54" t="s">
        <v>58</v>
      </c>
      <c r="I19" s="75">
        <v>125000</v>
      </c>
      <c r="J19" s="55" t="s">
        <v>147</v>
      </c>
    </row>
    <row r="20" spans="3:10" s="46" customFormat="1" ht="20" x14ac:dyDescent="0.25">
      <c r="C20" s="54" t="s">
        <v>61</v>
      </c>
      <c r="D20" s="75">
        <v>250000</v>
      </c>
      <c r="E20" s="55" t="s">
        <v>147</v>
      </c>
      <c r="F20" s="52"/>
      <c r="G20" s="52"/>
      <c r="H20" s="54" t="s">
        <v>61</v>
      </c>
      <c r="I20" s="75">
        <v>125000</v>
      </c>
      <c r="J20" s="55" t="s">
        <v>147</v>
      </c>
    </row>
    <row r="21" spans="3:10" s="46" customFormat="1" ht="20" x14ac:dyDescent="0.25">
      <c r="C21" s="54" t="s">
        <v>64</v>
      </c>
      <c r="D21" s="75">
        <v>500000</v>
      </c>
      <c r="E21" s="55" t="s">
        <v>147</v>
      </c>
      <c r="F21" s="52"/>
      <c r="G21" s="52"/>
      <c r="H21" s="54" t="s">
        <v>64</v>
      </c>
      <c r="I21" s="75">
        <v>300000</v>
      </c>
      <c r="J21" s="55" t="s">
        <v>147</v>
      </c>
    </row>
    <row r="22" spans="3:10" s="46" customFormat="1" ht="20" x14ac:dyDescent="0.25">
      <c r="C22" s="54" t="s">
        <v>67</v>
      </c>
      <c r="D22" s="75">
        <v>500000</v>
      </c>
      <c r="E22" s="55" t="s">
        <v>147</v>
      </c>
      <c r="F22" s="52"/>
      <c r="G22" s="52"/>
      <c r="H22" s="54" t="s">
        <v>67</v>
      </c>
      <c r="I22" s="75">
        <v>300000</v>
      </c>
      <c r="J22" s="55" t="s">
        <v>147</v>
      </c>
    </row>
    <row r="23" spans="3:10" s="46" customFormat="1" ht="40" x14ac:dyDescent="0.25">
      <c r="C23" s="54" t="s">
        <v>70</v>
      </c>
      <c r="D23" s="75">
        <v>10000</v>
      </c>
      <c r="E23" s="55" t="s">
        <v>147</v>
      </c>
      <c r="F23" s="52"/>
      <c r="G23" s="52"/>
      <c r="H23" s="54" t="s">
        <v>70</v>
      </c>
      <c r="I23" s="75">
        <v>5000</v>
      </c>
      <c r="J23" s="55" t="s">
        <v>147</v>
      </c>
    </row>
    <row r="24" spans="3:10" s="46" customFormat="1" ht="20" x14ac:dyDescent="0.25">
      <c r="C24" s="54" t="s">
        <v>73</v>
      </c>
      <c r="D24" s="75">
        <v>10000</v>
      </c>
      <c r="E24" s="55" t="s">
        <v>147</v>
      </c>
      <c r="F24" s="52"/>
      <c r="G24" s="52"/>
      <c r="H24" s="54" t="s">
        <v>73</v>
      </c>
      <c r="I24" s="75">
        <v>5000</v>
      </c>
      <c r="J24" s="55" t="s">
        <v>147</v>
      </c>
    </row>
    <row r="25" spans="3:10" s="46" customFormat="1" ht="20" x14ac:dyDescent="0.25">
      <c r="C25" s="54" t="s">
        <v>76</v>
      </c>
      <c r="D25" s="75">
        <v>10000</v>
      </c>
      <c r="E25" s="55" t="s">
        <v>147</v>
      </c>
      <c r="F25" s="52"/>
      <c r="G25" s="52"/>
      <c r="H25" s="54" t="s">
        <v>76</v>
      </c>
      <c r="I25" s="75">
        <v>5000</v>
      </c>
      <c r="J25" s="55" t="s">
        <v>147</v>
      </c>
    </row>
    <row r="26" spans="3:10" s="46" customFormat="1" ht="20" x14ac:dyDescent="0.25">
      <c r="C26" s="54" t="s">
        <v>78</v>
      </c>
      <c r="D26" s="75">
        <v>20000</v>
      </c>
      <c r="E26" s="55" t="s">
        <v>147</v>
      </c>
      <c r="F26" s="52"/>
      <c r="G26" s="52"/>
      <c r="H26" s="54" t="s">
        <v>78</v>
      </c>
      <c r="I26" s="75">
        <v>10000</v>
      </c>
      <c r="J26" s="55" t="s">
        <v>147</v>
      </c>
    </row>
    <row r="27" spans="3:10" s="46" customFormat="1" ht="20" x14ac:dyDescent="0.25">
      <c r="C27" s="54" t="s">
        <v>80</v>
      </c>
      <c r="D27" s="75">
        <v>15000</v>
      </c>
      <c r="E27" s="55" t="s">
        <v>147</v>
      </c>
      <c r="F27" s="52"/>
      <c r="G27" s="52"/>
      <c r="H27" s="54" t="s">
        <v>80</v>
      </c>
      <c r="I27" s="75">
        <v>7500</v>
      </c>
      <c r="J27" s="55" t="s">
        <v>147</v>
      </c>
    </row>
    <row r="28" spans="3:10" s="46" customFormat="1" ht="20" x14ac:dyDescent="0.25">
      <c r="C28" s="54" t="s">
        <v>82</v>
      </c>
      <c r="D28" s="75">
        <v>5000</v>
      </c>
      <c r="E28" s="55" t="s">
        <v>147</v>
      </c>
      <c r="F28" s="52"/>
      <c r="G28" s="52"/>
      <c r="H28" s="54" t="s">
        <v>82</v>
      </c>
      <c r="I28" s="75">
        <v>2500</v>
      </c>
      <c r="J28" s="55" t="s">
        <v>147</v>
      </c>
    </row>
    <row r="29" spans="3:10" s="46" customFormat="1" ht="20" x14ac:dyDescent="0.25">
      <c r="C29" s="54" t="s">
        <v>84</v>
      </c>
      <c r="D29" s="75">
        <v>25000</v>
      </c>
      <c r="E29" s="55" t="s">
        <v>147</v>
      </c>
      <c r="F29" s="52"/>
      <c r="G29" s="52"/>
      <c r="H29" s="54" t="s">
        <v>84</v>
      </c>
      <c r="I29" s="75">
        <v>12500</v>
      </c>
      <c r="J29" s="55" t="s">
        <v>147</v>
      </c>
    </row>
    <row r="30" spans="3:10" s="46" customFormat="1" ht="20" x14ac:dyDescent="0.25">
      <c r="C30" s="54" t="s">
        <v>86</v>
      </c>
      <c r="D30" s="75">
        <v>300000</v>
      </c>
      <c r="E30" s="55" t="s">
        <v>147</v>
      </c>
      <c r="F30" s="52"/>
      <c r="G30" s="52"/>
      <c r="H30" s="54" t="s">
        <v>86</v>
      </c>
      <c r="I30" s="75">
        <v>150000</v>
      </c>
      <c r="J30" s="55" t="s">
        <v>147</v>
      </c>
    </row>
    <row r="31" spans="3:10" s="46" customFormat="1" ht="20" x14ac:dyDescent="0.25">
      <c r="C31" s="54" t="s">
        <v>88</v>
      </c>
      <c r="D31" s="75">
        <v>50000</v>
      </c>
      <c r="E31" s="55" t="s">
        <v>147</v>
      </c>
      <c r="F31" s="52"/>
      <c r="G31" s="52"/>
      <c r="H31" s="54" t="s">
        <v>88</v>
      </c>
      <c r="I31" s="75">
        <v>25000</v>
      </c>
      <c r="J31" s="55" t="s">
        <v>147</v>
      </c>
    </row>
    <row r="32" spans="3:10" s="46" customFormat="1" ht="20" x14ac:dyDescent="0.25">
      <c r="C32" s="54" t="s">
        <v>90</v>
      </c>
      <c r="D32" s="75">
        <v>15000</v>
      </c>
      <c r="E32" s="55" t="s">
        <v>147</v>
      </c>
      <c r="F32" s="52"/>
      <c r="G32" s="52"/>
      <c r="H32" s="54" t="s">
        <v>90</v>
      </c>
      <c r="I32" s="75">
        <v>7500</v>
      </c>
      <c r="J32" s="55" t="s">
        <v>147</v>
      </c>
    </row>
    <row r="33" spans="3:10" s="46" customFormat="1" ht="20" x14ac:dyDescent="0.25">
      <c r="C33" s="54" t="s">
        <v>91</v>
      </c>
      <c r="D33" s="75">
        <v>5000</v>
      </c>
      <c r="E33" s="55" t="s">
        <v>147</v>
      </c>
      <c r="F33" s="52"/>
      <c r="G33" s="52"/>
      <c r="H33" s="54" t="s">
        <v>91</v>
      </c>
      <c r="I33" s="75">
        <v>2500</v>
      </c>
      <c r="J33" s="55" t="s">
        <v>147</v>
      </c>
    </row>
    <row r="34" spans="3:10" s="46" customFormat="1" ht="20" x14ac:dyDescent="0.25">
      <c r="C34" s="54" t="s">
        <v>93</v>
      </c>
      <c r="D34" s="75">
        <v>50000</v>
      </c>
      <c r="E34" s="55" t="s">
        <v>147</v>
      </c>
      <c r="F34" s="52"/>
      <c r="G34" s="52"/>
      <c r="H34" s="54" t="s">
        <v>93</v>
      </c>
      <c r="I34" s="75">
        <v>25000</v>
      </c>
      <c r="J34" s="55" t="s">
        <v>147</v>
      </c>
    </row>
    <row r="35" spans="3:10" s="46" customFormat="1" ht="20" x14ac:dyDescent="0.25">
      <c r="C35" s="54" t="s">
        <v>95</v>
      </c>
      <c r="D35" s="75">
        <v>15000</v>
      </c>
      <c r="E35" s="55" t="s">
        <v>147</v>
      </c>
      <c r="F35" s="52"/>
      <c r="G35" s="52"/>
      <c r="H35" s="54" t="s">
        <v>95</v>
      </c>
      <c r="I35" s="75">
        <v>7500</v>
      </c>
      <c r="J35" s="55" t="s">
        <v>147</v>
      </c>
    </row>
    <row r="36" spans="3:10" s="46" customFormat="1" ht="20" x14ac:dyDescent="0.25">
      <c r="C36" s="56" t="s">
        <v>97</v>
      </c>
      <c r="D36" s="76">
        <v>25000</v>
      </c>
      <c r="E36" s="57" t="s">
        <v>147</v>
      </c>
      <c r="F36" s="52"/>
      <c r="G36" s="52"/>
      <c r="H36" s="56" t="s">
        <v>97</v>
      </c>
      <c r="I36" s="76">
        <v>12500</v>
      </c>
      <c r="J36" s="57" t="s">
        <v>147</v>
      </c>
    </row>
    <row r="37" spans="3:10" s="46" customFormat="1" ht="20" x14ac:dyDescent="0.25">
      <c r="C37" s="58" t="s">
        <v>99</v>
      </c>
      <c r="D37" s="77">
        <v>75000</v>
      </c>
      <c r="E37" s="59" t="s">
        <v>147</v>
      </c>
      <c r="F37" s="52"/>
      <c r="G37" s="52"/>
      <c r="H37" s="58" t="s">
        <v>99</v>
      </c>
      <c r="I37" s="77">
        <v>25000</v>
      </c>
      <c r="J37" s="59" t="s">
        <v>147</v>
      </c>
    </row>
    <row r="38" spans="3:10" s="46" customFormat="1" ht="19" x14ac:dyDescent="0.25">
      <c r="F38" s="52"/>
      <c r="G38" s="52"/>
    </row>
    <row r="39" spans="3:10" s="46" customFormat="1" ht="19" x14ac:dyDescent="0.25">
      <c r="F39" s="52"/>
      <c r="G39" s="52"/>
    </row>
    <row r="40" spans="3:10" s="46" customFormat="1" ht="19" x14ac:dyDescent="0.25">
      <c r="F40" s="52"/>
      <c r="G40" s="52"/>
    </row>
    <row r="41" spans="3:10" ht="16" x14ac:dyDescent="0.2">
      <c r="F41" s="41"/>
      <c r="G41" s="41"/>
    </row>
    <row r="42" spans="3:10" ht="16" x14ac:dyDescent="0.2">
      <c r="F42" s="41"/>
      <c r="G42" s="41"/>
    </row>
    <row r="43" spans="3:10" ht="16" x14ac:dyDescent="0.2">
      <c r="F43" s="41"/>
      <c r="G43" s="41"/>
    </row>
    <row r="44" spans="3:10" ht="16" x14ac:dyDescent="0.2">
      <c r="F44" s="41"/>
      <c r="G44" s="41"/>
    </row>
    <row r="45" spans="3:10" ht="16" x14ac:dyDescent="0.2">
      <c r="F45" s="41"/>
      <c r="G45" s="41"/>
    </row>
    <row r="46" spans="3:10" ht="16" x14ac:dyDescent="0.2">
      <c r="F46" s="41"/>
      <c r="G46" s="41"/>
    </row>
    <row r="47" spans="3:10" ht="16" x14ac:dyDescent="0.2">
      <c r="F47" s="41"/>
      <c r="G47" s="41"/>
    </row>
    <row r="48" spans="3:10" ht="16" x14ac:dyDescent="0.2">
      <c r="F48" s="41"/>
      <c r="G48" s="41"/>
    </row>
    <row r="49" spans="3:9" x14ac:dyDescent="0.2">
      <c r="C49" s="37"/>
      <c r="F49" s="37"/>
      <c r="G49" s="37"/>
      <c r="H49" s="37"/>
      <c r="I49" s="37"/>
    </row>
    <row r="50" spans="3:9" x14ac:dyDescent="0.2">
      <c r="C50" s="37"/>
      <c r="F50" s="37"/>
      <c r="G50" s="37"/>
      <c r="H50" s="37"/>
      <c r="I50" s="37"/>
    </row>
    <row r="51" spans="3:9" x14ac:dyDescent="0.2">
      <c r="C51" s="37"/>
      <c r="F51" s="37"/>
      <c r="G51" s="37"/>
      <c r="H51" s="37"/>
      <c r="I51" s="37"/>
    </row>
    <row r="52" spans="3:9" x14ac:dyDescent="0.2">
      <c r="C52" s="37"/>
      <c r="F52" s="37"/>
      <c r="G52" s="37"/>
      <c r="H52" s="37"/>
      <c r="I52" s="37"/>
    </row>
    <row r="53" spans="3:9" x14ac:dyDescent="0.2">
      <c r="C53" s="37"/>
      <c r="F53" s="37"/>
      <c r="G53" s="37"/>
      <c r="H53" s="37"/>
      <c r="I53" s="37"/>
    </row>
    <row r="54" spans="3:9" x14ac:dyDescent="0.2">
      <c r="C54" s="37"/>
      <c r="F54" s="37"/>
      <c r="G54" s="37"/>
      <c r="H54" s="37"/>
      <c r="I54" s="37"/>
    </row>
    <row r="55" spans="3:9" x14ac:dyDescent="0.2">
      <c r="C55" s="37"/>
      <c r="F55" s="37"/>
      <c r="G55" s="37"/>
      <c r="H55" s="37"/>
      <c r="I55" s="37"/>
    </row>
    <row r="56" spans="3:9" x14ac:dyDescent="0.2">
      <c r="C56" s="37"/>
      <c r="F56" s="37"/>
      <c r="G56" s="37"/>
      <c r="H56" s="37"/>
      <c r="I56" s="37"/>
    </row>
    <row r="57" spans="3:9" x14ac:dyDescent="0.2">
      <c r="C57" s="37"/>
      <c r="F57" s="37"/>
      <c r="G57" s="37"/>
      <c r="H57" s="37"/>
      <c r="I57" s="37"/>
    </row>
    <row r="58" spans="3:9" x14ac:dyDescent="0.2">
      <c r="C58" s="37"/>
      <c r="F58" s="37"/>
      <c r="G58" s="37"/>
      <c r="H58" s="37"/>
      <c r="I58" s="37"/>
    </row>
    <row r="59" spans="3:9" x14ac:dyDescent="0.2">
      <c r="C59" s="37"/>
      <c r="F59" s="37"/>
      <c r="G59" s="37"/>
      <c r="H59" s="37"/>
      <c r="I59" s="37"/>
    </row>
    <row r="60" spans="3:9" x14ac:dyDescent="0.2">
      <c r="C60" s="37"/>
      <c r="F60" s="37"/>
      <c r="G60" s="37"/>
      <c r="H60" s="37"/>
      <c r="I60" s="37"/>
    </row>
    <row r="61" spans="3:9" x14ac:dyDescent="0.2">
      <c r="C61" s="37"/>
      <c r="F61" s="37"/>
      <c r="G61" s="37"/>
      <c r="H61" s="37"/>
      <c r="I61" s="37"/>
    </row>
    <row r="62" spans="3:9" x14ac:dyDescent="0.2">
      <c r="C62" s="37"/>
      <c r="F62" s="37"/>
      <c r="G62" s="37"/>
      <c r="H62" s="37"/>
      <c r="I62" s="37"/>
    </row>
    <row r="63" spans="3:9" x14ac:dyDescent="0.2">
      <c r="C63" s="37"/>
      <c r="F63" s="37"/>
      <c r="G63" s="37"/>
      <c r="H63" s="37"/>
      <c r="I63" s="37"/>
    </row>
    <row r="64" spans="3:9" x14ac:dyDescent="0.2">
      <c r="C64" s="37"/>
      <c r="F64" s="37"/>
      <c r="G64" s="37"/>
      <c r="H64" s="37"/>
      <c r="I64" s="37"/>
    </row>
    <row r="65" spans="3:10" x14ac:dyDescent="0.2">
      <c r="C65" s="37"/>
      <c r="F65" s="37"/>
      <c r="G65" s="37"/>
      <c r="H65" s="37"/>
      <c r="I65" s="37"/>
    </row>
    <row r="66" spans="3:10" x14ac:dyDescent="0.2">
      <c r="C66" s="37"/>
      <c r="F66" s="37"/>
      <c r="G66" s="37"/>
      <c r="H66" s="37"/>
      <c r="I66" s="37"/>
    </row>
    <row r="67" spans="3:10" x14ac:dyDescent="0.2">
      <c r="C67" s="37"/>
      <c r="F67" s="37"/>
      <c r="G67" s="37"/>
      <c r="H67" s="37"/>
      <c r="I67" s="37"/>
    </row>
    <row r="68" spans="3:10" x14ac:dyDescent="0.2">
      <c r="C68" s="37"/>
      <c r="F68" s="37"/>
      <c r="G68" s="37"/>
      <c r="H68" s="37"/>
      <c r="I68" s="37"/>
    </row>
    <row r="69" spans="3:10" x14ac:dyDescent="0.2">
      <c r="C69" s="37"/>
      <c r="F69" s="37"/>
      <c r="G69" s="37"/>
      <c r="H69" s="37"/>
      <c r="I69" s="37"/>
    </row>
    <row r="70" spans="3:10" x14ac:dyDescent="0.2">
      <c r="C70" s="37"/>
      <c r="F70" s="37"/>
      <c r="G70" s="37"/>
      <c r="H70" s="37"/>
      <c r="I70" s="37"/>
    </row>
    <row r="71" spans="3:10" x14ac:dyDescent="0.2">
      <c r="C71" s="42"/>
      <c r="D71" s="42"/>
      <c r="E71" s="45"/>
      <c r="F71" s="42"/>
      <c r="G71" s="42"/>
      <c r="H71" s="42"/>
      <c r="I71" s="42"/>
      <c r="J71" s="45"/>
    </row>
    <row r="72" spans="3:10" x14ac:dyDescent="0.2">
      <c r="C72" s="42"/>
      <c r="D72" s="42"/>
      <c r="E72" s="45"/>
      <c r="F72" s="42"/>
      <c r="G72" s="42"/>
      <c r="H72" s="42"/>
      <c r="I72" s="42"/>
      <c r="J72" s="45"/>
    </row>
    <row r="73" spans="3:10" x14ac:dyDescent="0.2">
      <c r="C73" s="42"/>
      <c r="D73" s="42"/>
      <c r="E73" s="45"/>
      <c r="F73" s="42"/>
      <c r="G73" s="42"/>
      <c r="H73" s="42"/>
      <c r="I73" s="42"/>
      <c r="J73" s="45"/>
    </row>
    <row r="74" spans="3:10" x14ac:dyDescent="0.2">
      <c r="C74" s="42"/>
      <c r="D74" s="42"/>
      <c r="E74" s="45"/>
      <c r="F74" s="42"/>
      <c r="G74" s="42"/>
      <c r="H74" s="42"/>
      <c r="I74" s="42"/>
      <c r="J74" s="45"/>
    </row>
    <row r="75" spans="3:10" x14ac:dyDescent="0.2">
      <c r="C75" s="42"/>
      <c r="D75" s="42"/>
      <c r="E75" s="45"/>
      <c r="F75" s="42"/>
      <c r="G75" s="42"/>
      <c r="H75" s="42"/>
      <c r="I75" s="42"/>
      <c r="J75" s="45"/>
    </row>
  </sheetData>
  <mergeCells count="2">
    <mergeCell ref="C2:E2"/>
    <mergeCell ref="H2:J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82170-3C35-45DB-92ED-47D7AC37D8BF}">
  <dimension ref="A1:AK30"/>
  <sheetViews>
    <sheetView topLeftCell="G1" workbookViewId="0">
      <selection activeCell="Y1" sqref="Y1"/>
    </sheetView>
  </sheetViews>
  <sheetFormatPr baseColWidth="10" defaultColWidth="9" defaultRowHeight="16" x14ac:dyDescent="0.2"/>
  <cols>
    <col min="1" max="1" width="30.33203125" style="19" bestFit="1" customWidth="1"/>
    <col min="2" max="2" width="9" style="19"/>
    <col min="3" max="3" width="53" style="19" bestFit="1" customWidth="1"/>
    <col min="4" max="4" width="9" style="19"/>
    <col min="5" max="5" width="17.5" style="22" bestFit="1" customWidth="1"/>
    <col min="6" max="6" width="9" style="19"/>
    <col min="7" max="7" width="11.83203125" style="22" bestFit="1" customWidth="1"/>
    <col min="8" max="8" width="9" style="19"/>
    <col min="9" max="9" width="12.1640625" style="22" bestFit="1" customWidth="1"/>
    <col min="10" max="10" width="9" style="19"/>
    <col min="11" max="11" width="9" style="23" bestFit="1" customWidth="1"/>
    <col min="12" max="12" width="9" style="19"/>
    <col min="13" max="13" width="4.83203125" style="23" bestFit="1" customWidth="1"/>
    <col min="14" max="14" width="9" style="19"/>
    <col min="15" max="15" width="26.33203125" style="19" bestFit="1" customWidth="1"/>
    <col min="16" max="16" width="9" style="19"/>
    <col min="17" max="17" width="12.83203125" style="23" bestFit="1" customWidth="1"/>
    <col min="18" max="18" width="9" style="19"/>
    <col min="19" max="19" width="16" style="19" bestFit="1" customWidth="1"/>
    <col min="20" max="20" width="9" style="19"/>
    <col min="21" max="21" width="27.5" style="19" bestFit="1" customWidth="1"/>
    <col min="22" max="22" width="9" style="19"/>
    <col min="23" max="23" width="26" style="19" bestFit="1" customWidth="1"/>
    <col min="24" max="24" width="9" style="19"/>
    <col min="25" max="25" width="26" style="19" bestFit="1" customWidth="1"/>
    <col min="26" max="26" width="9" style="19"/>
    <col min="27" max="27" width="40.33203125" style="19" bestFit="1" customWidth="1"/>
    <col min="28" max="28" width="9" style="19"/>
    <col min="29" max="29" width="14.33203125" style="19" bestFit="1" customWidth="1"/>
    <col min="30" max="30" width="9" style="19"/>
    <col min="31" max="31" width="12" style="19" bestFit="1" customWidth="1"/>
    <col min="32" max="32" width="9" style="19"/>
    <col min="33" max="33" width="15" style="19" bestFit="1" customWidth="1"/>
    <col min="34" max="34" width="9" style="19"/>
    <col min="35" max="35" width="13.83203125" style="19" bestFit="1" customWidth="1"/>
    <col min="36" max="36" width="9" style="19"/>
    <col min="37" max="37" width="16" style="19" customWidth="1"/>
    <col min="38" max="16384" width="9" style="19"/>
  </cols>
  <sheetData>
    <row r="1" spans="1:37" x14ac:dyDescent="0.2">
      <c r="A1" s="18" t="s">
        <v>6</v>
      </c>
      <c r="C1" s="18" t="s">
        <v>148</v>
      </c>
      <c r="E1" s="20" t="s">
        <v>149</v>
      </c>
      <c r="G1" s="20" t="s">
        <v>150</v>
      </c>
      <c r="I1" s="20" t="s">
        <v>151</v>
      </c>
      <c r="K1" s="21" t="s">
        <v>152</v>
      </c>
      <c r="M1" s="21" t="s">
        <v>153</v>
      </c>
      <c r="O1" s="18" t="s">
        <v>105</v>
      </c>
      <c r="Q1" s="21" t="s">
        <v>106</v>
      </c>
      <c r="S1" s="21" t="s">
        <v>154</v>
      </c>
      <c r="U1" s="21" t="s">
        <v>68</v>
      </c>
      <c r="W1" s="21" t="s">
        <v>155</v>
      </c>
      <c r="Y1" s="21" t="s">
        <v>156</v>
      </c>
      <c r="AA1" s="21" t="s">
        <v>157</v>
      </c>
      <c r="AC1" s="21" t="s">
        <v>158</v>
      </c>
      <c r="AE1" s="21" t="s">
        <v>159</v>
      </c>
      <c r="AG1" s="21" t="s">
        <v>160</v>
      </c>
      <c r="AI1" s="21" t="s">
        <v>161</v>
      </c>
      <c r="AK1" s="21" t="s">
        <v>162</v>
      </c>
    </row>
    <row r="2" spans="1:37" x14ac:dyDescent="0.2">
      <c r="A2" s="19" t="s">
        <v>163</v>
      </c>
      <c r="C2" s="19" t="s">
        <v>164</v>
      </c>
      <c r="E2" s="22">
        <v>500000</v>
      </c>
      <c r="G2" s="22">
        <v>100000</v>
      </c>
      <c r="I2" s="22">
        <v>2500</v>
      </c>
      <c r="K2" s="23">
        <v>0.01</v>
      </c>
      <c r="M2" s="23">
        <v>0.05</v>
      </c>
      <c r="O2" s="19" t="s">
        <v>165</v>
      </c>
      <c r="Q2" s="23" t="s">
        <v>166</v>
      </c>
      <c r="S2" s="23" t="s">
        <v>167</v>
      </c>
      <c r="U2" s="23" t="s">
        <v>168</v>
      </c>
      <c r="W2" s="23" t="s">
        <v>169</v>
      </c>
      <c r="AA2" s="19" t="s">
        <v>170</v>
      </c>
      <c r="AC2" s="19" t="s">
        <v>171</v>
      </c>
      <c r="AE2" s="19" t="s">
        <v>172</v>
      </c>
      <c r="AG2" s="19" t="s">
        <v>173</v>
      </c>
      <c r="AI2" s="32" t="s">
        <v>174</v>
      </c>
      <c r="AK2" s="32" t="s">
        <v>175</v>
      </c>
    </row>
    <row r="3" spans="1:37" x14ac:dyDescent="0.2">
      <c r="A3" s="19" t="s">
        <v>176</v>
      </c>
      <c r="C3" s="19" t="s">
        <v>177</v>
      </c>
      <c r="E3" s="22">
        <v>1000000</v>
      </c>
      <c r="G3" s="22">
        <v>300000</v>
      </c>
      <c r="I3" s="22">
        <v>5000</v>
      </c>
      <c r="K3" s="23">
        <v>0.02</v>
      </c>
      <c r="M3" s="23">
        <v>0.1</v>
      </c>
      <c r="O3" s="19" t="s">
        <v>178</v>
      </c>
      <c r="Q3" s="23" t="s">
        <v>179</v>
      </c>
      <c r="S3" s="23" t="s">
        <v>180</v>
      </c>
      <c r="U3" s="23" t="s">
        <v>253</v>
      </c>
      <c r="W3" s="23" t="s">
        <v>181</v>
      </c>
      <c r="AA3" s="19" t="s">
        <v>263</v>
      </c>
      <c r="AC3" s="19" t="s">
        <v>182</v>
      </c>
      <c r="AE3" s="19" t="s">
        <v>183</v>
      </c>
      <c r="AG3" s="19" t="s">
        <v>184</v>
      </c>
      <c r="AI3" s="32" t="s">
        <v>185</v>
      </c>
      <c r="AK3" s="32" t="s">
        <v>186</v>
      </c>
    </row>
    <row r="4" spans="1:37" x14ac:dyDescent="0.2">
      <c r="A4" s="19" t="s">
        <v>187</v>
      </c>
      <c r="C4" s="19" t="s">
        <v>188</v>
      </c>
      <c r="E4" s="22">
        <v>2000000</v>
      </c>
      <c r="G4" s="22">
        <v>1000000</v>
      </c>
      <c r="I4" s="22">
        <v>10000</v>
      </c>
      <c r="K4" s="23">
        <v>0.03</v>
      </c>
      <c r="M4" s="23">
        <v>0.15</v>
      </c>
      <c r="O4" s="19" t="s">
        <v>189</v>
      </c>
      <c r="Q4" s="23" t="s">
        <v>190</v>
      </c>
      <c r="U4" s="19" t="s">
        <v>254</v>
      </c>
      <c r="AA4" s="19" t="s">
        <v>191</v>
      </c>
      <c r="AC4" s="19" t="s">
        <v>192</v>
      </c>
      <c r="AE4" s="19" t="s">
        <v>166</v>
      </c>
      <c r="AG4" s="19" t="s">
        <v>166</v>
      </c>
      <c r="AI4" s="32" t="s">
        <v>193</v>
      </c>
      <c r="AK4" s="19" t="s">
        <v>194</v>
      </c>
    </row>
    <row r="5" spans="1:37" x14ac:dyDescent="0.2">
      <c r="A5" s="19" t="s">
        <v>195</v>
      </c>
      <c r="I5" s="22">
        <v>15000</v>
      </c>
      <c r="K5" s="23">
        <v>0.04</v>
      </c>
      <c r="O5" s="19" t="s">
        <v>196</v>
      </c>
      <c r="Q5" s="23" t="s">
        <v>197</v>
      </c>
      <c r="Y5" s="23"/>
      <c r="AA5" s="23" t="s">
        <v>264</v>
      </c>
      <c r="AC5" s="23" t="s">
        <v>198</v>
      </c>
      <c r="AE5" s="23"/>
      <c r="AG5" s="23"/>
      <c r="AI5" s="19" t="s">
        <v>199</v>
      </c>
      <c r="AK5" s="19" t="s">
        <v>200</v>
      </c>
    </row>
    <row r="6" spans="1:37" x14ac:dyDescent="0.2">
      <c r="C6" s="18" t="s">
        <v>148</v>
      </c>
      <c r="E6" s="20" t="s">
        <v>311</v>
      </c>
      <c r="I6" s="22">
        <v>20000</v>
      </c>
      <c r="K6" s="23">
        <v>0.05</v>
      </c>
      <c r="O6" s="19" t="s">
        <v>201</v>
      </c>
      <c r="AC6" s="19" t="s">
        <v>202</v>
      </c>
    </row>
    <row r="7" spans="1:37" x14ac:dyDescent="0.2">
      <c r="C7" s="19" t="s">
        <v>164</v>
      </c>
      <c r="E7" s="22" t="s">
        <v>308</v>
      </c>
      <c r="I7" s="22">
        <v>25000</v>
      </c>
      <c r="K7" s="22">
        <v>5000</v>
      </c>
      <c r="O7" s="19" t="s">
        <v>203</v>
      </c>
      <c r="Y7" s="23"/>
      <c r="AA7" s="23"/>
      <c r="AC7" s="23" t="s">
        <v>204</v>
      </c>
      <c r="AE7" s="23"/>
      <c r="AG7" s="23"/>
    </row>
    <row r="8" spans="1:37" x14ac:dyDescent="0.2">
      <c r="C8" s="19" t="s">
        <v>255</v>
      </c>
      <c r="E8" s="22" t="s">
        <v>312</v>
      </c>
      <c r="I8" s="22">
        <v>50000</v>
      </c>
      <c r="K8" s="22">
        <v>20000</v>
      </c>
      <c r="O8" s="19" t="s">
        <v>205</v>
      </c>
      <c r="U8" s="21" t="s">
        <v>249</v>
      </c>
    </row>
    <row r="9" spans="1:37" x14ac:dyDescent="0.2">
      <c r="C9" s="19" t="s">
        <v>188</v>
      </c>
      <c r="I9" s="22">
        <v>75000</v>
      </c>
      <c r="K9" s="22">
        <v>50000</v>
      </c>
      <c r="U9" s="19" t="s">
        <v>250</v>
      </c>
    </row>
    <row r="10" spans="1:37" x14ac:dyDescent="0.2">
      <c r="A10" s="17">
        <f ca="1">TODAY()</f>
        <v>45980</v>
      </c>
      <c r="E10" s="20" t="s">
        <v>304</v>
      </c>
      <c r="I10" s="22">
        <v>100000</v>
      </c>
      <c r="K10" s="22">
        <v>75000</v>
      </c>
      <c r="U10" s="19" t="s">
        <v>251</v>
      </c>
    </row>
    <row r="11" spans="1:37" x14ac:dyDescent="0.2">
      <c r="C11" s="18" t="s">
        <v>148</v>
      </c>
      <c r="E11" s="22" t="s">
        <v>305</v>
      </c>
      <c r="K11" s="22">
        <v>100000</v>
      </c>
      <c r="O11" s="20" t="s">
        <v>149</v>
      </c>
      <c r="U11" s="19" t="s">
        <v>252</v>
      </c>
    </row>
    <row r="12" spans="1:37" x14ac:dyDescent="0.2">
      <c r="C12" s="19" t="s">
        <v>259</v>
      </c>
      <c r="E12" s="22" t="s">
        <v>306</v>
      </c>
      <c r="I12" s="22">
        <v>2500</v>
      </c>
      <c r="O12" s="22">
        <v>25000</v>
      </c>
    </row>
    <row r="13" spans="1:37" x14ac:dyDescent="0.2">
      <c r="C13" s="19" t="s">
        <v>160</v>
      </c>
      <c r="I13" s="22">
        <v>5000</v>
      </c>
      <c r="O13" s="22">
        <v>50000</v>
      </c>
    </row>
    <row r="14" spans="1:37" x14ac:dyDescent="0.2">
      <c r="C14" s="19" t="s">
        <v>260</v>
      </c>
      <c r="E14" s="20" t="s">
        <v>307</v>
      </c>
      <c r="I14" s="22">
        <v>10000</v>
      </c>
      <c r="O14" s="22">
        <v>75000</v>
      </c>
    </row>
    <row r="15" spans="1:37" x14ac:dyDescent="0.2">
      <c r="C15" s="19" t="s">
        <v>261</v>
      </c>
      <c r="E15" s="22">
        <v>5000</v>
      </c>
      <c r="I15" s="22">
        <v>25000</v>
      </c>
    </row>
    <row r="16" spans="1:37" x14ac:dyDescent="0.2">
      <c r="C16" s="19" t="s">
        <v>262</v>
      </c>
      <c r="E16" s="22">
        <v>10000</v>
      </c>
      <c r="I16" s="22">
        <v>50000</v>
      </c>
    </row>
    <row r="17" spans="3:9" x14ac:dyDescent="0.2">
      <c r="C17" s="19" t="s">
        <v>200</v>
      </c>
      <c r="E17" s="22">
        <v>15000</v>
      </c>
      <c r="I17" s="22">
        <v>75000</v>
      </c>
    </row>
    <row r="18" spans="3:9" x14ac:dyDescent="0.2">
      <c r="E18" s="22">
        <v>25000</v>
      </c>
    </row>
    <row r="19" spans="3:9" x14ac:dyDescent="0.2">
      <c r="C19" s="18" t="s">
        <v>268</v>
      </c>
      <c r="E19" s="22">
        <v>50000</v>
      </c>
    </row>
    <row r="20" spans="3:9" x14ac:dyDescent="0.2">
      <c r="C20" s="19" t="s">
        <v>266</v>
      </c>
    </row>
    <row r="21" spans="3:9" x14ac:dyDescent="0.2">
      <c r="C21" s="19" t="s">
        <v>267</v>
      </c>
    </row>
    <row r="23" spans="3:9" x14ac:dyDescent="0.2">
      <c r="C23" s="18" t="s">
        <v>106</v>
      </c>
    </row>
    <row r="24" spans="3:9" x14ac:dyDescent="0.2">
      <c r="C24" s="19" t="s">
        <v>277</v>
      </c>
    </row>
    <row r="25" spans="3:9" x14ac:dyDescent="0.2">
      <c r="C25" s="19" t="s">
        <v>278</v>
      </c>
    </row>
    <row r="26" spans="3:9" x14ac:dyDescent="0.2">
      <c r="C26" s="19" t="s">
        <v>279</v>
      </c>
    </row>
    <row r="27" spans="3:9" x14ac:dyDescent="0.2">
      <c r="C27" s="19" t="s">
        <v>276</v>
      </c>
    </row>
    <row r="29" spans="3:9" x14ac:dyDescent="0.2">
      <c r="C29" s="19" t="b">
        <v>1</v>
      </c>
    </row>
    <row r="30" spans="3:9" x14ac:dyDescent="0.2">
      <c r="C30" s="19" t="b">
        <v>0</v>
      </c>
    </row>
  </sheetData>
  <sortState xmlns:xlrd2="http://schemas.microsoft.com/office/spreadsheetml/2017/richdata2" ref="W2:W3">
    <sortCondition ref="W2:W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8C33-ECBA-4298-8061-B9AA95EC15D2}">
  <dimension ref="C3:O59"/>
  <sheetViews>
    <sheetView zoomScale="115" zoomScaleNormal="115" workbookViewId="0">
      <selection activeCell="Y2" sqref="Y2"/>
    </sheetView>
  </sheetViews>
  <sheetFormatPr baseColWidth="10" defaultColWidth="9" defaultRowHeight="15" x14ac:dyDescent="0.2"/>
  <cols>
    <col min="1" max="2" width="4" style="82" customWidth="1"/>
    <col min="3" max="3" width="29.33203125" style="82" bestFit="1" customWidth="1"/>
    <col min="4" max="4" width="28" style="82" customWidth="1"/>
    <col min="5" max="5" width="2" customWidth="1"/>
    <col min="6" max="11" width="2" style="82" customWidth="1"/>
    <col min="12" max="12" width="91.5" style="82" bestFit="1" customWidth="1"/>
    <col min="13" max="13" width="9" style="82" customWidth="1"/>
    <col min="14" max="14" width="26" style="82" customWidth="1"/>
    <col min="15" max="15" width="18.5" style="82" customWidth="1"/>
    <col min="16" max="16384" width="9" style="82"/>
  </cols>
  <sheetData>
    <row r="3" spans="3:15" x14ac:dyDescent="0.2">
      <c r="C3" s="80" t="s">
        <v>206</v>
      </c>
      <c r="D3" s="81" t="s">
        <v>207</v>
      </c>
      <c r="L3" s="102" t="s">
        <v>208</v>
      </c>
      <c r="M3" s="103"/>
      <c r="N3" s="103"/>
      <c r="O3" s="103"/>
    </row>
    <row r="4" spans="3:15" x14ac:dyDescent="0.2">
      <c r="C4" s="83" t="s">
        <v>209</v>
      </c>
      <c r="D4" s="84"/>
      <c r="L4" s="100" t="s">
        <v>210</v>
      </c>
      <c r="M4" s="101" t="s">
        <v>211</v>
      </c>
      <c r="N4" s="101" t="s">
        <v>212</v>
      </c>
      <c r="O4" s="101" t="s">
        <v>213</v>
      </c>
    </row>
    <row r="5" spans="3:15" x14ac:dyDescent="0.2">
      <c r="C5" s="85" t="s">
        <v>214</v>
      </c>
      <c r="D5" s="86"/>
      <c r="L5" s="87" t="s">
        <v>215</v>
      </c>
      <c r="M5" s="88" t="str">
        <f>'Submission Details'!F36</f>
        <v xml:space="preserve">Number of playgrounds </v>
      </c>
      <c r="N5" s="88"/>
      <c r="O5" s="88"/>
    </row>
    <row r="6" spans="3:15" x14ac:dyDescent="0.2">
      <c r="C6" s="83" t="s">
        <v>34</v>
      </c>
      <c r="D6" s="89" t="str">
        <f>'Submission Details'!B14</f>
        <v>Wolf Creek Lodge Association</v>
      </c>
      <c r="L6" s="87" t="s">
        <v>216</v>
      </c>
      <c r="M6" s="88" t="str">
        <f>'Submission Details'!F37</f>
        <v xml:space="preserve">Number of swimming pools </v>
      </c>
      <c r="N6" s="88"/>
      <c r="O6" s="88"/>
    </row>
    <row r="7" spans="3:15" x14ac:dyDescent="0.2">
      <c r="C7" s="90" t="s">
        <v>217</v>
      </c>
      <c r="D7" s="91" t="str">
        <f>'Submission Details'!B15</f>
        <v>Socher Insurance Agency</v>
      </c>
      <c r="L7" s="87" t="s">
        <v>218</v>
      </c>
      <c r="M7" s="88"/>
      <c r="N7" s="88"/>
      <c r="O7" s="88"/>
    </row>
    <row r="8" spans="3:15" x14ac:dyDescent="0.2">
      <c r="C8" s="85" t="s">
        <v>219</v>
      </c>
      <c r="D8" s="92" t="str">
        <f>'Submission Details'!B34</f>
        <v>Board of Directors</v>
      </c>
      <c r="L8" s="87" t="s">
        <v>220</v>
      </c>
      <c r="M8" s="88"/>
      <c r="N8" s="88" t="str">
        <f>'Submission Details'!F33</f>
        <v xml:space="preserve">Parking Area -sq. ft </v>
      </c>
      <c r="O8" s="88"/>
    </row>
    <row r="9" spans="3:15" x14ac:dyDescent="0.2">
      <c r="C9" s="83" t="s">
        <v>221</v>
      </c>
      <c r="D9" s="93">
        <f ca="1">TODAY()</f>
        <v>45980</v>
      </c>
      <c r="L9" s="87" t="s">
        <v>222</v>
      </c>
      <c r="M9" s="88"/>
      <c r="N9" s="88" t="str">
        <f>'Submission Details'!F52</f>
        <v>Commercial total area sq. ft</v>
      </c>
      <c r="O9" s="88"/>
    </row>
    <row r="10" spans="3:15" x14ac:dyDescent="0.2">
      <c r="C10" s="90" t="s">
        <v>223</v>
      </c>
      <c r="D10" s="94">
        <f>'Submission Details'!B25</f>
        <v>45930</v>
      </c>
      <c r="L10" s="87" t="s">
        <v>224</v>
      </c>
      <c r="M10" s="88"/>
      <c r="N10" s="88"/>
      <c r="O10" s="88" t="e">
        <f>'Submission Details'!#REF!</f>
        <v>#REF!</v>
      </c>
    </row>
    <row r="11" spans="3:15" x14ac:dyDescent="0.2">
      <c r="C11" s="90" t="s">
        <v>65</v>
      </c>
      <c r="D11" s="94">
        <f>D10</f>
        <v>45930</v>
      </c>
      <c r="L11" s="87" t="s">
        <v>225</v>
      </c>
      <c r="M11" s="88"/>
      <c r="N11" s="88" t="e">
        <f>'Submission Details'!#REF!</f>
        <v>#REF!</v>
      </c>
      <c r="O11" s="88"/>
    </row>
    <row r="12" spans="3:15" x14ac:dyDescent="0.2">
      <c r="C12" s="85" t="s">
        <v>226</v>
      </c>
      <c r="D12" s="95">
        <f>DATE(YEAR(D11)+1, MONTH(D11), DAY(D11))</f>
        <v>46295</v>
      </c>
      <c r="L12" s="87" t="s">
        <v>227</v>
      </c>
      <c r="M12" s="88"/>
      <c r="N12" s="88"/>
      <c r="O12" s="88"/>
    </row>
    <row r="13" spans="3:15" x14ac:dyDescent="0.2">
      <c r="C13" s="83" t="s">
        <v>94</v>
      </c>
      <c r="D13" s="89" t="str">
        <f>'Submission Details'!B39</f>
        <v xml:space="preserve">800 Freeman Lane </v>
      </c>
      <c r="L13" s="87" t="s">
        <v>228</v>
      </c>
      <c r="M13" s="88"/>
      <c r="N13" s="88" t="str">
        <f>'Submission Details'!F48</f>
        <v>Lakes or ponds Max depth</v>
      </c>
      <c r="O13" s="88"/>
    </row>
    <row r="14" spans="3:15" x14ac:dyDescent="0.2">
      <c r="C14" s="90" t="s">
        <v>96</v>
      </c>
      <c r="D14" s="91" t="str">
        <f>'Submission Details'!B40</f>
        <v>Grass Valley</v>
      </c>
      <c r="L14" s="96"/>
      <c r="M14" s="88"/>
      <c r="N14" s="88"/>
      <c r="O14" s="88"/>
    </row>
    <row r="15" spans="3:15" x14ac:dyDescent="0.2">
      <c r="C15" s="90" t="s">
        <v>229</v>
      </c>
      <c r="D15" s="91"/>
      <c r="L15" s="96"/>
      <c r="M15" s="88"/>
      <c r="N15" s="88"/>
      <c r="O15" s="88"/>
    </row>
    <row r="16" spans="3:15" x14ac:dyDescent="0.2">
      <c r="C16" s="90" t="s">
        <v>98</v>
      </c>
      <c r="D16" s="91" t="str">
        <f>'Submission Details'!B41</f>
        <v xml:space="preserve">CA </v>
      </c>
      <c r="L16" s="96"/>
      <c r="M16" s="88"/>
      <c r="N16" s="88"/>
      <c r="O16" s="88"/>
    </row>
    <row r="17" spans="3:15" x14ac:dyDescent="0.2">
      <c r="C17" s="85" t="s">
        <v>100</v>
      </c>
      <c r="D17" s="92">
        <f>'Submission Details'!B42</f>
        <v>95949</v>
      </c>
      <c r="L17" s="96"/>
      <c r="M17" s="88"/>
      <c r="N17" s="88"/>
      <c r="O17" s="88"/>
    </row>
    <row r="18" spans="3:15" x14ac:dyDescent="0.2">
      <c r="C18" s="83" t="s">
        <v>230</v>
      </c>
      <c r="D18" s="89"/>
      <c r="L18" s="96"/>
      <c r="M18" s="88"/>
      <c r="N18" s="88"/>
      <c r="O18" s="88"/>
    </row>
    <row r="19" spans="3:15" x14ac:dyDescent="0.2">
      <c r="C19" s="90" t="s">
        <v>6</v>
      </c>
      <c r="D19" s="91" t="str">
        <f>'Submission Details'!E4</f>
        <v>Single Entity</v>
      </c>
      <c r="L19" s="96"/>
      <c r="M19" s="88"/>
      <c r="N19" s="88"/>
      <c r="O19" s="88"/>
    </row>
    <row r="20" spans="3:15" x14ac:dyDescent="0.2">
      <c r="C20" s="90" t="s">
        <v>12</v>
      </c>
      <c r="D20" s="97">
        <f>'Submission Details'!E6</f>
        <v>9928040</v>
      </c>
      <c r="L20" s="96"/>
      <c r="M20" s="88"/>
      <c r="N20" s="88"/>
      <c r="O20" s="88"/>
    </row>
    <row r="21" spans="3:15" x14ac:dyDescent="0.2">
      <c r="C21" s="90" t="s">
        <v>14</v>
      </c>
      <c r="D21" s="97">
        <f>'Submission Details'!E7</f>
        <v>25000</v>
      </c>
      <c r="L21" s="96"/>
      <c r="M21" s="88"/>
      <c r="N21" s="88"/>
      <c r="O21" s="88"/>
    </row>
    <row r="22" spans="3:15" x14ac:dyDescent="0.2">
      <c r="C22" s="90" t="s">
        <v>18</v>
      </c>
      <c r="D22" s="97">
        <f>'Submission Details'!E8</f>
        <v>605000</v>
      </c>
    </row>
    <row r="23" spans="3:15" x14ac:dyDescent="0.2">
      <c r="C23" s="90" t="s">
        <v>21</v>
      </c>
      <c r="D23" s="98">
        <f>SUM(D20:D22)</f>
        <v>10558040</v>
      </c>
    </row>
    <row r="24" spans="3:15" x14ac:dyDescent="0.2">
      <c r="C24" s="90" t="s">
        <v>24</v>
      </c>
      <c r="D24" s="97">
        <f>'Submission Details'!E10</f>
        <v>496402</v>
      </c>
    </row>
    <row r="25" spans="3:15" x14ac:dyDescent="0.2">
      <c r="C25" s="90" t="s">
        <v>27</v>
      </c>
      <c r="D25" s="97">
        <f>'Submission Details'!E11</f>
        <v>992804</v>
      </c>
    </row>
    <row r="26" spans="3:15" x14ac:dyDescent="0.2">
      <c r="C26" s="90" t="s">
        <v>32</v>
      </c>
      <c r="D26" s="98">
        <f>IF(D23&lt;100000000, D23, 1000000)</f>
        <v>10558040</v>
      </c>
    </row>
    <row r="27" spans="3:15" x14ac:dyDescent="0.2">
      <c r="C27" s="90" t="s">
        <v>35</v>
      </c>
      <c r="D27" s="97">
        <f>'Submission Details'!E14</f>
        <v>0</v>
      </c>
    </row>
    <row r="28" spans="3:15" x14ac:dyDescent="0.2">
      <c r="C28" s="90" t="s">
        <v>231</v>
      </c>
      <c r="D28" s="97" t="str">
        <f>IF('Submission Details'!E15&gt;0, 'Submission Details'!E15, "")</f>
        <v/>
      </c>
    </row>
    <row r="29" spans="3:15" x14ac:dyDescent="0.2">
      <c r="C29" s="90" t="s">
        <v>232</v>
      </c>
      <c r="D29" s="97">
        <v>1000000</v>
      </c>
    </row>
    <row r="30" spans="3:15" x14ac:dyDescent="0.2">
      <c r="C30" s="90" t="s">
        <v>233</v>
      </c>
      <c r="D30" s="98">
        <f>D29*2</f>
        <v>2000000</v>
      </c>
    </row>
    <row r="31" spans="3:15" x14ac:dyDescent="0.2">
      <c r="C31" s="90" t="s">
        <v>40</v>
      </c>
      <c r="D31" s="97">
        <f>'Submission Details'!E20</f>
        <v>300000</v>
      </c>
    </row>
    <row r="32" spans="3:15" x14ac:dyDescent="0.2">
      <c r="C32" s="90" t="s">
        <v>234</v>
      </c>
      <c r="D32" s="97">
        <f>'Submission Details'!E22</f>
        <v>0</v>
      </c>
    </row>
    <row r="33" spans="3:4" x14ac:dyDescent="0.2">
      <c r="C33" s="90" t="s">
        <v>52</v>
      </c>
      <c r="D33" s="97">
        <f>'Submission Details'!E24</f>
        <v>1000000</v>
      </c>
    </row>
    <row r="34" spans="3:4" x14ac:dyDescent="0.2">
      <c r="C34" s="83" t="s">
        <v>60</v>
      </c>
      <c r="D34" s="105">
        <f>IF('Submission Details'!E25&gt;0, 'Submission Details'!E25, "")</f>
        <v>75000</v>
      </c>
    </row>
    <row r="35" spans="3:4" x14ac:dyDescent="0.2">
      <c r="C35" s="90" t="s">
        <v>63</v>
      </c>
      <c r="D35" s="106" t="str">
        <f>IF('Submission Details'!E26&gt;0, 'Submission Details'!E26, "")</f>
        <v/>
      </c>
    </row>
    <row r="36" spans="3:4" x14ac:dyDescent="0.2">
      <c r="C36" s="90" t="s">
        <v>66</v>
      </c>
      <c r="D36" s="106" t="str">
        <f>IF('Submission Details'!E28&gt;0, 'Submission Details'!E28, "")</f>
        <v/>
      </c>
    </row>
    <row r="37" spans="3:4" x14ac:dyDescent="0.2">
      <c r="C37" s="90" t="s">
        <v>69</v>
      </c>
      <c r="D37" s="106" t="str">
        <f>IF('Submission Details'!E29&gt;0, 'Submission Details'!E29, "")</f>
        <v/>
      </c>
    </row>
    <row r="38" spans="3:4" x14ac:dyDescent="0.2">
      <c r="C38" s="90" t="s">
        <v>235</v>
      </c>
      <c r="D38" s="107" t="s">
        <v>236</v>
      </c>
    </row>
    <row r="39" spans="3:4" x14ac:dyDescent="0.2">
      <c r="C39" s="90" t="s">
        <v>237</v>
      </c>
      <c r="D39" s="108" t="s">
        <v>236</v>
      </c>
    </row>
    <row r="40" spans="3:4" x14ac:dyDescent="0.2">
      <c r="C40" s="90" t="s">
        <v>72</v>
      </c>
      <c r="D40" s="106" t="e">
        <f>IF('Submission Details'!#REF!&gt;0, 'Submission Details'!#REF!, "")</f>
        <v>#REF!</v>
      </c>
    </row>
    <row r="41" spans="3:4" x14ac:dyDescent="0.2">
      <c r="C41" s="90" t="s">
        <v>75</v>
      </c>
      <c r="D41" s="106" t="str">
        <f>IF('Submission Details'!E30&gt;0, 'Submission Details'!E30, "")</f>
        <v/>
      </c>
    </row>
    <row r="42" spans="3:4" x14ac:dyDescent="0.2">
      <c r="C42" s="90" t="s">
        <v>238</v>
      </c>
      <c r="D42" s="109" t="str">
        <f>IF('Submission Details'!E31&gt;0, 'Submission Details'!E31, "")</f>
        <v/>
      </c>
    </row>
    <row r="43" spans="3:4" x14ac:dyDescent="0.2">
      <c r="C43" s="85" t="s">
        <v>239</v>
      </c>
      <c r="D43" s="110"/>
    </row>
    <row r="44" spans="3:4" x14ac:dyDescent="0.2">
      <c r="C44" s="90" t="s">
        <v>240</v>
      </c>
      <c r="D44" s="91"/>
    </row>
    <row r="45" spans="3:4" x14ac:dyDescent="0.2">
      <c r="C45" s="90" t="s">
        <v>241</v>
      </c>
      <c r="D45" s="91"/>
    </row>
    <row r="46" spans="3:4" x14ac:dyDescent="0.2">
      <c r="C46" s="85" t="s">
        <v>242</v>
      </c>
      <c r="D46" s="92"/>
    </row>
    <row r="47" spans="3:4" x14ac:dyDescent="0.2">
      <c r="C47" s="83" t="s">
        <v>103</v>
      </c>
      <c r="D47" s="89">
        <f>'Submission Details'!B44</f>
        <v>2012</v>
      </c>
    </row>
    <row r="48" spans="3:4" x14ac:dyDescent="0.2">
      <c r="C48" s="90" t="s">
        <v>104</v>
      </c>
      <c r="D48" s="99">
        <f>'Submission Details'!B45</f>
        <v>1</v>
      </c>
    </row>
    <row r="49" spans="3:4" x14ac:dyDescent="0.2">
      <c r="C49" s="90" t="s">
        <v>243</v>
      </c>
      <c r="D49" s="99">
        <f>'Submission Details'!B46</f>
        <v>4</v>
      </c>
    </row>
    <row r="50" spans="3:4" x14ac:dyDescent="0.2">
      <c r="C50" s="90" t="s">
        <v>244</v>
      </c>
      <c r="D50" s="99">
        <f>'Submission Details'!B48</f>
        <v>33</v>
      </c>
    </row>
    <row r="51" spans="3:4" x14ac:dyDescent="0.2">
      <c r="C51" s="90" t="s">
        <v>105</v>
      </c>
      <c r="D51" s="99" t="str">
        <f>'Submission Details'!B53</f>
        <v>Frame</v>
      </c>
    </row>
    <row r="52" spans="3:4" x14ac:dyDescent="0.2">
      <c r="C52" s="90" t="s">
        <v>245</v>
      </c>
      <c r="D52" s="99"/>
    </row>
    <row r="53" spans="3:4" x14ac:dyDescent="0.2">
      <c r="C53" s="90" t="s">
        <v>246</v>
      </c>
      <c r="D53" s="91" t="str">
        <f>'Submission Details'!B56</f>
        <v>51% to 100%</v>
      </c>
    </row>
    <row r="54" spans="3:4" x14ac:dyDescent="0.2">
      <c r="C54" s="90" t="s">
        <v>107</v>
      </c>
      <c r="D54" s="99">
        <f>'Submission Details'!B58</f>
        <v>29394</v>
      </c>
    </row>
    <row r="55" spans="3:4" x14ac:dyDescent="0.2">
      <c r="C55" s="90" t="s">
        <v>247</v>
      </c>
      <c r="D55" s="99">
        <f>'Submission Details'!B59</f>
        <v>8760</v>
      </c>
    </row>
    <row r="56" spans="3:4" x14ac:dyDescent="0.2">
      <c r="C56" s="85" t="s">
        <v>109</v>
      </c>
      <c r="D56" s="104">
        <f>SUM(D54:D55)</f>
        <v>38154</v>
      </c>
    </row>
    <row r="57" spans="3:4" x14ac:dyDescent="0.2">
      <c r="C57"/>
      <c r="D57"/>
    </row>
    <row r="58" spans="3:4" x14ac:dyDescent="0.2">
      <c r="C58"/>
      <c r="D58"/>
    </row>
    <row r="59" spans="3:4" x14ac:dyDescent="0.2">
      <c r="C59"/>
      <c r="D59"/>
    </row>
  </sheetData>
  <conditionalFormatting sqref="D12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8a41ad68-e0e0-4f41-8011-1d1bc4d7905e" xsi:nil="true"/>
    <TaxCatchAll xmlns="03572007-efe5-4fb3-aed7-a41d0c924ebd" xsi:nil="true"/>
    <lcf76f155ced4ddcb4097134ff3c332f xmlns="8a41ad68-e0e0-4f41-8011-1d1bc4d7905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D0D5C853A1DE4F8949B78BEBF0E4DC" ma:contentTypeVersion="17" ma:contentTypeDescription="Create a new document." ma:contentTypeScope="" ma:versionID="39bfa9404cbcbd887070afe2dce59ffc">
  <xsd:schema xmlns:xsd="http://www.w3.org/2001/XMLSchema" xmlns:xs="http://www.w3.org/2001/XMLSchema" xmlns:p="http://schemas.microsoft.com/office/2006/metadata/properties" xmlns:ns2="8a41ad68-e0e0-4f41-8011-1d1bc4d7905e" xmlns:ns3="03572007-efe5-4fb3-aed7-a41d0c924ebd" targetNamespace="http://schemas.microsoft.com/office/2006/metadata/properties" ma:root="true" ma:fieldsID="e5b1b193ede448280afe66292dd50879" ns2:_="" ns3:_="">
    <xsd:import namespace="8a41ad68-e0e0-4f41-8011-1d1bc4d7905e"/>
    <xsd:import namespace="03572007-efe5-4fb3-aed7-a41d0c924e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at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1ad68-e0e0-4f41-8011-1d1bc4d790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Date" ma:index="14" nillable="true" ma:displayName="Date" ma:format="DateTime" ma:internalName="Date">
      <xsd:simpleType>
        <xsd:restriction base="dms:DateTim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344de64-a3b7-4a41-b424-6b5622b54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72007-efe5-4fb3-aed7-a41d0c924eb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0f0e9d81-9041-4675-a257-c1090fff7026}" ma:internalName="TaxCatchAll" ma:showField="CatchAllData" ma:web="03572007-efe5-4fb3-aed7-a41d0c924e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83057F-A31A-48F5-81E5-6DC8D3B8FB4F}">
  <ds:schemaRefs>
    <ds:schemaRef ds:uri="http://purl.org/dc/elements/1.1/"/>
    <ds:schemaRef ds:uri="http://schemas.openxmlformats.org/package/2006/metadata/core-properties"/>
    <ds:schemaRef ds:uri="8a41ad68-e0e0-4f41-8011-1d1bc4d7905e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03572007-efe5-4fb3-aed7-a41d0c924ebd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05E6175-41FF-4DD5-81C3-F24739EDAB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41ad68-e0e0-4f41-8011-1d1bc4d7905e"/>
    <ds:schemaRef ds:uri="03572007-efe5-4fb3-aed7-a41d0c924e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3C99D8-8426-47B9-9389-1AA5A94A9C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Details</vt:lpstr>
      <vt:lpstr>Statement of Values</vt:lpstr>
      <vt:lpstr>Platinum &amp; Gold Details</vt:lpstr>
      <vt:lpstr>Lists</vt:lpstr>
      <vt:lpstr>AS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Amanda Neumann</dc:creator>
  <cp:keywords/>
  <dc:description/>
  <cp:lastModifiedBy>Nadav Kolevesoh</cp:lastModifiedBy>
  <cp:revision/>
  <cp:lastPrinted>2023-09-26T20:09:52Z</cp:lastPrinted>
  <dcterms:created xsi:type="dcterms:W3CDTF">2014-05-29T21:37:17Z</dcterms:created>
  <dcterms:modified xsi:type="dcterms:W3CDTF">2025-11-19T06:35:46Z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0x01010071D0D5C853A1DE4F8949B78BEBF0E4DC</vt:lpwstr>
  </property>
  <property fmtid="{D5CDD505-2E9C-101B-9397-08002B2CF9AE}" pid="3" name="MediaServiceImageTags">
    <vt:lpwstr/>
  </property>
</Properties>
</file>