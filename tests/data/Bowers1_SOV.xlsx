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spects\Village of North College Hill\"/>
    </mc:Choice>
  </mc:AlternateContent>
  <xr:revisionPtr revIDLastSave="0" documentId="13_ncr:1_{CDA9290E-DD60-4B99-BFDE-D3B644B9A17F}" xr6:coauthVersionLast="47" xr6:coauthVersionMax="47" xr10:uidLastSave="{00000000-0000-0000-0000-000000000000}"/>
  <bookViews>
    <workbookView xWindow="28680" yWindow="-120" windowWidth="29040" windowHeight="15720" activeTab="1" xr2:uid="{17CC258F-5246-42D3-BA62-370C338C1496}"/>
  </bookViews>
  <sheets>
    <sheet name="Detail" sheetId="1" r:id="rId1"/>
    <sheet name="Consolidated" sheetId="2" r:id="rId2"/>
  </sheets>
  <definedNames>
    <definedName name="_xlnm._FilterDatabase" localSheetId="0" hidden="1">Detail!#REF!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4" i="2"/>
  <c r="K6" i="2"/>
  <c r="Q23" i="1"/>
  <c r="Q10" i="1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36540870-99C6-456A-BD5A-9AEE7769CF54}">
      <text>
        <r>
          <rPr>
            <b/>
            <sz val="8"/>
            <color indexed="81"/>
            <rFont val="Tahoma"/>
            <family val="2"/>
          </rPr>
          <t>Enter the street number or address of the building.</t>
        </r>
      </text>
    </comment>
    <comment ref="C1" authorId="0" shapeId="0" xr:uid="{0F661815-B4DB-4FCE-B427-92A03DD9477B}">
      <text>
        <r>
          <rPr>
            <b/>
            <sz val="8"/>
            <color indexed="81"/>
            <rFont val="Tahoma"/>
            <family val="2"/>
          </rPr>
          <t>Enter the street name of the building.</t>
        </r>
      </text>
    </comment>
    <comment ref="G1" authorId="0" shapeId="0" xr:uid="{8039D7EF-DE8B-4E4B-9187-310F87FC0E45}">
      <text>
        <r>
          <rPr>
            <b/>
            <sz val="8"/>
            <color indexed="81"/>
            <rFont val="Tahoma"/>
            <family val="2"/>
          </rPr>
          <t>Select a construction type from the drop-down.  These are the only acceptable values.</t>
        </r>
      </text>
    </comment>
    <comment ref="J1" authorId="0" shapeId="0" xr:uid="{D68EEA0B-F368-4B6D-B553-F9859B8502FF}">
      <text>
        <r>
          <rPr>
            <b/>
            <sz val="8"/>
            <color indexed="81"/>
            <rFont val="Tahoma"/>
            <family val="2"/>
          </rPr>
          <t>Select a roof material from the drop-down.  These are the only acceptable values.</t>
        </r>
      </text>
    </comment>
    <comment ref="M1" authorId="0" shapeId="0" xr:uid="{0A161C82-6D6F-4072-BC64-70C634E2B08E}">
      <text>
        <r>
          <rPr>
            <b/>
            <sz val="8"/>
            <color indexed="81"/>
            <rFont val="Tahoma"/>
            <family val="2"/>
          </rPr>
          <t xml:space="preserve">Enter the number of units in the building.  If the number is more than 1, then you must also enter the individual unit numbers in column I.
</t>
        </r>
      </text>
    </comment>
    <comment ref="O1" authorId="0" shapeId="0" xr:uid="{B8201760-2085-447D-9889-5A418949AC19}">
      <text>
        <r>
          <rPr>
            <b/>
            <sz val="8"/>
            <color indexed="81"/>
            <rFont val="Tahoma"/>
            <family val="2"/>
          </rPr>
          <t>Answer yes only if the building is 100% sprinklered.</t>
        </r>
      </text>
    </comment>
    <comment ref="Q1" authorId="0" shapeId="0" xr:uid="{62BCE48B-A61E-4A00-9891-97D8531A0ECE}">
      <text>
        <r>
          <rPr>
            <b/>
            <sz val="8"/>
            <color indexed="81"/>
            <rFont val="Tahoma"/>
            <family val="2"/>
          </rPr>
          <t>Building square footage does not include garage and basement areas.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0C056473-EE10-43CC-8D36-B0100A2B1E0A}">
      <text>
        <r>
          <rPr>
            <b/>
            <sz val="8"/>
            <color indexed="81"/>
            <rFont val="Tahoma"/>
            <family val="2"/>
          </rPr>
          <t>Enter the street number or address of the building.</t>
        </r>
      </text>
    </comment>
    <comment ref="C1" authorId="0" shapeId="0" xr:uid="{CAC8F031-8C6B-4867-B063-71BC0D1AED61}">
      <text>
        <r>
          <rPr>
            <b/>
            <sz val="8"/>
            <color indexed="81"/>
            <rFont val="Tahoma"/>
            <family val="2"/>
          </rPr>
          <t>Enter the street name of the building.</t>
        </r>
      </text>
    </comment>
    <comment ref="G1" authorId="0" shapeId="0" xr:uid="{FEBDB336-41ED-43FE-B7A5-E373E807CC70}">
      <text>
        <r>
          <rPr>
            <b/>
            <sz val="8"/>
            <color indexed="81"/>
            <rFont val="Tahoma"/>
            <family val="2"/>
          </rPr>
          <t>Select a construction type from the drop-down.  These are the only acceptable values.</t>
        </r>
      </text>
    </comment>
    <comment ref="J1" authorId="0" shapeId="0" xr:uid="{EBC923B5-5057-4324-89AC-D10776783622}">
      <text>
        <r>
          <rPr>
            <b/>
            <sz val="8"/>
            <color indexed="81"/>
            <rFont val="Tahoma"/>
            <family val="2"/>
          </rPr>
          <t>Select a roof material from the drop-down.  These are the only acceptable values.</t>
        </r>
      </text>
    </comment>
    <comment ref="M1" authorId="0" shapeId="0" xr:uid="{9F80A7EE-8E85-4A46-8605-59AA085E112C}">
      <text>
        <r>
          <rPr>
            <b/>
            <sz val="8"/>
            <color indexed="81"/>
            <rFont val="Tahoma"/>
            <family val="2"/>
          </rPr>
          <t xml:space="preserve">Enter the number of units in the building.  If the number is more than 1, then you must also enter the individual unit numbers in column I.
</t>
        </r>
      </text>
    </comment>
    <comment ref="O1" authorId="0" shapeId="0" xr:uid="{9AE57B6F-78E1-44B8-9850-51F2014A9D57}">
      <text>
        <r>
          <rPr>
            <b/>
            <sz val="8"/>
            <color indexed="81"/>
            <rFont val="Tahoma"/>
            <family val="2"/>
          </rPr>
          <t>Answer yes only if the building is 100% sprinklered.</t>
        </r>
      </text>
    </comment>
    <comment ref="Q1" authorId="0" shapeId="0" xr:uid="{C537A7EC-E749-4A28-99F3-3C9AE35A36B5}">
      <text>
        <r>
          <rPr>
            <b/>
            <sz val="8"/>
            <color indexed="81"/>
            <rFont val="Tahoma"/>
            <family val="2"/>
          </rPr>
          <t>Building square footage does not include garage and basement areas.</t>
        </r>
      </text>
    </comment>
  </commentList>
</comments>
</file>

<file path=xl/sharedStrings.xml><?xml version="1.0" encoding="utf-8"?>
<sst xmlns="http://schemas.openxmlformats.org/spreadsheetml/2006/main" count="452" uniqueCount="37">
  <si>
    <t>Bldg</t>
  </si>
  <si>
    <t>Street #</t>
  </si>
  <si>
    <t>Street Name</t>
  </si>
  <si>
    <t>City</t>
  </si>
  <si>
    <t>State</t>
  </si>
  <si>
    <t>Zip</t>
  </si>
  <si>
    <t>Construction</t>
  </si>
  <si>
    <t>Year Built</t>
  </si>
  <si>
    <t>Remodeled</t>
  </si>
  <si>
    <t>Roof Material</t>
  </si>
  <si>
    <t>100% Replacement Cost</t>
  </si>
  <si>
    <t># Of Stories</t>
  </si>
  <si>
    <t># Of Units</t>
  </si>
  <si>
    <t>Unit #s</t>
  </si>
  <si>
    <t>100% Sprinklered?</t>
  </si>
  <si>
    <t>Fireplace</t>
  </si>
  <si>
    <t>Building Square Footage</t>
  </si>
  <si>
    <t>Basement Square Footage</t>
  </si>
  <si>
    <t>Finished Basement Square Footage</t>
  </si>
  <si>
    <t>% Of Basement Finished</t>
  </si>
  <si>
    <t>Attached Garage Square Footage</t>
  </si>
  <si>
    <t>Dettached Carport Square Footage</t>
  </si>
  <si>
    <t>Roof</t>
  </si>
  <si>
    <t>OH</t>
  </si>
  <si>
    <t>Yes</t>
  </si>
  <si>
    <t>Cincinnati</t>
  </si>
  <si>
    <t>W Galbraith Rd</t>
  </si>
  <si>
    <t>Frame</t>
  </si>
  <si>
    <t>Asphalt</t>
  </si>
  <si>
    <t>None</t>
  </si>
  <si>
    <t>101-108</t>
  </si>
  <si>
    <t>201-212</t>
  </si>
  <si>
    <t>501-508</t>
  </si>
  <si>
    <t>301-312</t>
  </si>
  <si>
    <t>401-412</t>
  </si>
  <si>
    <t>Swimming Pool</t>
  </si>
  <si>
    <t>Misc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</si>
</sst>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8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9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center" vertical="top" wrapText="1"/>
    </xf>
    <xf numFmtId="164" fontId="0" fillId="0" borderId="0" xfId="0" applyNumberFormat="1"/>
    <xf numFmtId="166" fontId="0" fillId="0" borderId="0" xfId="1" applyNumberFormat="1" applyFont="1"/>
    <xf numFmtId="166" fontId="1" fillId="2" borderId="0" xfId="1" applyNumberFormat="1" applyFont="1" applyFill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8CC6-77B1-4F02-B270-37D2587278AC}">
  <dimension ref="A1:W57"/>
  <sheetViews>
    <sheetView workbookViewId="0">
      <pane ySplit="1" topLeftCell="A2" activePane="bottomLeft" state="frozen"/>
      <selection pane="bottomLeft" activeCell="Q24" sqref="Q24"/>
    </sheetView>
  </sheetViews>
  <sheetFormatPr defaultRowHeight="15" x14ac:dyDescent="0.25"/>
  <cols>
    <col min="1" max="1" width="4.5703125" bestFit="1" customWidth="1"/>
    <col min="2" max="2" width="8.85546875" style="6"/>
    <col min="3" max="3" width="16.5703125" customWidth="1"/>
    <col min="4" max="4" width="10" bestFit="1" customWidth="1"/>
    <col min="7" max="7" width="11.140625" customWidth="1"/>
    <col min="9" max="9" width="11.140625" customWidth="1"/>
    <col min="11" max="11" width="14.5703125" style="8" customWidth="1"/>
    <col min="15" max="15" width="12.140625" customWidth="1"/>
  </cols>
  <sheetData>
    <row r="1" spans="1:23" s="3" customFormat="1" ht="48" x14ac:dyDescent="0.25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W1" s="3" t="s">
        <v>22</v>
      </c>
    </row>
    <row r="2" spans="1:23" x14ac:dyDescent="0.25">
      <c r="A2">
        <v>1</v>
      </c>
      <c r="B2">
        <v>1544</v>
      </c>
      <c r="C2" t="s">
        <v>26</v>
      </c>
      <c r="D2" t="s">
        <v>25</v>
      </c>
      <c r="E2" t="s">
        <v>23</v>
      </c>
      <c r="F2">
        <v>45231</v>
      </c>
      <c r="G2" t="s">
        <v>27</v>
      </c>
      <c r="H2">
        <v>1986</v>
      </c>
      <c r="J2" t="s">
        <v>28</v>
      </c>
      <c r="K2"/>
      <c r="L2">
        <v>2</v>
      </c>
      <c r="M2">
        <v>1</v>
      </c>
      <c r="N2">
        <v>101</v>
      </c>
      <c r="O2" t="s">
        <v>29</v>
      </c>
      <c r="P2" t="s">
        <v>24</v>
      </c>
      <c r="Q2">
        <v>954</v>
      </c>
    </row>
    <row r="3" spans="1:23" x14ac:dyDescent="0.25">
      <c r="A3">
        <v>1</v>
      </c>
      <c r="B3">
        <v>1544</v>
      </c>
      <c r="C3" t="s">
        <v>26</v>
      </c>
      <c r="D3" t="s">
        <v>25</v>
      </c>
      <c r="E3" t="s">
        <v>23</v>
      </c>
      <c r="F3">
        <v>45231</v>
      </c>
      <c r="G3" t="s">
        <v>27</v>
      </c>
      <c r="H3">
        <v>1986</v>
      </c>
      <c r="J3" t="s">
        <v>28</v>
      </c>
      <c r="K3"/>
      <c r="L3">
        <v>2</v>
      </c>
      <c r="M3">
        <v>1</v>
      </c>
      <c r="N3">
        <v>102</v>
      </c>
      <c r="O3" t="s">
        <v>29</v>
      </c>
      <c r="P3" t="s">
        <v>24</v>
      </c>
      <c r="Q3">
        <v>954</v>
      </c>
    </row>
    <row r="4" spans="1:23" x14ac:dyDescent="0.25">
      <c r="A4">
        <v>1</v>
      </c>
      <c r="B4">
        <v>1544</v>
      </c>
      <c r="C4" t="s">
        <v>26</v>
      </c>
      <c r="D4" t="s">
        <v>25</v>
      </c>
      <c r="E4" t="s">
        <v>23</v>
      </c>
      <c r="F4">
        <v>45231</v>
      </c>
      <c r="G4" t="s">
        <v>27</v>
      </c>
      <c r="H4">
        <v>1986</v>
      </c>
      <c r="J4" t="s">
        <v>28</v>
      </c>
      <c r="K4"/>
      <c r="L4">
        <v>2</v>
      </c>
      <c r="M4">
        <v>1</v>
      </c>
      <c r="N4">
        <v>103</v>
      </c>
      <c r="O4" t="s">
        <v>29</v>
      </c>
      <c r="P4" t="s">
        <v>24</v>
      </c>
      <c r="Q4">
        <v>954</v>
      </c>
    </row>
    <row r="5" spans="1:23" x14ac:dyDescent="0.25">
      <c r="A5">
        <v>1</v>
      </c>
      <c r="B5">
        <v>1544</v>
      </c>
      <c r="C5" t="s">
        <v>26</v>
      </c>
      <c r="D5" t="s">
        <v>25</v>
      </c>
      <c r="E5" t="s">
        <v>23</v>
      </c>
      <c r="F5">
        <v>45231</v>
      </c>
      <c r="G5" t="s">
        <v>27</v>
      </c>
      <c r="H5">
        <v>1986</v>
      </c>
      <c r="J5" t="s">
        <v>28</v>
      </c>
      <c r="K5"/>
      <c r="L5">
        <v>2</v>
      </c>
      <c r="M5">
        <v>1</v>
      </c>
      <c r="N5">
        <v>104</v>
      </c>
      <c r="O5" t="s">
        <v>29</v>
      </c>
      <c r="P5" t="s">
        <v>24</v>
      </c>
      <c r="Q5">
        <v>954</v>
      </c>
    </row>
    <row r="6" spans="1:23" x14ac:dyDescent="0.25">
      <c r="A6">
        <v>1</v>
      </c>
      <c r="B6">
        <v>1544</v>
      </c>
      <c r="C6" t="s">
        <v>26</v>
      </c>
      <c r="D6" t="s">
        <v>25</v>
      </c>
      <c r="E6" t="s">
        <v>23</v>
      </c>
      <c r="F6">
        <v>45231</v>
      </c>
      <c r="G6" t="s">
        <v>27</v>
      </c>
      <c r="H6">
        <v>1986</v>
      </c>
      <c r="J6" t="s">
        <v>28</v>
      </c>
      <c r="K6"/>
      <c r="L6">
        <v>2</v>
      </c>
      <c r="M6">
        <v>1</v>
      </c>
      <c r="N6">
        <v>105</v>
      </c>
      <c r="O6" t="s">
        <v>29</v>
      </c>
      <c r="P6" t="s">
        <v>24</v>
      </c>
      <c r="Q6">
        <v>954</v>
      </c>
    </row>
    <row r="7" spans="1:23" x14ac:dyDescent="0.25">
      <c r="A7">
        <v>1</v>
      </c>
      <c r="B7">
        <v>1544</v>
      </c>
      <c r="C7" t="s">
        <v>26</v>
      </c>
      <c r="D7" t="s">
        <v>25</v>
      </c>
      <c r="E7" t="s">
        <v>23</v>
      </c>
      <c r="F7">
        <v>45231</v>
      </c>
      <c r="G7" t="s">
        <v>27</v>
      </c>
      <c r="H7">
        <v>1986</v>
      </c>
      <c r="J7" t="s">
        <v>28</v>
      </c>
      <c r="K7"/>
      <c r="L7">
        <v>2</v>
      </c>
      <c r="M7">
        <v>1</v>
      </c>
      <c r="N7">
        <v>106</v>
      </c>
      <c r="O7" t="s">
        <v>29</v>
      </c>
      <c r="P7" t="s">
        <v>24</v>
      </c>
      <c r="Q7">
        <v>954</v>
      </c>
    </row>
    <row r="8" spans="1:23" x14ac:dyDescent="0.25">
      <c r="A8">
        <v>1</v>
      </c>
      <c r="B8">
        <v>1544</v>
      </c>
      <c r="C8" t="s">
        <v>26</v>
      </c>
      <c r="D8" t="s">
        <v>25</v>
      </c>
      <c r="E8" t="s">
        <v>23</v>
      </c>
      <c r="F8">
        <v>45231</v>
      </c>
      <c r="G8" t="s">
        <v>27</v>
      </c>
      <c r="H8">
        <v>1986</v>
      </c>
      <c r="J8" t="s">
        <v>28</v>
      </c>
      <c r="K8"/>
      <c r="L8">
        <v>2</v>
      </c>
      <c r="M8">
        <v>1</v>
      </c>
      <c r="N8">
        <v>107</v>
      </c>
      <c r="O8" t="s">
        <v>29</v>
      </c>
      <c r="P8" t="s">
        <v>24</v>
      </c>
      <c r="Q8">
        <v>954</v>
      </c>
    </row>
    <row r="9" spans="1:23" x14ac:dyDescent="0.25">
      <c r="A9">
        <v>1</v>
      </c>
      <c r="B9">
        <v>1544</v>
      </c>
      <c r="C9" t="s">
        <v>26</v>
      </c>
      <c r="D9" t="s">
        <v>25</v>
      </c>
      <c r="E9" t="s">
        <v>23</v>
      </c>
      <c r="F9">
        <v>45231</v>
      </c>
      <c r="G9" t="s">
        <v>27</v>
      </c>
      <c r="H9">
        <v>1986</v>
      </c>
      <c r="J9" t="s">
        <v>28</v>
      </c>
      <c r="K9"/>
      <c r="L9">
        <v>2</v>
      </c>
      <c r="M9">
        <v>1</v>
      </c>
      <c r="N9">
        <v>108</v>
      </c>
      <c r="O9" t="s">
        <v>29</v>
      </c>
      <c r="P9" t="s">
        <v>24</v>
      </c>
      <c r="Q9">
        <v>954</v>
      </c>
    </row>
    <row r="10" spans="1:23" x14ac:dyDescent="0.25">
      <c r="B10"/>
      <c r="K10"/>
      <c r="Q10">
        <f>SUM(Q2:Q9)</f>
        <v>7632</v>
      </c>
    </row>
    <row r="11" spans="1:23" x14ac:dyDescent="0.25">
      <c r="A11">
        <v>2</v>
      </c>
      <c r="B11">
        <v>1544</v>
      </c>
      <c r="C11" t="s">
        <v>26</v>
      </c>
      <c r="D11" t="s">
        <v>25</v>
      </c>
      <c r="E11" t="s">
        <v>23</v>
      </c>
      <c r="F11">
        <v>45231</v>
      </c>
      <c r="G11" t="s">
        <v>27</v>
      </c>
      <c r="H11">
        <v>1986</v>
      </c>
      <c r="J11" t="s">
        <v>28</v>
      </c>
      <c r="K11"/>
      <c r="L11">
        <v>2</v>
      </c>
      <c r="M11">
        <v>1</v>
      </c>
      <c r="N11">
        <v>201</v>
      </c>
      <c r="O11" t="s">
        <v>29</v>
      </c>
      <c r="P11" t="s">
        <v>24</v>
      </c>
      <c r="Q11">
        <v>954</v>
      </c>
    </row>
    <row r="12" spans="1:23" x14ac:dyDescent="0.25">
      <c r="A12">
        <v>2</v>
      </c>
      <c r="B12">
        <v>1544</v>
      </c>
      <c r="C12" t="s">
        <v>26</v>
      </c>
      <c r="D12" t="s">
        <v>25</v>
      </c>
      <c r="E12" t="s">
        <v>23</v>
      </c>
      <c r="F12">
        <v>45231</v>
      </c>
      <c r="G12" t="s">
        <v>27</v>
      </c>
      <c r="H12">
        <v>1986</v>
      </c>
      <c r="J12" t="s">
        <v>28</v>
      </c>
      <c r="K12"/>
      <c r="L12">
        <v>2</v>
      </c>
      <c r="M12">
        <v>1</v>
      </c>
      <c r="N12">
        <v>202</v>
      </c>
      <c r="O12" t="s">
        <v>29</v>
      </c>
      <c r="P12" t="s">
        <v>24</v>
      </c>
      <c r="Q12">
        <v>954</v>
      </c>
    </row>
    <row r="13" spans="1:23" x14ac:dyDescent="0.25">
      <c r="A13">
        <v>2</v>
      </c>
      <c r="B13">
        <v>1544</v>
      </c>
      <c r="C13" t="s">
        <v>26</v>
      </c>
      <c r="D13" t="s">
        <v>25</v>
      </c>
      <c r="E13" t="s">
        <v>23</v>
      </c>
      <c r="F13">
        <v>45231</v>
      </c>
      <c r="G13" t="s">
        <v>27</v>
      </c>
      <c r="H13">
        <v>1986</v>
      </c>
      <c r="J13" t="s">
        <v>28</v>
      </c>
      <c r="K13"/>
      <c r="L13">
        <v>2</v>
      </c>
      <c r="M13">
        <v>1</v>
      </c>
      <c r="N13">
        <v>203</v>
      </c>
      <c r="O13" t="s">
        <v>29</v>
      </c>
      <c r="P13" t="s">
        <v>24</v>
      </c>
      <c r="Q13">
        <v>954</v>
      </c>
    </row>
    <row r="14" spans="1:23" x14ac:dyDescent="0.25">
      <c r="A14">
        <v>2</v>
      </c>
      <c r="B14">
        <v>1544</v>
      </c>
      <c r="C14" t="s">
        <v>26</v>
      </c>
      <c r="D14" t="s">
        <v>25</v>
      </c>
      <c r="E14" t="s">
        <v>23</v>
      </c>
      <c r="F14">
        <v>45231</v>
      </c>
      <c r="G14" t="s">
        <v>27</v>
      </c>
      <c r="H14">
        <v>1986</v>
      </c>
      <c r="J14" t="s">
        <v>28</v>
      </c>
      <c r="K14"/>
      <c r="L14">
        <v>2</v>
      </c>
      <c r="M14">
        <v>1</v>
      </c>
      <c r="N14">
        <v>204</v>
      </c>
      <c r="O14" t="s">
        <v>29</v>
      </c>
      <c r="P14" t="s">
        <v>24</v>
      </c>
      <c r="Q14">
        <v>954</v>
      </c>
    </row>
    <row r="15" spans="1:23" x14ac:dyDescent="0.25">
      <c r="A15">
        <v>2</v>
      </c>
      <c r="B15">
        <v>1544</v>
      </c>
      <c r="C15" t="s">
        <v>26</v>
      </c>
      <c r="D15" t="s">
        <v>25</v>
      </c>
      <c r="E15" t="s">
        <v>23</v>
      </c>
      <c r="F15">
        <v>45231</v>
      </c>
      <c r="G15" t="s">
        <v>27</v>
      </c>
      <c r="H15">
        <v>1986</v>
      </c>
      <c r="J15" t="s">
        <v>28</v>
      </c>
      <c r="K15"/>
      <c r="L15">
        <v>2</v>
      </c>
      <c r="M15">
        <v>1</v>
      </c>
      <c r="N15">
        <v>205</v>
      </c>
      <c r="O15" t="s">
        <v>29</v>
      </c>
      <c r="P15" t="s">
        <v>24</v>
      </c>
      <c r="Q15">
        <v>954</v>
      </c>
    </row>
    <row r="16" spans="1:23" x14ac:dyDescent="0.25">
      <c r="A16">
        <v>2</v>
      </c>
      <c r="B16">
        <v>1544</v>
      </c>
      <c r="C16" t="s">
        <v>26</v>
      </c>
      <c r="D16" t="s">
        <v>25</v>
      </c>
      <c r="E16" t="s">
        <v>23</v>
      </c>
      <c r="F16">
        <v>45231</v>
      </c>
      <c r="G16" t="s">
        <v>27</v>
      </c>
      <c r="H16">
        <v>1986</v>
      </c>
      <c r="J16" t="s">
        <v>28</v>
      </c>
      <c r="K16"/>
      <c r="L16">
        <v>2</v>
      </c>
      <c r="M16">
        <v>1</v>
      </c>
      <c r="N16">
        <v>206</v>
      </c>
      <c r="O16" t="s">
        <v>29</v>
      </c>
      <c r="P16" t="s">
        <v>24</v>
      </c>
      <c r="Q16">
        <v>954</v>
      </c>
    </row>
    <row r="17" spans="1:17" x14ac:dyDescent="0.25">
      <c r="A17">
        <v>2</v>
      </c>
      <c r="B17">
        <v>1544</v>
      </c>
      <c r="C17" t="s">
        <v>26</v>
      </c>
      <c r="D17" t="s">
        <v>25</v>
      </c>
      <c r="E17" t="s">
        <v>23</v>
      </c>
      <c r="F17">
        <v>45231</v>
      </c>
      <c r="G17" t="s">
        <v>27</v>
      </c>
      <c r="H17">
        <v>1986</v>
      </c>
      <c r="J17" t="s">
        <v>28</v>
      </c>
      <c r="K17"/>
      <c r="L17">
        <v>2</v>
      </c>
      <c r="M17">
        <v>1</v>
      </c>
      <c r="N17">
        <v>207</v>
      </c>
      <c r="O17" t="s">
        <v>29</v>
      </c>
      <c r="P17" t="s">
        <v>24</v>
      </c>
      <c r="Q17">
        <v>954</v>
      </c>
    </row>
    <row r="18" spans="1:17" x14ac:dyDescent="0.25">
      <c r="A18">
        <v>2</v>
      </c>
      <c r="B18">
        <v>1544</v>
      </c>
      <c r="C18" t="s">
        <v>26</v>
      </c>
      <c r="D18" t="s">
        <v>25</v>
      </c>
      <c r="E18" t="s">
        <v>23</v>
      </c>
      <c r="F18">
        <v>45231</v>
      </c>
      <c r="G18" t="s">
        <v>27</v>
      </c>
      <c r="H18">
        <v>1986</v>
      </c>
      <c r="J18" t="s">
        <v>28</v>
      </c>
      <c r="K18"/>
      <c r="L18">
        <v>2</v>
      </c>
      <c r="M18">
        <v>1</v>
      </c>
      <c r="N18">
        <v>208</v>
      </c>
      <c r="O18" t="s">
        <v>29</v>
      </c>
      <c r="P18" t="s">
        <v>24</v>
      </c>
      <c r="Q18">
        <v>954</v>
      </c>
    </row>
    <row r="19" spans="1:17" x14ac:dyDescent="0.25">
      <c r="A19">
        <v>2</v>
      </c>
      <c r="B19">
        <v>1544</v>
      </c>
      <c r="C19" t="s">
        <v>26</v>
      </c>
      <c r="D19" t="s">
        <v>25</v>
      </c>
      <c r="E19" t="s">
        <v>23</v>
      </c>
      <c r="F19">
        <v>45231</v>
      </c>
      <c r="G19" t="s">
        <v>27</v>
      </c>
      <c r="H19">
        <v>1986</v>
      </c>
      <c r="J19" t="s">
        <v>28</v>
      </c>
      <c r="K19"/>
      <c r="L19">
        <v>2</v>
      </c>
      <c r="M19">
        <v>1</v>
      </c>
      <c r="N19">
        <v>209</v>
      </c>
      <c r="O19" t="s">
        <v>29</v>
      </c>
      <c r="P19" t="s">
        <v>24</v>
      </c>
      <c r="Q19">
        <v>954</v>
      </c>
    </row>
    <row r="20" spans="1:17" x14ac:dyDescent="0.25">
      <c r="A20">
        <v>2</v>
      </c>
      <c r="B20">
        <v>1544</v>
      </c>
      <c r="C20" t="s">
        <v>26</v>
      </c>
      <c r="D20" t="s">
        <v>25</v>
      </c>
      <c r="E20" t="s">
        <v>23</v>
      </c>
      <c r="F20">
        <v>45231</v>
      </c>
      <c r="G20" t="s">
        <v>27</v>
      </c>
      <c r="H20">
        <v>1986</v>
      </c>
      <c r="J20" t="s">
        <v>28</v>
      </c>
      <c r="K20"/>
      <c r="L20">
        <v>2</v>
      </c>
      <c r="M20">
        <v>1</v>
      </c>
      <c r="N20">
        <v>210</v>
      </c>
      <c r="O20" t="s">
        <v>29</v>
      </c>
      <c r="P20" t="s">
        <v>24</v>
      </c>
      <c r="Q20">
        <v>954</v>
      </c>
    </row>
    <row r="21" spans="1:17" x14ac:dyDescent="0.25">
      <c r="A21">
        <v>2</v>
      </c>
      <c r="B21">
        <v>1544</v>
      </c>
      <c r="C21" t="s">
        <v>26</v>
      </c>
      <c r="D21" t="s">
        <v>25</v>
      </c>
      <c r="E21" t="s">
        <v>23</v>
      </c>
      <c r="F21">
        <v>45231</v>
      </c>
      <c r="G21" t="s">
        <v>27</v>
      </c>
      <c r="H21">
        <v>1986</v>
      </c>
      <c r="J21" t="s">
        <v>28</v>
      </c>
      <c r="K21"/>
      <c r="L21">
        <v>2</v>
      </c>
      <c r="M21">
        <v>1</v>
      </c>
      <c r="N21">
        <v>211</v>
      </c>
      <c r="O21" t="s">
        <v>29</v>
      </c>
      <c r="P21" t="s">
        <v>24</v>
      </c>
      <c r="Q21">
        <v>954</v>
      </c>
    </row>
    <row r="22" spans="1:17" x14ac:dyDescent="0.25">
      <c r="A22">
        <v>2</v>
      </c>
      <c r="B22">
        <v>1544</v>
      </c>
      <c r="C22" t="s">
        <v>26</v>
      </c>
      <c r="D22" t="s">
        <v>25</v>
      </c>
      <c r="E22" t="s">
        <v>23</v>
      </c>
      <c r="F22">
        <v>45231</v>
      </c>
      <c r="G22" t="s">
        <v>27</v>
      </c>
      <c r="H22">
        <v>1986</v>
      </c>
      <c r="J22" t="s">
        <v>28</v>
      </c>
      <c r="K22"/>
      <c r="L22">
        <v>2</v>
      </c>
      <c r="M22">
        <v>1</v>
      </c>
      <c r="N22">
        <v>212</v>
      </c>
      <c r="O22" t="s">
        <v>29</v>
      </c>
      <c r="P22" t="s">
        <v>24</v>
      </c>
      <c r="Q22">
        <v>954</v>
      </c>
    </row>
    <row r="23" spans="1:17" x14ac:dyDescent="0.25">
      <c r="B23"/>
      <c r="K23"/>
      <c r="Q23">
        <f>SUM(Q11:Q22)</f>
        <v>11448</v>
      </c>
    </row>
    <row r="24" spans="1:17" x14ac:dyDescent="0.25">
      <c r="A24">
        <v>3</v>
      </c>
      <c r="B24">
        <v>1544</v>
      </c>
      <c r="C24" t="s">
        <v>26</v>
      </c>
      <c r="D24" t="s">
        <v>25</v>
      </c>
      <c r="E24" t="s">
        <v>23</v>
      </c>
      <c r="F24">
        <v>45231</v>
      </c>
      <c r="G24" t="s">
        <v>27</v>
      </c>
      <c r="H24">
        <v>1986</v>
      </c>
      <c r="J24" t="s">
        <v>28</v>
      </c>
      <c r="K24"/>
      <c r="L24">
        <v>2</v>
      </c>
      <c r="M24">
        <v>1</v>
      </c>
      <c r="N24">
        <v>301</v>
      </c>
      <c r="O24" t="s">
        <v>29</v>
      </c>
      <c r="P24" t="s">
        <v>24</v>
      </c>
      <c r="Q24">
        <v>954</v>
      </c>
    </row>
    <row r="25" spans="1:17" x14ac:dyDescent="0.25">
      <c r="A25">
        <v>3</v>
      </c>
      <c r="B25">
        <v>1544</v>
      </c>
      <c r="C25" t="s">
        <v>26</v>
      </c>
      <c r="D25" t="s">
        <v>25</v>
      </c>
      <c r="E25" t="s">
        <v>23</v>
      </c>
      <c r="F25">
        <v>45231</v>
      </c>
      <c r="G25" t="s">
        <v>27</v>
      </c>
      <c r="H25">
        <v>1986</v>
      </c>
      <c r="J25" t="s">
        <v>28</v>
      </c>
      <c r="K25"/>
      <c r="L25">
        <v>2</v>
      </c>
      <c r="M25">
        <v>1</v>
      </c>
      <c r="N25">
        <v>302</v>
      </c>
      <c r="O25" t="s">
        <v>29</v>
      </c>
      <c r="P25" t="s">
        <v>24</v>
      </c>
      <c r="Q25">
        <v>954</v>
      </c>
    </row>
    <row r="26" spans="1:17" x14ac:dyDescent="0.25">
      <c r="A26">
        <v>3</v>
      </c>
      <c r="B26">
        <v>1544</v>
      </c>
      <c r="C26" t="s">
        <v>26</v>
      </c>
      <c r="D26" t="s">
        <v>25</v>
      </c>
      <c r="E26" t="s">
        <v>23</v>
      </c>
      <c r="F26">
        <v>45231</v>
      </c>
      <c r="G26" t="s">
        <v>27</v>
      </c>
      <c r="H26">
        <v>1986</v>
      </c>
      <c r="J26" t="s">
        <v>28</v>
      </c>
      <c r="K26"/>
      <c r="L26">
        <v>2</v>
      </c>
      <c r="M26">
        <v>1</v>
      </c>
      <c r="N26">
        <v>303</v>
      </c>
      <c r="O26" t="s">
        <v>29</v>
      </c>
      <c r="P26" t="s">
        <v>24</v>
      </c>
      <c r="Q26">
        <v>954</v>
      </c>
    </row>
    <row r="27" spans="1:17" x14ac:dyDescent="0.25">
      <c r="A27">
        <v>3</v>
      </c>
      <c r="B27">
        <v>1544</v>
      </c>
      <c r="C27" t="s">
        <v>26</v>
      </c>
      <c r="D27" t="s">
        <v>25</v>
      </c>
      <c r="E27" t="s">
        <v>23</v>
      </c>
      <c r="F27">
        <v>45231</v>
      </c>
      <c r="G27" t="s">
        <v>27</v>
      </c>
      <c r="H27">
        <v>1986</v>
      </c>
      <c r="J27" t="s">
        <v>28</v>
      </c>
      <c r="K27"/>
      <c r="L27">
        <v>2</v>
      </c>
      <c r="M27">
        <v>1</v>
      </c>
      <c r="N27">
        <v>304</v>
      </c>
      <c r="O27" t="s">
        <v>29</v>
      </c>
      <c r="P27" t="s">
        <v>24</v>
      </c>
      <c r="Q27">
        <v>954</v>
      </c>
    </row>
    <row r="28" spans="1:17" x14ac:dyDescent="0.25">
      <c r="A28">
        <v>3</v>
      </c>
      <c r="B28">
        <v>1544</v>
      </c>
      <c r="C28" t="s">
        <v>26</v>
      </c>
      <c r="D28" t="s">
        <v>25</v>
      </c>
      <c r="E28" t="s">
        <v>23</v>
      </c>
      <c r="F28">
        <v>45231</v>
      </c>
      <c r="G28" t="s">
        <v>27</v>
      </c>
      <c r="H28">
        <v>1986</v>
      </c>
      <c r="J28" t="s">
        <v>28</v>
      </c>
      <c r="K28"/>
      <c r="L28">
        <v>2</v>
      </c>
      <c r="M28">
        <v>1</v>
      </c>
      <c r="N28">
        <v>305</v>
      </c>
      <c r="O28" t="s">
        <v>29</v>
      </c>
      <c r="P28" t="s">
        <v>24</v>
      </c>
      <c r="Q28">
        <v>954</v>
      </c>
    </row>
    <row r="29" spans="1:17" x14ac:dyDescent="0.25">
      <c r="A29">
        <v>3</v>
      </c>
      <c r="B29">
        <v>1544</v>
      </c>
      <c r="C29" t="s">
        <v>26</v>
      </c>
      <c r="D29" t="s">
        <v>25</v>
      </c>
      <c r="E29" t="s">
        <v>23</v>
      </c>
      <c r="F29">
        <v>45231</v>
      </c>
      <c r="G29" t="s">
        <v>27</v>
      </c>
      <c r="H29">
        <v>1986</v>
      </c>
      <c r="J29" t="s">
        <v>28</v>
      </c>
      <c r="K29"/>
      <c r="L29">
        <v>2</v>
      </c>
      <c r="M29">
        <v>1</v>
      </c>
      <c r="N29">
        <v>306</v>
      </c>
      <c r="O29" t="s">
        <v>29</v>
      </c>
      <c r="P29" t="s">
        <v>24</v>
      </c>
      <c r="Q29">
        <v>954</v>
      </c>
    </row>
    <row r="30" spans="1:17" x14ac:dyDescent="0.25">
      <c r="A30">
        <v>3</v>
      </c>
      <c r="B30">
        <v>1544</v>
      </c>
      <c r="C30" t="s">
        <v>26</v>
      </c>
      <c r="D30" t="s">
        <v>25</v>
      </c>
      <c r="E30" t="s">
        <v>23</v>
      </c>
      <c r="F30">
        <v>45231</v>
      </c>
      <c r="G30" t="s">
        <v>27</v>
      </c>
      <c r="H30">
        <v>1986</v>
      </c>
      <c r="J30" t="s">
        <v>28</v>
      </c>
      <c r="K30"/>
      <c r="L30">
        <v>2</v>
      </c>
      <c r="M30">
        <v>1</v>
      </c>
      <c r="N30">
        <v>307</v>
      </c>
      <c r="O30" t="s">
        <v>29</v>
      </c>
      <c r="P30" t="s">
        <v>24</v>
      </c>
      <c r="Q30">
        <v>954</v>
      </c>
    </row>
    <row r="31" spans="1:17" x14ac:dyDescent="0.25">
      <c r="A31">
        <v>3</v>
      </c>
      <c r="B31">
        <v>1544</v>
      </c>
      <c r="C31" t="s">
        <v>26</v>
      </c>
      <c r="D31" t="s">
        <v>25</v>
      </c>
      <c r="E31" t="s">
        <v>23</v>
      </c>
      <c r="F31">
        <v>45231</v>
      </c>
      <c r="G31" t="s">
        <v>27</v>
      </c>
      <c r="H31">
        <v>1986</v>
      </c>
      <c r="J31" t="s">
        <v>28</v>
      </c>
      <c r="K31"/>
      <c r="L31">
        <v>2</v>
      </c>
      <c r="M31">
        <v>1</v>
      </c>
      <c r="N31">
        <v>308</v>
      </c>
      <c r="O31" t="s">
        <v>29</v>
      </c>
      <c r="P31" t="s">
        <v>24</v>
      </c>
      <c r="Q31">
        <v>954</v>
      </c>
    </row>
    <row r="32" spans="1:17" x14ac:dyDescent="0.25">
      <c r="A32">
        <v>3</v>
      </c>
      <c r="B32">
        <v>1544</v>
      </c>
      <c r="C32" t="s">
        <v>26</v>
      </c>
      <c r="D32" t="s">
        <v>25</v>
      </c>
      <c r="E32" t="s">
        <v>23</v>
      </c>
      <c r="F32">
        <v>45231</v>
      </c>
      <c r="G32" t="s">
        <v>27</v>
      </c>
      <c r="H32">
        <v>1986</v>
      </c>
      <c r="J32" t="s">
        <v>28</v>
      </c>
      <c r="K32"/>
      <c r="L32">
        <v>2</v>
      </c>
      <c r="M32">
        <v>1</v>
      </c>
      <c r="N32">
        <v>309</v>
      </c>
      <c r="O32" t="s">
        <v>29</v>
      </c>
      <c r="P32" t="s">
        <v>24</v>
      </c>
      <c r="Q32">
        <v>954</v>
      </c>
    </row>
    <row r="33" spans="1:17" x14ac:dyDescent="0.25">
      <c r="A33">
        <v>3</v>
      </c>
      <c r="B33">
        <v>1544</v>
      </c>
      <c r="C33" t="s">
        <v>26</v>
      </c>
      <c r="D33" t="s">
        <v>25</v>
      </c>
      <c r="E33" t="s">
        <v>23</v>
      </c>
      <c r="F33">
        <v>45231</v>
      </c>
      <c r="G33" t="s">
        <v>27</v>
      </c>
      <c r="H33">
        <v>1986</v>
      </c>
      <c r="J33" t="s">
        <v>28</v>
      </c>
      <c r="K33"/>
      <c r="L33">
        <v>2</v>
      </c>
      <c r="M33">
        <v>1</v>
      </c>
      <c r="N33">
        <v>310</v>
      </c>
      <c r="O33" t="s">
        <v>29</v>
      </c>
      <c r="P33" t="s">
        <v>24</v>
      </c>
      <c r="Q33">
        <v>954</v>
      </c>
    </row>
    <row r="34" spans="1:17" x14ac:dyDescent="0.25">
      <c r="A34">
        <v>3</v>
      </c>
      <c r="B34">
        <v>1544</v>
      </c>
      <c r="C34" t="s">
        <v>26</v>
      </c>
      <c r="D34" t="s">
        <v>25</v>
      </c>
      <c r="E34" t="s">
        <v>23</v>
      </c>
      <c r="F34">
        <v>45231</v>
      </c>
      <c r="G34" t="s">
        <v>27</v>
      </c>
      <c r="H34">
        <v>1986</v>
      </c>
      <c r="J34" t="s">
        <v>28</v>
      </c>
      <c r="K34"/>
      <c r="L34">
        <v>2</v>
      </c>
      <c r="M34">
        <v>1</v>
      </c>
      <c r="N34">
        <v>311</v>
      </c>
      <c r="O34" t="s">
        <v>29</v>
      </c>
      <c r="P34" t="s">
        <v>24</v>
      </c>
      <c r="Q34">
        <v>954</v>
      </c>
    </row>
    <row r="35" spans="1:17" x14ac:dyDescent="0.25">
      <c r="A35">
        <v>3</v>
      </c>
      <c r="B35">
        <v>1544</v>
      </c>
      <c r="C35" t="s">
        <v>26</v>
      </c>
      <c r="D35" t="s">
        <v>25</v>
      </c>
      <c r="E35" t="s">
        <v>23</v>
      </c>
      <c r="F35">
        <v>45231</v>
      </c>
      <c r="G35" t="s">
        <v>27</v>
      </c>
      <c r="H35">
        <v>1986</v>
      </c>
      <c r="J35" t="s">
        <v>28</v>
      </c>
      <c r="K35"/>
      <c r="L35">
        <v>2</v>
      </c>
      <c r="M35">
        <v>1</v>
      </c>
      <c r="N35">
        <v>312</v>
      </c>
      <c r="O35" t="s">
        <v>29</v>
      </c>
      <c r="P35" t="s">
        <v>24</v>
      </c>
      <c r="Q35">
        <v>954</v>
      </c>
    </row>
    <row r="36" spans="1:17" x14ac:dyDescent="0.25">
      <c r="B36"/>
      <c r="K36"/>
    </row>
    <row r="37" spans="1:17" x14ac:dyDescent="0.25">
      <c r="A37">
        <v>4</v>
      </c>
      <c r="B37">
        <v>1544</v>
      </c>
      <c r="C37" t="s">
        <v>26</v>
      </c>
      <c r="D37" t="s">
        <v>25</v>
      </c>
      <c r="E37" t="s">
        <v>23</v>
      </c>
      <c r="F37">
        <v>45231</v>
      </c>
      <c r="G37" t="s">
        <v>27</v>
      </c>
      <c r="H37">
        <v>1986</v>
      </c>
      <c r="J37" t="s">
        <v>28</v>
      </c>
      <c r="K37"/>
      <c r="L37">
        <v>2</v>
      </c>
      <c r="M37">
        <v>1</v>
      </c>
      <c r="N37">
        <v>401</v>
      </c>
      <c r="O37" t="s">
        <v>29</v>
      </c>
      <c r="P37" t="s">
        <v>24</v>
      </c>
      <c r="Q37">
        <v>954</v>
      </c>
    </row>
    <row r="38" spans="1:17" x14ac:dyDescent="0.25">
      <c r="A38">
        <v>4</v>
      </c>
      <c r="B38">
        <v>1544</v>
      </c>
      <c r="C38" t="s">
        <v>26</v>
      </c>
      <c r="D38" t="s">
        <v>25</v>
      </c>
      <c r="E38" t="s">
        <v>23</v>
      </c>
      <c r="F38">
        <v>45231</v>
      </c>
      <c r="G38" t="s">
        <v>27</v>
      </c>
      <c r="H38">
        <v>1986</v>
      </c>
      <c r="J38" t="s">
        <v>28</v>
      </c>
      <c r="K38"/>
      <c r="L38">
        <v>2</v>
      </c>
      <c r="M38">
        <v>1</v>
      </c>
      <c r="N38">
        <v>402</v>
      </c>
      <c r="O38" t="s">
        <v>29</v>
      </c>
      <c r="P38" t="s">
        <v>24</v>
      </c>
      <c r="Q38">
        <v>954</v>
      </c>
    </row>
    <row r="39" spans="1:17" x14ac:dyDescent="0.25">
      <c r="A39">
        <v>4</v>
      </c>
      <c r="B39">
        <v>1544</v>
      </c>
      <c r="C39" t="s">
        <v>26</v>
      </c>
      <c r="D39" t="s">
        <v>25</v>
      </c>
      <c r="E39" t="s">
        <v>23</v>
      </c>
      <c r="F39">
        <v>45231</v>
      </c>
      <c r="G39" t="s">
        <v>27</v>
      </c>
      <c r="H39">
        <v>1986</v>
      </c>
      <c r="J39" t="s">
        <v>28</v>
      </c>
      <c r="K39"/>
      <c r="L39">
        <v>2</v>
      </c>
      <c r="M39">
        <v>1</v>
      </c>
      <c r="N39">
        <v>403</v>
      </c>
      <c r="O39" t="s">
        <v>29</v>
      </c>
      <c r="P39" t="s">
        <v>24</v>
      </c>
      <c r="Q39">
        <v>954</v>
      </c>
    </row>
    <row r="40" spans="1:17" x14ac:dyDescent="0.25">
      <c r="A40">
        <v>4</v>
      </c>
      <c r="B40">
        <v>1544</v>
      </c>
      <c r="C40" t="s">
        <v>26</v>
      </c>
      <c r="D40" t="s">
        <v>25</v>
      </c>
      <c r="E40" t="s">
        <v>23</v>
      </c>
      <c r="F40">
        <v>45231</v>
      </c>
      <c r="G40" t="s">
        <v>27</v>
      </c>
      <c r="H40">
        <v>1986</v>
      </c>
      <c r="J40" t="s">
        <v>28</v>
      </c>
      <c r="K40"/>
      <c r="L40">
        <v>2</v>
      </c>
      <c r="M40">
        <v>1</v>
      </c>
      <c r="N40">
        <v>404</v>
      </c>
      <c r="O40" t="s">
        <v>29</v>
      </c>
      <c r="P40" t="s">
        <v>24</v>
      </c>
      <c r="Q40">
        <v>954</v>
      </c>
    </row>
    <row r="41" spans="1:17" x14ac:dyDescent="0.25">
      <c r="A41">
        <v>4</v>
      </c>
      <c r="B41">
        <v>1544</v>
      </c>
      <c r="C41" t="s">
        <v>26</v>
      </c>
      <c r="D41" t="s">
        <v>25</v>
      </c>
      <c r="E41" t="s">
        <v>23</v>
      </c>
      <c r="F41">
        <v>45231</v>
      </c>
      <c r="G41" t="s">
        <v>27</v>
      </c>
      <c r="H41">
        <v>1986</v>
      </c>
      <c r="J41" t="s">
        <v>28</v>
      </c>
      <c r="K41"/>
      <c r="L41">
        <v>2</v>
      </c>
      <c r="M41">
        <v>1</v>
      </c>
      <c r="N41">
        <v>405</v>
      </c>
      <c r="O41" t="s">
        <v>29</v>
      </c>
      <c r="P41" t="s">
        <v>24</v>
      </c>
      <c r="Q41">
        <v>954</v>
      </c>
    </row>
    <row r="42" spans="1:17" x14ac:dyDescent="0.25">
      <c r="A42">
        <v>4</v>
      </c>
      <c r="B42">
        <v>1544</v>
      </c>
      <c r="C42" t="s">
        <v>26</v>
      </c>
      <c r="D42" t="s">
        <v>25</v>
      </c>
      <c r="E42" t="s">
        <v>23</v>
      </c>
      <c r="F42">
        <v>45231</v>
      </c>
      <c r="G42" t="s">
        <v>27</v>
      </c>
      <c r="H42">
        <v>1986</v>
      </c>
      <c r="J42" t="s">
        <v>28</v>
      </c>
      <c r="K42"/>
      <c r="L42">
        <v>2</v>
      </c>
      <c r="M42">
        <v>1</v>
      </c>
      <c r="N42">
        <v>406</v>
      </c>
      <c r="O42" t="s">
        <v>29</v>
      </c>
      <c r="P42" t="s">
        <v>24</v>
      </c>
      <c r="Q42">
        <v>954</v>
      </c>
    </row>
    <row r="43" spans="1:17" x14ac:dyDescent="0.25">
      <c r="A43">
        <v>4</v>
      </c>
      <c r="B43">
        <v>1544</v>
      </c>
      <c r="C43" t="s">
        <v>26</v>
      </c>
      <c r="D43" t="s">
        <v>25</v>
      </c>
      <c r="E43" t="s">
        <v>23</v>
      </c>
      <c r="F43">
        <v>45231</v>
      </c>
      <c r="G43" t="s">
        <v>27</v>
      </c>
      <c r="H43">
        <v>1986</v>
      </c>
      <c r="J43" t="s">
        <v>28</v>
      </c>
      <c r="K43"/>
      <c r="L43">
        <v>2</v>
      </c>
      <c r="M43">
        <v>1</v>
      </c>
      <c r="N43">
        <v>407</v>
      </c>
      <c r="O43" t="s">
        <v>29</v>
      </c>
      <c r="P43" t="s">
        <v>24</v>
      </c>
      <c r="Q43">
        <v>954</v>
      </c>
    </row>
    <row r="44" spans="1:17" x14ac:dyDescent="0.25">
      <c r="A44">
        <v>4</v>
      </c>
      <c r="B44">
        <v>1544</v>
      </c>
      <c r="C44" t="s">
        <v>26</v>
      </c>
      <c r="D44" t="s">
        <v>25</v>
      </c>
      <c r="E44" t="s">
        <v>23</v>
      </c>
      <c r="F44">
        <v>45231</v>
      </c>
      <c r="G44" t="s">
        <v>27</v>
      </c>
      <c r="H44">
        <v>1986</v>
      </c>
      <c r="J44" t="s">
        <v>28</v>
      </c>
      <c r="K44"/>
      <c r="L44">
        <v>2</v>
      </c>
      <c r="M44">
        <v>1</v>
      </c>
      <c r="N44">
        <v>408</v>
      </c>
      <c r="O44" t="s">
        <v>29</v>
      </c>
      <c r="P44" t="s">
        <v>24</v>
      </c>
      <c r="Q44">
        <v>954</v>
      </c>
    </row>
    <row r="45" spans="1:17" x14ac:dyDescent="0.25">
      <c r="A45">
        <v>4</v>
      </c>
      <c r="B45">
        <v>1544</v>
      </c>
      <c r="C45" t="s">
        <v>26</v>
      </c>
      <c r="D45" t="s">
        <v>25</v>
      </c>
      <c r="E45" t="s">
        <v>23</v>
      </c>
      <c r="F45">
        <v>45231</v>
      </c>
      <c r="G45" t="s">
        <v>27</v>
      </c>
      <c r="H45">
        <v>1986</v>
      </c>
      <c r="J45" t="s">
        <v>28</v>
      </c>
      <c r="K45"/>
      <c r="L45">
        <v>2</v>
      </c>
      <c r="M45">
        <v>1</v>
      </c>
      <c r="N45">
        <v>409</v>
      </c>
      <c r="O45" t="s">
        <v>29</v>
      </c>
      <c r="P45" t="s">
        <v>24</v>
      </c>
      <c r="Q45">
        <v>954</v>
      </c>
    </row>
    <row r="46" spans="1:17" x14ac:dyDescent="0.25">
      <c r="A46">
        <v>4</v>
      </c>
      <c r="B46">
        <v>1544</v>
      </c>
      <c r="C46" t="s">
        <v>26</v>
      </c>
      <c r="D46" t="s">
        <v>25</v>
      </c>
      <c r="E46" t="s">
        <v>23</v>
      </c>
      <c r="F46">
        <v>45231</v>
      </c>
      <c r="G46" t="s">
        <v>27</v>
      </c>
      <c r="H46">
        <v>1986</v>
      </c>
      <c r="J46" t="s">
        <v>28</v>
      </c>
      <c r="K46"/>
      <c r="L46">
        <v>2</v>
      </c>
      <c r="M46">
        <v>1</v>
      </c>
      <c r="N46">
        <v>410</v>
      </c>
      <c r="O46" t="s">
        <v>29</v>
      </c>
      <c r="P46" t="s">
        <v>24</v>
      </c>
      <c r="Q46">
        <v>954</v>
      </c>
    </row>
    <row r="47" spans="1:17" x14ac:dyDescent="0.25">
      <c r="A47">
        <v>4</v>
      </c>
      <c r="B47">
        <v>1544</v>
      </c>
      <c r="C47" t="s">
        <v>26</v>
      </c>
      <c r="D47" t="s">
        <v>25</v>
      </c>
      <c r="E47" t="s">
        <v>23</v>
      </c>
      <c r="F47">
        <v>45231</v>
      </c>
      <c r="G47" t="s">
        <v>27</v>
      </c>
      <c r="H47">
        <v>1986</v>
      </c>
      <c r="J47" t="s">
        <v>28</v>
      </c>
      <c r="K47"/>
      <c r="L47">
        <v>2</v>
      </c>
      <c r="M47">
        <v>1</v>
      </c>
      <c r="N47">
        <v>411</v>
      </c>
      <c r="O47" t="s">
        <v>29</v>
      </c>
      <c r="P47" t="s">
        <v>24</v>
      </c>
      <c r="Q47">
        <v>954</v>
      </c>
    </row>
    <row r="48" spans="1:17" x14ac:dyDescent="0.25">
      <c r="A48">
        <v>4</v>
      </c>
      <c r="B48">
        <v>1544</v>
      </c>
      <c r="C48" t="s">
        <v>26</v>
      </c>
      <c r="D48" t="s">
        <v>25</v>
      </c>
      <c r="E48" t="s">
        <v>23</v>
      </c>
      <c r="F48">
        <v>45231</v>
      </c>
      <c r="G48" t="s">
        <v>27</v>
      </c>
      <c r="H48">
        <v>1986</v>
      </c>
      <c r="J48" t="s">
        <v>28</v>
      </c>
      <c r="K48"/>
      <c r="L48">
        <v>2</v>
      </c>
      <c r="M48">
        <v>1</v>
      </c>
      <c r="N48">
        <v>412</v>
      </c>
      <c r="O48" t="s">
        <v>29</v>
      </c>
      <c r="P48" t="s">
        <v>24</v>
      </c>
      <c r="Q48">
        <v>954</v>
      </c>
    </row>
    <row r="49" spans="1:17" x14ac:dyDescent="0.25">
      <c r="B49"/>
      <c r="K49"/>
    </row>
    <row r="50" spans="1:17" x14ac:dyDescent="0.25">
      <c r="A50">
        <v>5</v>
      </c>
      <c r="B50">
        <v>1544</v>
      </c>
      <c r="C50" t="s">
        <v>26</v>
      </c>
      <c r="D50" t="s">
        <v>25</v>
      </c>
      <c r="E50" t="s">
        <v>23</v>
      </c>
      <c r="F50">
        <v>45231</v>
      </c>
      <c r="G50" t="s">
        <v>27</v>
      </c>
      <c r="H50">
        <v>1986</v>
      </c>
      <c r="J50" t="s">
        <v>28</v>
      </c>
      <c r="K50"/>
      <c r="L50">
        <v>2</v>
      </c>
      <c r="M50">
        <v>1</v>
      </c>
      <c r="N50">
        <v>501</v>
      </c>
      <c r="O50" t="s">
        <v>29</v>
      </c>
      <c r="P50" t="s">
        <v>24</v>
      </c>
      <c r="Q50">
        <v>954</v>
      </c>
    </row>
    <row r="51" spans="1:17" x14ac:dyDescent="0.25">
      <c r="A51">
        <v>5</v>
      </c>
      <c r="B51">
        <v>1544</v>
      </c>
      <c r="C51" t="s">
        <v>26</v>
      </c>
      <c r="D51" t="s">
        <v>25</v>
      </c>
      <c r="E51" t="s">
        <v>23</v>
      </c>
      <c r="F51">
        <v>45231</v>
      </c>
      <c r="G51" t="s">
        <v>27</v>
      </c>
      <c r="H51">
        <v>1986</v>
      </c>
      <c r="J51" t="s">
        <v>28</v>
      </c>
      <c r="K51"/>
      <c r="L51">
        <v>2</v>
      </c>
      <c r="M51">
        <v>1</v>
      </c>
      <c r="N51">
        <v>502</v>
      </c>
      <c r="O51" t="s">
        <v>29</v>
      </c>
      <c r="P51" t="s">
        <v>24</v>
      </c>
      <c r="Q51">
        <v>954</v>
      </c>
    </row>
    <row r="52" spans="1:17" x14ac:dyDescent="0.25">
      <c r="A52">
        <v>5</v>
      </c>
      <c r="B52">
        <v>1544</v>
      </c>
      <c r="C52" t="s">
        <v>26</v>
      </c>
      <c r="D52" t="s">
        <v>25</v>
      </c>
      <c r="E52" t="s">
        <v>23</v>
      </c>
      <c r="F52">
        <v>45231</v>
      </c>
      <c r="G52" t="s">
        <v>27</v>
      </c>
      <c r="H52">
        <v>1986</v>
      </c>
      <c r="J52" t="s">
        <v>28</v>
      </c>
      <c r="K52"/>
      <c r="L52">
        <v>2</v>
      </c>
      <c r="M52">
        <v>1</v>
      </c>
      <c r="N52">
        <v>503</v>
      </c>
      <c r="O52" t="s">
        <v>29</v>
      </c>
      <c r="P52" t="s">
        <v>24</v>
      </c>
      <c r="Q52">
        <v>954</v>
      </c>
    </row>
    <row r="53" spans="1:17" x14ac:dyDescent="0.25">
      <c r="A53">
        <v>5</v>
      </c>
      <c r="B53">
        <v>1544</v>
      </c>
      <c r="C53" t="s">
        <v>26</v>
      </c>
      <c r="D53" t="s">
        <v>25</v>
      </c>
      <c r="E53" t="s">
        <v>23</v>
      </c>
      <c r="F53">
        <v>45231</v>
      </c>
      <c r="G53" t="s">
        <v>27</v>
      </c>
      <c r="H53">
        <v>1986</v>
      </c>
      <c r="J53" t="s">
        <v>28</v>
      </c>
      <c r="K53"/>
      <c r="L53">
        <v>2</v>
      </c>
      <c r="M53">
        <v>1</v>
      </c>
      <c r="N53">
        <v>504</v>
      </c>
      <c r="O53" t="s">
        <v>29</v>
      </c>
      <c r="P53" t="s">
        <v>24</v>
      </c>
      <c r="Q53">
        <v>954</v>
      </c>
    </row>
    <row r="54" spans="1:17" x14ac:dyDescent="0.25">
      <c r="A54">
        <v>5</v>
      </c>
      <c r="B54">
        <v>1544</v>
      </c>
      <c r="C54" t="s">
        <v>26</v>
      </c>
      <c r="D54" t="s">
        <v>25</v>
      </c>
      <c r="E54" t="s">
        <v>23</v>
      </c>
      <c r="F54">
        <v>45231</v>
      </c>
      <c r="G54" t="s">
        <v>27</v>
      </c>
      <c r="H54">
        <v>1986</v>
      </c>
      <c r="J54" t="s">
        <v>28</v>
      </c>
      <c r="K54"/>
      <c r="L54">
        <v>2</v>
      </c>
      <c r="M54">
        <v>1</v>
      </c>
      <c r="N54">
        <v>505</v>
      </c>
      <c r="O54" t="s">
        <v>29</v>
      </c>
      <c r="P54" t="s">
        <v>24</v>
      </c>
      <c r="Q54">
        <v>954</v>
      </c>
    </row>
    <row r="55" spans="1:17" x14ac:dyDescent="0.25">
      <c r="A55">
        <v>5</v>
      </c>
      <c r="B55">
        <v>1544</v>
      </c>
      <c r="C55" t="s">
        <v>26</v>
      </c>
      <c r="D55" t="s">
        <v>25</v>
      </c>
      <c r="E55" t="s">
        <v>23</v>
      </c>
      <c r="F55">
        <v>45231</v>
      </c>
      <c r="G55" t="s">
        <v>27</v>
      </c>
      <c r="H55">
        <v>1986</v>
      </c>
      <c r="J55" t="s">
        <v>28</v>
      </c>
      <c r="K55"/>
      <c r="L55">
        <v>2</v>
      </c>
      <c r="M55">
        <v>1</v>
      </c>
      <c r="N55">
        <v>506</v>
      </c>
      <c r="O55" t="s">
        <v>29</v>
      </c>
      <c r="P55" t="s">
        <v>24</v>
      </c>
      <c r="Q55">
        <v>954</v>
      </c>
    </row>
    <row r="56" spans="1:17" x14ac:dyDescent="0.25">
      <c r="A56">
        <v>5</v>
      </c>
      <c r="B56">
        <v>1544</v>
      </c>
      <c r="C56" t="s">
        <v>26</v>
      </c>
      <c r="D56" t="s">
        <v>25</v>
      </c>
      <c r="E56" t="s">
        <v>23</v>
      </c>
      <c r="F56">
        <v>45231</v>
      </c>
      <c r="G56" t="s">
        <v>27</v>
      </c>
      <c r="H56">
        <v>1986</v>
      </c>
      <c r="J56" t="s">
        <v>28</v>
      </c>
      <c r="K56"/>
      <c r="L56">
        <v>2</v>
      </c>
      <c r="M56">
        <v>1</v>
      </c>
      <c r="N56">
        <v>507</v>
      </c>
      <c r="O56" t="s">
        <v>29</v>
      </c>
      <c r="P56" t="s">
        <v>24</v>
      </c>
      <c r="Q56">
        <v>954</v>
      </c>
    </row>
    <row r="57" spans="1:17" x14ac:dyDescent="0.25">
      <c r="A57">
        <v>5</v>
      </c>
      <c r="B57">
        <v>1544</v>
      </c>
      <c r="C57" t="s">
        <v>26</v>
      </c>
      <c r="D57" t="s">
        <v>25</v>
      </c>
      <c r="E57" t="s">
        <v>23</v>
      </c>
      <c r="F57">
        <v>45231</v>
      </c>
      <c r="G57" t="s">
        <v>27</v>
      </c>
      <c r="H57">
        <v>1986</v>
      </c>
      <c r="J57" t="s">
        <v>28</v>
      </c>
      <c r="K57"/>
      <c r="L57">
        <v>2</v>
      </c>
      <c r="M57">
        <v>1</v>
      </c>
      <c r="N57">
        <v>508</v>
      </c>
      <c r="O57" t="s">
        <v>29</v>
      </c>
      <c r="P57" t="s">
        <v>24</v>
      </c>
      <c r="Q57">
        <v>954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22BE-8FAA-4E98-AC80-8AFCB08C74CC}">
  <dimension ref="A1:W9"/>
  <sheetViews>
    <sheetView tabSelected="1" zoomScale="120" zoomScaleNormal="120" workbookViewId="0">
      <pane ySplit="1" topLeftCell="A2" activePane="bottomLeft" state="frozen"/>
      <selection pane="bottomLeft" activeCell="L13" sqref="L13"/>
    </sheetView>
  </sheetViews>
  <sheetFormatPr defaultRowHeight="15" x14ac:dyDescent="0.25"/>
  <cols>
    <col min="1" max="1" width="4.5703125" bestFit="1" customWidth="1"/>
    <col min="2" max="2" width="7.42578125" bestFit="1" customWidth="1"/>
    <col min="3" max="3" width="12.5703125" bestFit="1" customWidth="1"/>
    <col min="4" max="4" width="10" bestFit="1" customWidth="1"/>
    <col min="9" max="9" width="11.42578125" customWidth="1"/>
    <col min="10" max="10" width="14.7109375" bestFit="1" customWidth="1"/>
    <col min="11" max="11" width="20.28515625" style="9" customWidth="1"/>
  </cols>
  <sheetData>
    <row r="1" spans="1:23" s="3" customFormat="1" ht="4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0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W1" s="3" t="s">
        <v>22</v>
      </c>
    </row>
    <row r="2" spans="1:23" x14ac:dyDescent="0.25">
      <c r="A2">
        <v>1</v>
      </c>
      <c r="B2">
        <v>1544</v>
      </c>
      <c r="C2" t="s">
        <v>26</v>
      </c>
      <c r="D2" t="s">
        <v>25</v>
      </c>
      <c r="E2" t="s">
        <v>23</v>
      </c>
      <c r="F2">
        <v>45231</v>
      </c>
      <c r="G2" t="s">
        <v>27</v>
      </c>
      <c r="H2">
        <v>1986</v>
      </c>
      <c r="J2" t="s">
        <v>28</v>
      </c>
      <c r="K2" s="9">
        <v>1693364</v>
      </c>
      <c r="L2">
        <v>2</v>
      </c>
      <c r="M2">
        <v>8</v>
      </c>
      <c r="N2" t="s">
        <v>30</v>
      </c>
      <c r="O2" t="s">
        <v>29</v>
      </c>
      <c r="P2" t="s">
        <v>24</v>
      </c>
      <c r="Q2">
        <v>7632</v>
      </c>
    </row>
    <row r="3" spans="1:23" x14ac:dyDescent="0.25">
      <c r="A3">
        <v>2</v>
      </c>
      <c r="B3">
        <v>1544</v>
      </c>
      <c r="C3" t="s">
        <v>26</v>
      </c>
      <c r="D3" t="s">
        <v>25</v>
      </c>
      <c r="E3" t="s">
        <v>23</v>
      </c>
      <c r="F3">
        <v>45231</v>
      </c>
      <c r="G3" t="s">
        <v>27</v>
      </c>
      <c r="H3">
        <v>1986</v>
      </c>
      <c r="J3" t="s">
        <v>28</v>
      </c>
      <c r="K3" s="9">
        <v>2440179</v>
      </c>
      <c r="L3">
        <v>2</v>
      </c>
      <c r="M3">
        <v>12</v>
      </c>
      <c r="N3" t="s">
        <v>31</v>
      </c>
      <c r="O3" t="s">
        <v>29</v>
      </c>
      <c r="P3" t="s">
        <v>24</v>
      </c>
      <c r="Q3">
        <v>11448</v>
      </c>
    </row>
    <row r="4" spans="1:23" x14ac:dyDescent="0.25">
      <c r="A4">
        <v>3</v>
      </c>
      <c r="B4">
        <v>1544</v>
      </c>
      <c r="C4" t="s">
        <v>26</v>
      </c>
      <c r="D4" t="s">
        <v>25</v>
      </c>
      <c r="E4" t="s">
        <v>23</v>
      </c>
      <c r="F4">
        <v>45231</v>
      </c>
      <c r="G4" t="s">
        <v>27</v>
      </c>
      <c r="H4">
        <v>1986</v>
      </c>
      <c r="J4" t="s">
        <v>28</v>
      </c>
      <c r="K4" s="9">
        <f>K3</f>
        <v>2440179</v>
      </c>
      <c r="L4">
        <v>2</v>
      </c>
      <c r="M4">
        <v>12</v>
      </c>
      <c r="N4" t="s">
        <v>33</v>
      </c>
      <c r="O4" t="s">
        <v>29</v>
      </c>
      <c r="P4" t="s">
        <v>24</v>
      </c>
      <c r="Q4">
        <v>11448</v>
      </c>
    </row>
    <row r="5" spans="1:23" x14ac:dyDescent="0.25">
      <c r="A5">
        <v>4</v>
      </c>
      <c r="B5">
        <v>1544</v>
      </c>
      <c r="C5" t="s">
        <v>26</v>
      </c>
      <c r="D5" t="s">
        <v>25</v>
      </c>
      <c r="E5" t="s">
        <v>23</v>
      </c>
      <c r="F5">
        <v>45231</v>
      </c>
      <c r="G5" t="s">
        <v>27</v>
      </c>
      <c r="H5">
        <v>1986</v>
      </c>
      <c r="J5" t="s">
        <v>28</v>
      </c>
      <c r="K5" s="9">
        <f>K3</f>
        <v>2440179</v>
      </c>
      <c r="L5">
        <v>2</v>
      </c>
      <c r="M5">
        <v>12</v>
      </c>
      <c r="N5" t="s">
        <v>34</v>
      </c>
      <c r="O5" t="s">
        <v>29</v>
      </c>
      <c r="P5" t="s">
        <v>24</v>
      </c>
      <c r="Q5">
        <v>11448</v>
      </c>
    </row>
    <row r="6" spans="1:23" x14ac:dyDescent="0.25">
      <c r="A6">
        <v>5</v>
      </c>
      <c r="B6">
        <v>1544</v>
      </c>
      <c r="C6" t="s">
        <v>26</v>
      </c>
      <c r="D6" t="s">
        <v>25</v>
      </c>
      <c r="E6" t="s">
        <v>23</v>
      </c>
      <c r="F6">
        <v>45231</v>
      </c>
      <c r="G6" t="s">
        <v>27</v>
      </c>
      <c r="H6">
        <v>1986</v>
      </c>
      <c r="J6" t="s">
        <v>28</v>
      </c>
      <c r="K6" s="9">
        <f>K2</f>
        <v>1693364</v>
      </c>
      <c r="L6">
        <v>2</v>
      </c>
      <c r="M6">
        <v>8</v>
      </c>
      <c r="N6" t="s">
        <v>32</v>
      </c>
      <c r="O6" t="s">
        <v>29</v>
      </c>
      <c r="P6" t="s">
        <v>24</v>
      </c>
      <c r="Q6">
        <v>7632</v>
      </c>
    </row>
    <row r="7" spans="1:23" x14ac:dyDescent="0.25">
      <c r="J7" t="s">
        <v>35</v>
      </c>
      <c r="K7" s="9">
        <v>150000</v>
      </c>
    </row>
    <row r="8" spans="1:23" x14ac:dyDescent="0.25">
      <c r="J8" t="s">
        <v>36</v>
      </c>
      <c r="K8" s="9">
        <v>50000</v>
      </c>
    </row>
    <row r="9" spans="1:23" x14ac:dyDescent="0.25">
      <c r="K9" s="9">
        <f>SUM(K2:K8)</f>
        <v>10907265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Nell</dc:creator>
  <cp:lastModifiedBy>Jason Glover</cp:lastModifiedBy>
  <cp:lastPrinted>2025-04-29T18:06:49Z</cp:lastPrinted>
  <dcterms:created xsi:type="dcterms:W3CDTF">2025-04-29T13:12:14Z</dcterms:created>
  <dcterms:modified xsi:type="dcterms:W3CDTF">2025-09-11T17:45:49Z</dcterms:modified>
</cp:coreProperties>
</file>