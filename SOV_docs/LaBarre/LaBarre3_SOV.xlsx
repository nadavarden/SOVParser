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2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nadavkolevesoh/Documents/work/SOVParser/SOV_docs/LaBarre/"/>
    </mc:Choice>
  </mc:AlternateContent>
  <xr:revisionPtr revIDLastSave="0" documentId="8_{CE3CFB2C-7D65-6C41-8086-BD7D91C5CD67}" xr6:coauthVersionLast="47" xr6:coauthVersionMax="47" xr10:uidLastSave="{00000000-0000-0000-0000-000000000000}"/>
  <bookViews>
    <workbookView xWindow="0" yWindow="760" windowWidth="30240" windowHeight="18040" xr2:uid="{4B5EA547-1BF4-DF4F-ADF8-C5BB17926414}"/>
  </bookViews>
  <sheets>
    <sheet name="Sheet1" sheetId="1" r:id="rId1"/>
    <sheet name="Sheet2" sheetId="2" r:id="rId2"/>
    <sheet name="Sheet3" sheetId="3" r:id="rId3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9" i="1" l="1"/>
  <c r="E8" i="1"/>
  <c r="E7" i="1"/>
  <c r="E6" i="1"/>
  <c r="E10" i="1" s="1"/>
  <c r="H19" i="1" s="1"/>
  <c r="C22" i="1"/>
  <c r="H10" i="1"/>
  <c r="G10" i="1"/>
  <c r="H12" i="1" s="1"/>
  <c r="F10" i="1"/>
  <c r="D22" i="1"/>
</calcChain>
</file>

<file path=xl/sharedStrings.xml><?xml version="1.0" encoding="utf-8"?>
<sst xmlns="http://purl.oclc.org/ooxml/spreadsheetml/main" count="76" uniqueCount="61">
  <si>
    <t>Bldg #</t>
  </si>
  <si>
    <t># of Units</t>
  </si>
  <si>
    <t>Livable Square Footage</t>
  </si>
  <si>
    <t>Address #</t>
  </si>
  <si>
    <t>Street Name</t>
  </si>
  <si>
    <t>STATEMENT OF VALUES FOR:</t>
  </si>
  <si>
    <t>EFFECTIVE DATE:</t>
  </si>
  <si>
    <t>LOCATION (STATE, CITY, ZIP):</t>
  </si>
  <si>
    <t>Unit #s (if applicable)</t>
  </si>
  <si>
    <t>REPLACEMENT COST</t>
  </si>
  <si>
    <t>Paved Surfaces:</t>
  </si>
  <si>
    <t>Pool / Spa:</t>
  </si>
  <si>
    <t>Fences / Gates:</t>
  </si>
  <si>
    <t>SQUARE FOOTAGE</t>
  </si>
  <si>
    <t>N/A</t>
  </si>
  <si>
    <t>Building Replacement Cost (including Garages)</t>
  </si>
  <si>
    <t>SEPARATE STRUCTURES TOTAL:</t>
  </si>
  <si>
    <t>SEPARATE STRUCTURES / MISC.</t>
  </si>
  <si>
    <t>Garage Type:</t>
  </si>
  <si>
    <t>Sprinklered:</t>
  </si>
  <si>
    <t>Smoke Detectors:</t>
  </si>
  <si>
    <t>TOTAL BLANKET REPLACEMENT COST:</t>
  </si>
  <si>
    <t>TOTAL BUSINESS PERSONAL PROPERTY:</t>
  </si>
  <si>
    <t>TOTAL BUSINESS INCOME:</t>
  </si>
  <si>
    <t>Roof Type:</t>
  </si>
  <si>
    <t xml:space="preserve">Tile </t>
  </si>
  <si>
    <t>Comp.</t>
  </si>
  <si>
    <t>Flat</t>
  </si>
  <si>
    <t>Shake</t>
  </si>
  <si>
    <t>Detached</t>
  </si>
  <si>
    <t>Attached</t>
  </si>
  <si>
    <t>Subterranean</t>
  </si>
  <si>
    <t>Masonry Above-Ground</t>
  </si>
  <si>
    <t>Partial Subterranean</t>
  </si>
  <si>
    <t>Habitational over Garage</t>
  </si>
  <si>
    <t>Yes</t>
  </si>
  <si>
    <t>No</t>
  </si>
  <si>
    <t>Partially</t>
  </si>
  <si>
    <t>Battery</t>
  </si>
  <si>
    <t>Hard-Wired</t>
  </si>
  <si>
    <t>None</t>
  </si>
  <si>
    <t>Construction Type:</t>
  </si>
  <si>
    <t>Frame</t>
  </si>
  <si>
    <t>Joisted Masonry</t>
  </si>
  <si>
    <t>Fire Resistive</t>
  </si>
  <si>
    <t>Steel Frame w/ Concrete Block</t>
  </si>
  <si>
    <t>Actual Loss Sustained Total:</t>
  </si>
  <si>
    <t>TOTAL BUILDING ORDINANCE:</t>
  </si>
  <si>
    <t>TOTAL SQUARE FOOTAGE:</t>
  </si>
  <si>
    <t>Year of Construction:</t>
  </si>
  <si>
    <t>Number of Stories:</t>
  </si>
  <si>
    <t xml:space="preserve"> </t>
  </si>
  <si>
    <t>Signs</t>
  </si>
  <si>
    <t>Landscape/Irrigation</t>
  </si>
  <si>
    <t>Clubhouse</t>
  </si>
  <si>
    <t>Carports</t>
  </si>
  <si>
    <t>Lighting/Mail</t>
  </si>
  <si>
    <t>Parking</t>
  </si>
  <si>
    <t>Tot Lot</t>
  </si>
  <si>
    <t>Lexington Place HOA</t>
  </si>
  <si>
    <t>939 W. 19th St.  Costa Mesa, CA. 92627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</si>
</sst>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6" formatCode="&quot;$&quot;#,##0_);[Red]\(&quot;$&quot;#,##0\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3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0" xfId="0" applyFont="1" applyBorder="1"/>
    <xf numFmtId="164" fontId="5" fillId="2" borderId="1" xfId="0" applyNumberFormat="1" applyFont="1" applyFill="1" applyBorder="1"/>
    <xf numFmtId="0" fontId="4" fillId="0" borderId="0" xfId="0" applyFont="1" applyFill="1" applyBorder="1"/>
    <xf numFmtId="0" fontId="5" fillId="0" borderId="0" xfId="0" applyFont="1"/>
    <xf numFmtId="164" fontId="5" fillId="2" borderId="0" xfId="0" applyNumberFormat="1" applyFont="1" applyFill="1" applyBorder="1"/>
    <xf numFmtId="6" fontId="5" fillId="0" borderId="0" xfId="0" applyNumberFormat="1" applyFont="1"/>
    <xf numFmtId="0" fontId="4" fillId="2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 applyProtection="1">
      <alignment horizontal="center"/>
      <protection locked="0"/>
    </xf>
    <xf numFmtId="164" fontId="5" fillId="2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3" fontId="5" fillId="3" borderId="0" xfId="0" applyNumberFormat="1" applyFont="1" applyFill="1" applyBorder="1" applyAlignment="1">
      <alignment horizontal="center"/>
    </xf>
    <xf numFmtId="164" fontId="1" fillId="0" borderId="0" xfId="0" applyNumberFormat="1" applyFont="1"/>
    <xf numFmtId="5" fontId="1" fillId="2" borderId="0" xfId="0" applyNumberFormat="1" applyFont="1" applyFill="1"/>
    <xf numFmtId="164" fontId="5" fillId="0" borderId="5" xfId="0" applyNumberFormat="1" applyFont="1" applyBorder="1"/>
    <xf numFmtId="3" fontId="5" fillId="3" borderId="0" xfId="0" applyNumberFormat="1" applyFont="1" applyFill="1"/>
    <xf numFmtId="3" fontId="5" fillId="0" borderId="1" xfId="0" applyNumberFormat="1" applyFont="1" applyBorder="1"/>
    <xf numFmtId="3" fontId="5" fillId="0" borderId="5" xfId="0" applyNumberFormat="1" applyFont="1" applyBorder="1"/>
    <xf numFmtId="3" fontId="5" fillId="3" borderId="1" xfId="0" applyNumberFormat="1" applyFon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E6C9-2CF2-3447-AB9F-CD49347DB6C0}">
  <dimension ref="A1:H22"/>
  <sheetViews>
    <sheetView tabSelected="1" zoomScale="70" zoomScaleNormal="70" workbookViewId="0">
      <selection activeCell="E25" sqref="E25"/>
    </sheetView>
  </sheetViews>
  <sheetFormatPr baseColWidth="10" defaultRowHeight="15" x14ac:dyDescent="0.2"/>
  <cols>
    <col min="1" max="1" width="11.6640625" customWidth="1"/>
    <col min="2" max="2" width="19.6640625" customWidth="1"/>
    <col min="3" max="3" width="26.5" customWidth="1"/>
    <col min="4" max="4" width="27.1640625" customWidth="1"/>
    <col min="5" max="5" width="29.5" customWidth="1"/>
    <col min="6" max="6" width="9" customWidth="1"/>
    <col min="7" max="7" width="27.6640625" customWidth="1"/>
    <col min="8" max="8" width="27.83203125" customWidth="1"/>
    <col min="9" max="256" width="8.83203125" customWidth="1"/>
  </cols>
  <sheetData>
    <row r="1" spans="1:8" ht="17" x14ac:dyDescent="0.2">
      <c r="A1" s="9" t="s">
        <v>5</v>
      </c>
      <c r="B1" s="9"/>
      <c r="C1" t="s">
        <v>59</v>
      </c>
      <c r="E1" s="2"/>
      <c r="F1" s="2"/>
      <c r="G1" s="2"/>
      <c r="H1" s="2"/>
    </row>
    <row r="2" spans="1:8" ht="17" x14ac:dyDescent="0.2">
      <c r="A2" s="10" t="s">
        <v>6</v>
      </c>
      <c r="B2" s="10"/>
      <c r="C2" s="44" t="d">
        <v>2025-06-15</v>
      </c>
      <c r="D2" s="45"/>
      <c r="E2" s="1"/>
      <c r="F2" s="1"/>
      <c r="G2" s="1"/>
      <c r="H2" s="1"/>
    </row>
    <row r="3" spans="1:8" ht="17" x14ac:dyDescent="0.2">
      <c r="A3" s="10" t="s">
        <v>7</v>
      </c>
      <c r="B3" s="10"/>
      <c r="C3" s="43" t="s">
        <v>60</v>
      </c>
      <c r="D3" s="43"/>
      <c r="E3" s="1"/>
      <c r="F3" s="1"/>
      <c r="G3" s="1"/>
      <c r="H3" s="1"/>
    </row>
    <row r="5" spans="1:8" s="3" customFormat="1" ht="36" x14ac:dyDescent="0.2">
      <c r="A5" s="30" t="s">
        <v>0</v>
      </c>
      <c r="B5" s="30" t="s">
        <v>3</v>
      </c>
      <c r="C5" s="30" t="s">
        <v>4</v>
      </c>
      <c r="D5" s="30" t="s">
        <v>8</v>
      </c>
      <c r="E5" s="30" t="s">
        <v>15</v>
      </c>
      <c r="F5" s="30" t="s">
        <v>1</v>
      </c>
      <c r="G5" s="30" t="s">
        <v>2</v>
      </c>
      <c r="H5" s="30" t="s">
        <v>57</v>
      </c>
    </row>
    <row r="6" spans="1:8" s="3" customFormat="1" ht="17" x14ac:dyDescent="0.2">
      <c r="A6" s="11">
        <v>1</v>
      </c>
      <c r="B6" s="30"/>
      <c r="C6" s="30"/>
      <c r="D6" s="30"/>
      <c r="E6" s="31">
        <f>419321.5*F6</f>
        <v>1677286</v>
      </c>
      <c r="F6" s="30">
        <v>4</v>
      </c>
      <c r="G6" s="32">
        <v>6000</v>
      </c>
      <c r="H6" s="32">
        <v>1600</v>
      </c>
    </row>
    <row r="7" spans="1:8" s="3" customFormat="1" ht="17" x14ac:dyDescent="0.2">
      <c r="A7" s="11">
        <v>2</v>
      </c>
      <c r="B7" s="30"/>
      <c r="C7" s="30"/>
      <c r="D7" s="30"/>
      <c r="E7" s="31">
        <f>419321.5*F7</f>
        <v>1677286</v>
      </c>
      <c r="F7" s="30">
        <v>4</v>
      </c>
      <c r="G7" s="32">
        <v>6000</v>
      </c>
      <c r="H7" s="32">
        <v>1600</v>
      </c>
    </row>
    <row r="8" spans="1:8" s="3" customFormat="1" ht="17" x14ac:dyDescent="0.2">
      <c r="A8" s="11">
        <v>3</v>
      </c>
      <c r="B8" s="30"/>
      <c r="C8" s="30"/>
      <c r="D8" s="30"/>
      <c r="E8" s="31">
        <f>419321.5*F8</f>
        <v>3354572</v>
      </c>
      <c r="F8" s="30">
        <v>8</v>
      </c>
      <c r="G8" s="32">
        <v>12000</v>
      </c>
      <c r="H8" s="32">
        <v>3200</v>
      </c>
    </row>
    <row r="9" spans="1:8" s="3" customFormat="1" ht="17" x14ac:dyDescent="0.2">
      <c r="A9" s="11">
        <v>4</v>
      </c>
      <c r="B9" s="30"/>
      <c r="C9" s="30"/>
      <c r="D9" s="30"/>
      <c r="E9" s="31">
        <f>419321.5*F9</f>
        <v>3354572</v>
      </c>
      <c r="F9" s="30">
        <v>8</v>
      </c>
      <c r="G9" s="32">
        <v>12000</v>
      </c>
      <c r="H9" s="32">
        <v>3200</v>
      </c>
    </row>
    <row r="10" spans="1:8" ht="16" x14ac:dyDescent="0.2">
      <c r="A10" s="26"/>
      <c r="B10" s="27"/>
      <c r="C10" s="27"/>
      <c r="D10" s="24"/>
      <c r="E10" s="33">
        <f>SUM(E6:E9)</f>
        <v>10063716</v>
      </c>
      <c r="F10" s="34">
        <f>SUM(F6:F9)</f>
        <v>24</v>
      </c>
      <c r="G10" s="35">
        <f>SUM(G6:G9)</f>
        <v>36000</v>
      </c>
      <c r="H10" s="35">
        <f>SUM(H6:H9)</f>
        <v>9600</v>
      </c>
    </row>
    <row r="11" spans="1:8" x14ac:dyDescent="0.2">
      <c r="A11" s="4"/>
      <c r="B11" s="4"/>
      <c r="C11" s="4"/>
      <c r="D11" s="4"/>
      <c r="E11" s="5"/>
      <c r="F11" s="4"/>
      <c r="G11" s="4"/>
      <c r="H11" s="4"/>
    </row>
    <row r="12" spans="1:8" ht="16" x14ac:dyDescent="0.2">
      <c r="A12" s="12" t="s">
        <v>17</v>
      </c>
      <c r="B12" s="13"/>
      <c r="C12" s="14" t="s">
        <v>9</v>
      </c>
      <c r="D12" s="14" t="s">
        <v>13</v>
      </c>
      <c r="E12" s="28" t="s">
        <v>50</v>
      </c>
      <c r="F12" s="29">
        <v>2</v>
      </c>
      <c r="G12" s="22" t="s">
        <v>48</v>
      </c>
      <c r="H12" s="39">
        <f>G10+H10+D22</f>
        <v>45600</v>
      </c>
    </row>
    <row r="13" spans="1:8" ht="16" x14ac:dyDescent="0.2">
      <c r="A13" s="15" t="s">
        <v>11</v>
      </c>
      <c r="B13" s="16" t="s">
        <v>51</v>
      </c>
      <c r="C13" s="17">
        <v>100000</v>
      </c>
      <c r="D13" s="18" t="s">
        <v>14</v>
      </c>
      <c r="E13" s="23" t="s">
        <v>24</v>
      </c>
      <c r="F13" t="s">
        <v>26</v>
      </c>
    </row>
    <row r="14" spans="1:8" ht="16" x14ac:dyDescent="0.2">
      <c r="A14" s="15" t="s">
        <v>12</v>
      </c>
      <c r="B14" s="16"/>
      <c r="C14" s="17">
        <v>50000</v>
      </c>
      <c r="D14" s="18" t="s">
        <v>14</v>
      </c>
      <c r="E14" s="23" t="s">
        <v>18</v>
      </c>
      <c r="F14" t="s">
        <v>30</v>
      </c>
    </row>
    <row r="15" spans="1:8" ht="16" x14ac:dyDescent="0.2">
      <c r="A15" s="15" t="s">
        <v>10</v>
      </c>
      <c r="B15" s="16"/>
      <c r="C15" s="17">
        <v>25000</v>
      </c>
      <c r="D15" s="18" t="s">
        <v>14</v>
      </c>
      <c r="E15" s="23" t="s">
        <v>19</v>
      </c>
      <c r="F15" t="s">
        <v>36</v>
      </c>
    </row>
    <row r="16" spans="1:8" ht="16" x14ac:dyDescent="0.2">
      <c r="A16" s="15" t="s">
        <v>53</v>
      </c>
      <c r="B16" s="16"/>
      <c r="C16" s="17">
        <v>50000</v>
      </c>
      <c r="D16" s="18" t="s">
        <v>14</v>
      </c>
      <c r="E16" s="23" t="s">
        <v>20</v>
      </c>
      <c r="F16" t="s">
        <v>39</v>
      </c>
    </row>
    <row r="17" spans="1:8" ht="16" x14ac:dyDescent="0.2">
      <c r="A17" s="15" t="s">
        <v>55</v>
      </c>
      <c r="B17" s="16"/>
      <c r="C17" s="17" t="s">
        <v>51</v>
      </c>
      <c r="D17" s="40" t="s">
        <v>51</v>
      </c>
      <c r="E17" s="23" t="s">
        <v>41</v>
      </c>
      <c r="F17" t="s">
        <v>42</v>
      </c>
    </row>
    <row r="18" spans="1:8" ht="16" x14ac:dyDescent="0.2">
      <c r="A18" s="15" t="s">
        <v>56</v>
      </c>
      <c r="B18" s="16"/>
      <c r="C18" s="17">
        <v>25000</v>
      </c>
      <c r="D18" s="40"/>
      <c r="E18" s="23" t="s">
        <v>49</v>
      </c>
      <c r="F18">
        <v>1984</v>
      </c>
    </row>
    <row r="19" spans="1:8" ht="19" x14ac:dyDescent="0.25">
      <c r="A19" s="15" t="s">
        <v>52</v>
      </c>
      <c r="B19" s="16"/>
      <c r="C19" s="17">
        <v>15000</v>
      </c>
      <c r="D19" s="40" t="s">
        <v>51</v>
      </c>
      <c r="E19" s="7" t="s">
        <v>21</v>
      </c>
      <c r="F19" s="6"/>
      <c r="G19" s="6"/>
      <c r="H19" s="8">
        <f>E10+C22</f>
        <v>10328716</v>
      </c>
    </row>
    <row r="20" spans="1:8" ht="19" x14ac:dyDescent="0.25">
      <c r="A20" s="15" t="s">
        <v>58</v>
      </c>
      <c r="B20" s="16"/>
      <c r="C20" s="17" t="s">
        <v>51</v>
      </c>
      <c r="D20" s="40"/>
      <c r="E20" s="7" t="s">
        <v>22</v>
      </c>
      <c r="F20" s="6"/>
      <c r="G20" s="6"/>
      <c r="H20" s="8">
        <v>10000</v>
      </c>
    </row>
    <row r="21" spans="1:8" ht="19" x14ac:dyDescent="0.25">
      <c r="A21" s="19" t="s">
        <v>54</v>
      </c>
      <c r="B21" s="20"/>
      <c r="C21" s="38" t="s">
        <v>51</v>
      </c>
      <c r="D21" s="41" t="s">
        <v>51</v>
      </c>
      <c r="E21" s="7" t="s">
        <v>47</v>
      </c>
      <c r="F21" s="6"/>
      <c r="G21" s="37"/>
      <c r="H21" s="8">
        <v>300000</v>
      </c>
    </row>
    <row r="22" spans="1:8" ht="19" x14ac:dyDescent="0.25">
      <c r="A22" s="12" t="s">
        <v>16</v>
      </c>
      <c r="B22" s="13"/>
      <c r="C22" s="21">
        <f>SUM(C13:C21)</f>
        <v>265000</v>
      </c>
      <c r="D22" s="42">
        <f>SUM(D17:D21)</f>
        <v>0</v>
      </c>
      <c r="E22" s="7" t="s">
        <v>23</v>
      </c>
      <c r="F22" s="6"/>
      <c r="G22" s="37">
        <v>160000</v>
      </c>
      <c r="H22" s="36"/>
    </row>
  </sheetData>
  <mergeCells count="2">
    <mergeCell ref="C3:D3"/>
    <mergeCell ref="C2:D2"/>
  </mergeCells>
  <dataValidations count="7">
    <dataValidation type="list" allowBlank="1" showInputMessage="1" showErrorMessage="1" sqref="F13" xr:uid="{ABB70819-3F6A-F349-8CC5-4F30DBE4E939}">
      <formula1>rooftype</formula1>
    </dataValidation>
    <dataValidation type="list" allowBlank="1" showInputMessage="1" showErrorMessage="1" sqref="F15" xr:uid="{B0DAFCE3-90B2-6641-8CC1-4F9D8653FAED}">
      <formula1>sprinklered</formula1>
    </dataValidation>
    <dataValidation type="list" allowBlank="1" showInputMessage="1" showErrorMessage="1" sqref="F16" xr:uid="{2F12A6D3-8947-5047-A326-897244E53010}">
      <formula1>smokedetector</formula1>
    </dataValidation>
    <dataValidation type="list" allowBlank="1" showInputMessage="1" showErrorMessage="1" sqref="F17" xr:uid="{8ADA25D0-4E11-144D-ADC5-C4293111BB8A}">
      <formula1>construction</formula1>
    </dataValidation>
    <dataValidation type="list" allowBlank="1" showInputMessage="1" showErrorMessage="1" sqref="G22" xr:uid="{93FFE619-2B95-2741-943E-965AD106A223}">
      <formula1>assocfees</formula1>
    </dataValidation>
    <dataValidation type="list" allowBlank="1" showInputMessage="1" showErrorMessage="1" sqref="F14" xr:uid="{6861B23A-B1F2-2F40-AFDE-EC598BC78780}">
      <formula1>garagetype</formula1>
    </dataValidation>
    <dataValidation type="whole" allowBlank="1" showInputMessage="1" showErrorMessage="1" sqref="G6:H9" xr:uid="{00E6EFAE-94B8-AF49-AC54-BD0C19B18797}">
      <formula1>0</formula1>
      <formula2>1000000</formula2>
    </dataValidation>
  </dataValidations>
  <pageMargins left="0.25" right="0.25" top="0.75" bottom="0.75" header="0.3" footer="0.3"/>
  <pageSetup scale="74" orientation="landscape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9309-9886-B844-B018-897D928104F4}">
  <dimension ref="A1:G7"/>
  <sheetViews>
    <sheetView workbookViewId="0">
      <selection activeCell="G8" sqref="G8"/>
    </sheetView>
  </sheetViews>
  <sheetFormatPr baseColWidth="10" defaultRowHeight="15" x14ac:dyDescent="0.2"/>
  <cols>
    <col min="1" max="1" width="8.83203125" customWidth="1"/>
    <col min="2" max="2" width="22.5" bestFit="1" customWidth="1"/>
    <col min="3" max="3" width="8.83203125" customWidth="1"/>
    <col min="4" max="4" width="11.33203125" bestFit="1" customWidth="1"/>
    <col min="5" max="5" width="28.5" bestFit="1" customWidth="1"/>
    <col min="6" max="6" width="27.5" bestFit="1" customWidth="1"/>
    <col min="7" max="256" width="8.83203125" customWidth="1"/>
  </cols>
  <sheetData>
    <row r="1" spans="1:7" ht="16" x14ac:dyDescent="0.2">
      <c r="A1" s="23" t="s">
        <v>25</v>
      </c>
      <c r="B1" s="23" t="s">
        <v>34</v>
      </c>
      <c r="C1" s="23" t="s">
        <v>35</v>
      </c>
      <c r="D1" s="23" t="s">
        <v>38</v>
      </c>
      <c r="E1" s="23" t="s">
        <v>42</v>
      </c>
      <c r="F1" s="25">
        <v>100000</v>
      </c>
    </row>
    <row r="2" spans="1:7" ht="16" x14ac:dyDescent="0.2">
      <c r="A2" s="23" t="s">
        <v>26</v>
      </c>
      <c r="B2" s="23" t="s">
        <v>29</v>
      </c>
      <c r="C2" s="23" t="s">
        <v>36</v>
      </c>
      <c r="D2" s="23" t="s">
        <v>39</v>
      </c>
      <c r="E2" s="23" t="s">
        <v>43</v>
      </c>
      <c r="F2" s="23" t="s">
        <v>46</v>
      </c>
    </row>
    <row r="3" spans="1:7" ht="16" x14ac:dyDescent="0.2">
      <c r="A3" s="23" t="s">
        <v>27</v>
      </c>
      <c r="B3" s="23" t="s">
        <v>30</v>
      </c>
      <c r="C3" s="23" t="s">
        <v>37</v>
      </c>
      <c r="D3" s="23" t="s">
        <v>40</v>
      </c>
      <c r="E3" s="23" t="s">
        <v>44</v>
      </c>
      <c r="F3" s="23" t="s">
        <v>40</v>
      </c>
      <c r="G3" s="23"/>
    </row>
    <row r="4" spans="1:7" ht="16" x14ac:dyDescent="0.2">
      <c r="A4" s="23" t="s">
        <v>28</v>
      </c>
      <c r="B4" s="23" t="s">
        <v>31</v>
      </c>
      <c r="C4" s="23"/>
      <c r="D4" s="23"/>
      <c r="E4" s="23" t="s">
        <v>45</v>
      </c>
      <c r="F4" s="23"/>
    </row>
    <row r="5" spans="1:7" ht="16" x14ac:dyDescent="0.2">
      <c r="A5" s="23"/>
      <c r="B5" s="23" t="s">
        <v>32</v>
      </c>
      <c r="C5" s="23"/>
      <c r="D5" s="23"/>
      <c r="E5" s="23"/>
      <c r="F5" s="23"/>
    </row>
    <row r="6" spans="1:7" ht="16" x14ac:dyDescent="0.2">
      <c r="A6" s="23"/>
      <c r="B6" s="23" t="s">
        <v>33</v>
      </c>
      <c r="C6" s="23"/>
      <c r="D6" s="23"/>
      <c r="E6" s="23"/>
      <c r="F6" s="23"/>
    </row>
    <row r="7" spans="1:7" ht="16" x14ac:dyDescent="0.2">
      <c r="A7" s="23"/>
      <c r="B7" s="23"/>
      <c r="C7" s="23"/>
      <c r="D7" s="23"/>
      <c r="E7" s="23"/>
      <c r="F7" s="23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2D22-ECBC-8944-975A-A6628F9BD58D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Ware</dc:creator>
  <cp:lastModifiedBy>Nadav Kolevesoh</cp:lastModifiedBy>
  <cp:lastPrinted>2015-01-27T23:57:01Z</cp:lastPrinted>
  <dcterms:created xsi:type="dcterms:W3CDTF">2012-01-09T17:03:03Z</dcterms:created>
  <dcterms:modified xsi:type="dcterms:W3CDTF">2025-11-16T09:48:38Z</dcterms:modified>
</cp:coreProperties>
</file>