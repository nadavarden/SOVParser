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SI\ASI.TAM\ThinClient\Temp\Attachments\vqbudu10.fjc\"/>
    </mc:Choice>
  </mc:AlternateContent>
  <xr:revisionPtr revIDLastSave="0" documentId="13_ncr:1_{35F48F90-9ABE-498E-B016-73C580B4638D}" xr6:coauthVersionLast="47" xr6:coauthVersionMax="47" xr10:uidLastSave="{00000000-0000-0000-0000-000000000000}"/>
  <bookViews>
    <workbookView xWindow="780" yWindow="780" windowWidth="28800" windowHeight="11295" xr2:uid="{3A2FE154-455F-4493-885F-5DD2C94C048B}"/>
  </bookViews>
  <sheets>
    <sheet name="General Info and Liability" sheetId="1" r:id="rId1"/>
    <sheet name="Property Schedule" sheetId="3" r:id="rId2"/>
    <sheet name="Policy and Cert Info" sheetId="4" state="hidden" r:id="rId3"/>
    <sheet name="LOOKUPS" sheetId="2" state="hidden" r:id="rId4"/>
  </sheets>
  <externalReferences>
    <externalReference r:id="rId5"/>
  </externalReferences>
  <definedNames>
    <definedName name="assocfees">[1]Sheet2!$F:$F</definedName>
    <definedName name="construction">[1]Sheet2!$E:$E</definedName>
    <definedName name="garagetype">[1]Sheet2!$B:$B</definedName>
    <definedName name="rooftype">[1]Sheet2!$A:$A</definedName>
    <definedName name="smokedetector">[1]Sheet2!$D:$D</definedName>
    <definedName name="sprinklered">[1]Sheet2!$C:$C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3" l="1"/>
  <c r="F3" i="3"/>
  <c r="F2" i="3"/>
  <c r="D21" i="1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H2" i="3" l="1"/>
  <c r="N3" i="3" l="1"/>
  <c r="K3" i="3"/>
  <c r="M3" i="3"/>
  <c r="W3" i="3"/>
  <c r="U3" i="3"/>
  <c r="V3" i="3"/>
  <c r="H3" i="3"/>
  <c r="T3" i="3"/>
  <c r="S3" i="3"/>
  <c r="F40" i="3"/>
  <c r="K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N2" i="3"/>
  <c r="K4" i="3" l="1"/>
  <c r="R3" i="3"/>
  <c r="Q3" i="3"/>
  <c r="M4" i="3"/>
  <c r="N4" i="3"/>
  <c r="W4" i="3"/>
  <c r="S4" i="3"/>
  <c r="T4" i="3"/>
  <c r="H4" i="3"/>
  <c r="U4" i="3"/>
  <c r="V4" i="3"/>
  <c r="T2" i="3"/>
  <c r="Q2" i="3"/>
  <c r="M2" i="3"/>
  <c r="F38" i="3"/>
  <c r="B19" i="1" s="1"/>
  <c r="B21" i="1" s="1"/>
  <c r="B45" i="1" s="1"/>
  <c r="S2" i="3"/>
  <c r="U2" i="3"/>
  <c r="V2" i="3"/>
  <c r="W2" i="3"/>
  <c r="R2" i="3"/>
  <c r="K5" i="3" l="1"/>
  <c r="R4" i="3"/>
  <c r="Q4" i="3"/>
  <c r="N5" i="3"/>
  <c r="M5" i="3"/>
  <c r="T5" i="3"/>
  <c r="W5" i="3"/>
  <c r="H5" i="3"/>
  <c r="U5" i="3"/>
  <c r="V5" i="3"/>
  <c r="S5" i="3"/>
  <c r="K6" i="3" l="1"/>
  <c r="R5" i="3"/>
  <c r="Q5" i="3"/>
  <c r="M6" i="3"/>
  <c r="N6" i="3"/>
  <c r="H6" i="3"/>
  <c r="S6" i="3"/>
  <c r="T6" i="3"/>
  <c r="U6" i="3"/>
  <c r="V6" i="3"/>
  <c r="W6" i="3"/>
  <c r="D44" i="1"/>
  <c r="R6" i="3" l="1"/>
  <c r="Q6" i="3"/>
  <c r="S7" i="3"/>
  <c r="U7" i="3"/>
  <c r="V7" i="3"/>
  <c r="W7" i="3"/>
  <c r="T7" i="3"/>
  <c r="N7" i="3"/>
  <c r="K7" i="3"/>
  <c r="M7" i="3"/>
  <c r="H7" i="3"/>
  <c r="H8" i="3" l="1"/>
  <c r="R7" i="3"/>
  <c r="Q7" i="3"/>
  <c r="V8" i="3"/>
  <c r="T8" i="3"/>
  <c r="U8" i="3"/>
  <c r="W8" i="3"/>
  <c r="S8" i="3"/>
  <c r="N8" i="3"/>
  <c r="K8" i="3"/>
  <c r="M8" i="3"/>
  <c r="R8" i="3" l="1"/>
  <c r="Q8" i="3"/>
  <c r="S9" i="3"/>
  <c r="T9" i="3"/>
  <c r="V9" i="3"/>
  <c r="U9" i="3"/>
  <c r="W9" i="3"/>
  <c r="N9" i="3"/>
  <c r="K9" i="3"/>
  <c r="M9" i="3"/>
  <c r="H9" i="3"/>
  <c r="R9" i="3" l="1"/>
  <c r="T10" i="3"/>
  <c r="Q9" i="3"/>
  <c r="V10" i="3"/>
  <c r="W10" i="3"/>
  <c r="S10" i="3"/>
  <c r="U10" i="3"/>
  <c r="N10" i="3"/>
  <c r="K10" i="3"/>
  <c r="M10" i="3"/>
  <c r="H10" i="3"/>
  <c r="R10" i="3" l="1"/>
  <c r="Q10" i="3"/>
  <c r="W11" i="3"/>
  <c r="S11" i="3"/>
  <c r="T11" i="3"/>
  <c r="U11" i="3"/>
  <c r="V11" i="3"/>
  <c r="K11" i="3"/>
  <c r="N11" i="3"/>
  <c r="M11" i="3"/>
  <c r="H11" i="3"/>
  <c r="R11" i="3" l="1"/>
  <c r="T12" i="3"/>
  <c r="Q11" i="3"/>
  <c r="U12" i="3"/>
  <c r="W12" i="3"/>
  <c r="S12" i="3"/>
  <c r="V12" i="3"/>
  <c r="N12" i="3"/>
  <c r="K12" i="3"/>
  <c r="M12" i="3"/>
  <c r="H12" i="3"/>
  <c r="R12" i="3" l="1"/>
  <c r="U13" i="3"/>
  <c r="W13" i="3"/>
  <c r="T13" i="3"/>
  <c r="V13" i="3"/>
  <c r="S13" i="3"/>
  <c r="Q12" i="3"/>
  <c r="K13" i="3"/>
  <c r="N13" i="3"/>
  <c r="H13" i="3"/>
  <c r="M13" i="3"/>
  <c r="R13" i="3" l="1"/>
  <c r="Q13" i="3"/>
  <c r="S14" i="3"/>
  <c r="T14" i="3"/>
  <c r="V14" i="3"/>
  <c r="U14" i="3"/>
  <c r="W14" i="3"/>
  <c r="K14" i="3"/>
  <c r="N14" i="3"/>
  <c r="M14" i="3"/>
  <c r="H14" i="3"/>
  <c r="R14" i="3" l="1"/>
  <c r="Q14" i="3"/>
  <c r="S15" i="3"/>
  <c r="U15" i="3"/>
  <c r="V15" i="3"/>
  <c r="T15" i="3"/>
  <c r="W15" i="3"/>
  <c r="K15" i="3"/>
  <c r="N15" i="3"/>
  <c r="H15" i="3"/>
  <c r="M15" i="3"/>
  <c r="R15" i="3" l="1"/>
  <c r="Q15" i="3"/>
  <c r="V16" i="3"/>
  <c r="S16" i="3"/>
  <c r="T16" i="3"/>
  <c r="U16" i="3"/>
  <c r="W16" i="3"/>
  <c r="N16" i="3"/>
  <c r="K16" i="3"/>
  <c r="H16" i="3"/>
  <c r="M16" i="3"/>
  <c r="R16" i="3" l="1"/>
  <c r="Q16" i="3"/>
  <c r="S17" i="3"/>
  <c r="T17" i="3"/>
  <c r="W17" i="3"/>
  <c r="U17" i="3"/>
  <c r="V17" i="3"/>
  <c r="K17" i="3"/>
  <c r="N17" i="3"/>
  <c r="M17" i="3"/>
  <c r="H17" i="3"/>
  <c r="R17" i="3" l="1"/>
  <c r="T18" i="3"/>
  <c r="V18" i="3"/>
  <c r="W18" i="3"/>
  <c r="U18" i="3"/>
  <c r="Q17" i="3"/>
  <c r="S18" i="3"/>
  <c r="N18" i="3"/>
  <c r="K18" i="3"/>
  <c r="H18" i="3"/>
  <c r="M18" i="3"/>
  <c r="R18" i="3" l="1"/>
  <c r="Q18" i="3"/>
  <c r="W19" i="3"/>
  <c r="S19" i="3"/>
  <c r="T19" i="3"/>
  <c r="V19" i="3"/>
  <c r="U19" i="3"/>
  <c r="K19" i="3"/>
  <c r="N19" i="3"/>
  <c r="M19" i="3"/>
  <c r="H19" i="3"/>
  <c r="R19" i="3" l="1"/>
  <c r="T20" i="3"/>
  <c r="U20" i="3"/>
  <c r="V20" i="3"/>
  <c r="W20" i="3"/>
  <c r="Q19" i="3"/>
  <c r="S20" i="3"/>
  <c r="K20" i="3"/>
  <c r="N20" i="3"/>
  <c r="M20" i="3"/>
  <c r="H20" i="3"/>
  <c r="R20" i="3" l="1"/>
  <c r="U21" i="3"/>
  <c r="W21" i="3"/>
  <c r="Q20" i="3"/>
  <c r="S21" i="3"/>
  <c r="T21" i="3"/>
  <c r="V21" i="3"/>
  <c r="K21" i="3"/>
  <c r="N21" i="3"/>
  <c r="H21" i="3"/>
  <c r="M21" i="3"/>
  <c r="R21" i="3" l="1"/>
  <c r="Q21" i="3"/>
  <c r="S22" i="3"/>
  <c r="W22" i="3"/>
  <c r="U22" i="3"/>
  <c r="T22" i="3"/>
  <c r="V22" i="3"/>
  <c r="K22" i="3"/>
  <c r="N22" i="3"/>
  <c r="M22" i="3"/>
  <c r="H22" i="3"/>
  <c r="R22" i="3" l="1"/>
  <c r="Q22" i="3"/>
  <c r="S23" i="3"/>
  <c r="U23" i="3"/>
  <c r="V23" i="3"/>
  <c r="W23" i="3"/>
  <c r="T23" i="3"/>
  <c r="N23" i="3"/>
  <c r="K23" i="3"/>
  <c r="H23" i="3"/>
  <c r="M23" i="3"/>
  <c r="R23" i="3" l="1"/>
  <c r="Q23" i="3"/>
  <c r="V24" i="3"/>
  <c r="S24" i="3"/>
  <c r="T24" i="3"/>
  <c r="W24" i="3"/>
  <c r="N24" i="3"/>
  <c r="U24" i="3"/>
  <c r="K24" i="3"/>
  <c r="H24" i="3"/>
  <c r="M24" i="3"/>
  <c r="R24" i="3" l="1"/>
  <c r="Q24" i="3"/>
  <c r="S25" i="3"/>
  <c r="T25" i="3"/>
  <c r="V25" i="3"/>
  <c r="U25" i="3"/>
  <c r="W25" i="3"/>
  <c r="N25" i="3"/>
  <c r="K25" i="3"/>
  <c r="M25" i="3"/>
  <c r="H25" i="3"/>
  <c r="R25" i="3" l="1"/>
  <c r="Q25" i="3"/>
  <c r="T26" i="3"/>
  <c r="V26" i="3"/>
  <c r="W26" i="3"/>
  <c r="S26" i="3"/>
  <c r="U26" i="3"/>
  <c r="N26" i="3"/>
  <c r="K26" i="3"/>
  <c r="M26" i="3"/>
  <c r="H26" i="3"/>
  <c r="R26" i="3" l="1"/>
  <c r="Q26" i="3"/>
  <c r="W27" i="3"/>
  <c r="S27" i="3"/>
  <c r="U27" i="3"/>
  <c r="V27" i="3"/>
  <c r="T27" i="3"/>
  <c r="K27" i="3"/>
  <c r="N27" i="3"/>
  <c r="M27" i="3"/>
  <c r="H27" i="3"/>
  <c r="R27" i="3" l="1"/>
  <c r="T28" i="3"/>
  <c r="U28" i="3"/>
  <c r="S28" i="3"/>
  <c r="W28" i="3"/>
  <c r="Q27" i="3"/>
  <c r="V28" i="3"/>
  <c r="K28" i="3"/>
  <c r="N28" i="3"/>
  <c r="M28" i="3"/>
  <c r="H28" i="3"/>
  <c r="R28" i="3" l="1"/>
  <c r="U29" i="3"/>
  <c r="Q28" i="3"/>
  <c r="W29" i="3"/>
  <c r="S29" i="3"/>
  <c r="T29" i="3"/>
  <c r="V29" i="3"/>
  <c r="K29" i="3"/>
  <c r="N29" i="3"/>
  <c r="H29" i="3"/>
  <c r="M29" i="3"/>
  <c r="R29" i="3" l="1"/>
  <c r="Q29" i="3"/>
  <c r="S30" i="3"/>
  <c r="V30" i="3"/>
  <c r="T30" i="3"/>
  <c r="U30" i="3"/>
  <c r="W30" i="3"/>
  <c r="K30" i="3"/>
  <c r="N30" i="3"/>
  <c r="M30" i="3"/>
  <c r="H30" i="3"/>
  <c r="R30" i="3" l="1"/>
  <c r="Q30" i="3"/>
  <c r="S31" i="3"/>
  <c r="U31" i="3"/>
  <c r="V31" i="3"/>
  <c r="T31" i="3"/>
  <c r="W31" i="3"/>
  <c r="K31" i="3"/>
  <c r="N31" i="3"/>
  <c r="H31" i="3"/>
  <c r="M31" i="3"/>
  <c r="R31" i="3" l="1"/>
  <c r="Q31" i="3"/>
  <c r="V32" i="3"/>
  <c r="S32" i="3"/>
  <c r="U32" i="3"/>
  <c r="T32" i="3"/>
  <c r="W32" i="3"/>
  <c r="N32" i="3"/>
  <c r="K32" i="3"/>
  <c r="H32" i="3"/>
  <c r="M32" i="3"/>
  <c r="R32" i="3" l="1"/>
  <c r="Q32" i="3"/>
  <c r="S33" i="3"/>
  <c r="T33" i="3"/>
  <c r="U33" i="3"/>
  <c r="W33" i="3"/>
  <c r="V33" i="3"/>
  <c r="N33" i="3"/>
  <c r="K33" i="3"/>
  <c r="M33" i="3"/>
  <c r="H33" i="3"/>
  <c r="R33" i="3" l="1"/>
  <c r="T34" i="3"/>
  <c r="V34" i="3"/>
  <c r="Q33" i="3"/>
  <c r="W34" i="3"/>
  <c r="S34" i="3"/>
  <c r="U34" i="3"/>
  <c r="N34" i="3"/>
  <c r="K34" i="3"/>
  <c r="H34" i="3"/>
  <c r="M34" i="3"/>
  <c r="R34" i="3" l="1"/>
  <c r="Q34" i="3"/>
  <c r="W35" i="3"/>
  <c r="V35" i="3"/>
  <c r="T35" i="3"/>
  <c r="S35" i="3"/>
  <c r="U35" i="3"/>
  <c r="K35" i="3"/>
  <c r="N35" i="3"/>
  <c r="M35" i="3"/>
  <c r="H35" i="3"/>
  <c r="R35" i="3" l="1"/>
  <c r="T36" i="3"/>
  <c r="U36" i="3"/>
  <c r="Q35" i="3"/>
  <c r="V36" i="3"/>
  <c r="W36" i="3"/>
  <c r="S36" i="3"/>
  <c r="N36" i="3"/>
  <c r="K36" i="3"/>
  <c r="M36" i="3"/>
  <c r="H36" i="3"/>
  <c r="R36" i="3" l="1"/>
  <c r="U37" i="3"/>
  <c r="W37" i="3"/>
  <c r="Q36" i="3"/>
  <c r="S37" i="3"/>
  <c r="V37" i="3"/>
  <c r="T37" i="3"/>
  <c r="K37" i="3"/>
  <c r="N37" i="3"/>
  <c r="H37" i="3"/>
  <c r="M37" i="3"/>
  <c r="R37" i="3" l="1"/>
  <c r="Q37" i="3"/>
  <c r="S38" i="3"/>
  <c r="U38" i="3"/>
  <c r="W38" i="3"/>
  <c r="T38" i="3"/>
  <c r="V38" i="3"/>
  <c r="K38" i="3"/>
  <c r="N38" i="3"/>
  <c r="M38" i="3"/>
  <c r="H38" i="3"/>
  <c r="R38" i="3" l="1"/>
  <c r="Q38" i="3"/>
  <c r="S39" i="3"/>
  <c r="U39" i="3"/>
  <c r="V39" i="3"/>
  <c r="T39" i="3"/>
  <c r="W39" i="3"/>
  <c r="N39" i="3"/>
  <c r="K39" i="3"/>
  <c r="M39" i="3"/>
  <c r="H39" i="3"/>
  <c r="R39" i="3" l="1"/>
  <c r="Q39" i="3"/>
  <c r="V40" i="3"/>
  <c r="W40" i="3"/>
  <c r="T40" i="3"/>
  <c r="S40" i="3"/>
  <c r="U40" i="3"/>
  <c r="N40" i="3"/>
  <c r="K40" i="3"/>
  <c r="H40" i="3"/>
  <c r="M40" i="3"/>
  <c r="R40" i="3" l="1"/>
  <c r="Q40" i="3"/>
  <c r="S41" i="3"/>
  <c r="T41" i="3"/>
  <c r="V41" i="3"/>
  <c r="W41" i="3"/>
  <c r="U41" i="3"/>
  <c r="K41" i="3"/>
  <c r="N41" i="3"/>
  <c r="H41" i="3"/>
  <c r="M41" i="3"/>
  <c r="R41" i="3" l="1"/>
  <c r="T42" i="3"/>
  <c r="V42" i="3"/>
  <c r="W42" i="3"/>
  <c r="Q41" i="3"/>
  <c r="S42" i="3"/>
  <c r="U42" i="3"/>
  <c r="N42" i="3"/>
  <c r="K42" i="3"/>
  <c r="M42" i="3"/>
  <c r="H42" i="3"/>
  <c r="R42" i="3" l="1"/>
  <c r="Q42" i="3"/>
  <c r="W43" i="3"/>
  <c r="U43" i="3"/>
  <c r="S43" i="3"/>
  <c r="T43" i="3"/>
  <c r="V43" i="3"/>
  <c r="K43" i="3"/>
  <c r="N43" i="3"/>
  <c r="M43" i="3"/>
  <c r="H43" i="3"/>
  <c r="R43" i="3" l="1"/>
  <c r="T44" i="3"/>
  <c r="U44" i="3"/>
  <c r="S44" i="3"/>
  <c r="V44" i="3"/>
  <c r="W44" i="3"/>
  <c r="Q43" i="3"/>
  <c r="K44" i="3"/>
  <c r="N44" i="3"/>
  <c r="H44" i="3"/>
  <c r="M44" i="3"/>
  <c r="R44" i="3" l="1"/>
  <c r="Q44" i="3"/>
  <c r="U45" i="3"/>
  <c r="W45" i="3"/>
  <c r="T45" i="3"/>
  <c r="S45" i="3"/>
  <c r="V45" i="3"/>
  <c r="K45" i="3"/>
  <c r="N45" i="3"/>
  <c r="M45" i="3"/>
  <c r="H45" i="3"/>
  <c r="R45" i="3" l="1"/>
  <c r="Q45" i="3"/>
  <c r="S46" i="3"/>
  <c r="T46" i="3"/>
  <c r="V46" i="3"/>
  <c r="W46" i="3"/>
  <c r="U46" i="3"/>
  <c r="K46" i="3"/>
  <c r="N46" i="3"/>
  <c r="M46" i="3"/>
  <c r="H46" i="3"/>
  <c r="R46" i="3" l="1"/>
  <c r="Q46" i="3"/>
  <c r="S47" i="3"/>
  <c r="U47" i="3"/>
  <c r="V47" i="3"/>
  <c r="T47" i="3"/>
  <c r="W47" i="3"/>
  <c r="N47" i="3"/>
  <c r="K47" i="3"/>
  <c r="H47" i="3"/>
  <c r="M47" i="3"/>
  <c r="R47" i="3" l="1"/>
  <c r="Q47" i="3"/>
  <c r="V48" i="3"/>
  <c r="U48" i="3"/>
  <c r="S48" i="3"/>
  <c r="T48" i="3"/>
  <c r="W48" i="3"/>
  <c r="N48" i="3"/>
  <c r="K48" i="3"/>
  <c r="M48" i="3"/>
  <c r="H48" i="3"/>
  <c r="R48" i="3" l="1"/>
  <c r="Q48" i="3"/>
  <c r="S49" i="3"/>
  <c r="T49" i="3"/>
  <c r="U49" i="3"/>
  <c r="V49" i="3"/>
  <c r="W49" i="3"/>
  <c r="N49" i="3"/>
  <c r="K49" i="3"/>
  <c r="M49" i="3"/>
  <c r="H49" i="3"/>
  <c r="R49" i="3" l="1"/>
  <c r="T50" i="3"/>
  <c r="V50" i="3"/>
  <c r="W50" i="3"/>
  <c r="Q49" i="3"/>
  <c r="U50" i="3"/>
  <c r="S50" i="3"/>
  <c r="N50" i="3"/>
  <c r="K50" i="3"/>
  <c r="H50" i="3"/>
  <c r="M50" i="3"/>
  <c r="R50" i="3" l="1"/>
  <c r="Q50" i="3"/>
  <c r="W51" i="3"/>
  <c r="T51" i="3"/>
  <c r="V51" i="3"/>
  <c r="S51" i="3"/>
  <c r="U51" i="3"/>
  <c r="K51" i="3"/>
  <c r="N51" i="3"/>
  <c r="M51" i="3"/>
  <c r="H51" i="3"/>
  <c r="R51" i="3" l="1"/>
  <c r="Q51" i="3"/>
  <c r="T52" i="3"/>
  <c r="U52" i="3"/>
  <c r="S52" i="3"/>
  <c r="V52" i="3"/>
  <c r="W52" i="3"/>
  <c r="K52" i="3"/>
  <c r="N52" i="3"/>
  <c r="M52" i="3"/>
  <c r="H52" i="3"/>
  <c r="R52" i="3" l="1"/>
  <c r="U53" i="3"/>
  <c r="W53" i="3"/>
  <c r="Q52" i="3"/>
  <c r="V53" i="3"/>
  <c r="S53" i="3"/>
  <c r="T53" i="3"/>
  <c r="K53" i="3"/>
  <c r="N53" i="3"/>
  <c r="H53" i="3"/>
  <c r="M53" i="3"/>
  <c r="R53" i="3" l="1"/>
  <c r="Q53" i="3"/>
  <c r="S54" i="3"/>
  <c r="U54" i="3"/>
  <c r="V54" i="3"/>
  <c r="W54" i="3"/>
  <c r="T54" i="3"/>
  <c r="K54" i="3"/>
  <c r="N54" i="3"/>
  <c r="M54" i="3"/>
  <c r="H54" i="3"/>
  <c r="R54" i="3" l="1"/>
  <c r="Q54" i="3"/>
  <c r="S55" i="3"/>
  <c r="U55" i="3"/>
  <c r="V55" i="3"/>
  <c r="W55" i="3"/>
  <c r="T55" i="3"/>
  <c r="K55" i="3"/>
  <c r="N55" i="3"/>
  <c r="H55" i="3"/>
  <c r="M55" i="3"/>
  <c r="R55" i="3" l="1"/>
  <c r="Q55" i="3"/>
  <c r="V56" i="3"/>
  <c r="T56" i="3"/>
  <c r="W56" i="3"/>
  <c r="S56" i="3"/>
  <c r="U56" i="3"/>
  <c r="N56" i="3"/>
  <c r="K56" i="3"/>
  <c r="H56" i="3"/>
  <c r="M56" i="3"/>
  <c r="R56" i="3" l="1"/>
  <c r="Q56" i="3"/>
  <c r="S57" i="3"/>
  <c r="T57" i="3"/>
  <c r="U57" i="3"/>
  <c r="V57" i="3"/>
  <c r="W57" i="3"/>
  <c r="K57" i="3"/>
  <c r="N57" i="3"/>
  <c r="M57" i="3"/>
  <c r="H57" i="3"/>
  <c r="R57" i="3" l="1"/>
  <c r="T58" i="3"/>
  <c r="V58" i="3"/>
  <c r="W58" i="3"/>
  <c r="S58" i="3"/>
  <c r="Q57" i="3"/>
  <c r="U58" i="3"/>
  <c r="N58" i="3"/>
  <c r="K58" i="3"/>
  <c r="M58" i="3"/>
  <c r="H58" i="3"/>
  <c r="R58" i="3" l="1"/>
  <c r="Q58" i="3"/>
  <c r="W59" i="3"/>
  <c r="S59" i="3"/>
  <c r="U59" i="3"/>
  <c r="V59" i="3"/>
  <c r="T59" i="3"/>
  <c r="K59" i="3"/>
  <c r="N59" i="3"/>
  <c r="M59" i="3"/>
  <c r="H59" i="3"/>
  <c r="T60" i="3" l="1"/>
  <c r="R59" i="3"/>
  <c r="U60" i="3"/>
  <c r="Q59" i="3"/>
  <c r="S60" i="3"/>
  <c r="W60" i="3"/>
  <c r="V60" i="3"/>
  <c r="N60" i="3"/>
  <c r="K60" i="3"/>
  <c r="M60" i="3"/>
  <c r="H60" i="3"/>
  <c r="R60" i="3" l="1"/>
  <c r="U61" i="3"/>
  <c r="W61" i="3"/>
  <c r="T61" i="3"/>
  <c r="V61" i="3"/>
  <c r="Q60" i="3"/>
  <c r="S61" i="3"/>
  <c r="K61" i="3"/>
  <c r="N61" i="3"/>
  <c r="H61" i="3"/>
  <c r="M61" i="3"/>
  <c r="R61" i="3" l="1"/>
  <c r="Q61" i="3"/>
  <c r="S62" i="3"/>
  <c r="T62" i="3"/>
  <c r="U62" i="3"/>
  <c r="V62" i="3"/>
  <c r="W62" i="3"/>
  <c r="K62" i="3"/>
  <c r="N62" i="3"/>
  <c r="M62" i="3"/>
  <c r="H62" i="3"/>
  <c r="R62" i="3" l="1"/>
  <c r="Q62" i="3"/>
  <c r="S63" i="3"/>
  <c r="U63" i="3"/>
  <c r="V63" i="3"/>
  <c r="T63" i="3"/>
  <c r="W63" i="3"/>
  <c r="N63" i="3"/>
  <c r="K63" i="3"/>
  <c r="M63" i="3"/>
  <c r="H63" i="3"/>
  <c r="R63" i="3" l="1"/>
  <c r="Q63" i="3"/>
  <c r="V64" i="3"/>
  <c r="S64" i="3"/>
  <c r="U64" i="3"/>
  <c r="W64" i="3"/>
  <c r="T64" i="3"/>
  <c r="N64" i="3"/>
  <c r="K64" i="3"/>
  <c r="H64" i="3"/>
  <c r="M64" i="3"/>
  <c r="R64" i="3" l="1"/>
  <c r="Q64" i="3"/>
  <c r="S65" i="3"/>
  <c r="T65" i="3"/>
  <c r="U65" i="3"/>
  <c r="W65" i="3"/>
  <c r="V65" i="3"/>
  <c r="K65" i="3"/>
  <c r="N65" i="3"/>
  <c r="M65" i="3"/>
  <c r="H65" i="3"/>
  <c r="R65" i="3" l="1"/>
  <c r="T66" i="3"/>
  <c r="W66" i="3"/>
  <c r="U66" i="3"/>
  <c r="Q65" i="3"/>
  <c r="S66" i="3"/>
  <c r="V66" i="3"/>
  <c r="N66" i="3"/>
  <c r="K66" i="3"/>
  <c r="M66" i="3"/>
  <c r="H66" i="3"/>
  <c r="R66" i="3" l="1"/>
  <c r="Q66" i="3"/>
  <c r="W67" i="3"/>
  <c r="S67" i="3"/>
  <c r="T67" i="3"/>
  <c r="U67" i="3"/>
  <c r="V67" i="3"/>
  <c r="K67" i="3"/>
  <c r="N67" i="3"/>
  <c r="M67" i="3"/>
  <c r="H67" i="3"/>
  <c r="Q67" i="3" l="1"/>
  <c r="U68" i="3"/>
  <c r="R67" i="3"/>
  <c r="V68" i="3"/>
  <c r="S68" i="3"/>
  <c r="T68" i="3"/>
  <c r="W68" i="3"/>
  <c r="K68" i="3"/>
  <c r="N68" i="3"/>
  <c r="M68" i="3"/>
  <c r="H68" i="3"/>
  <c r="R68" i="3" l="1"/>
  <c r="U69" i="3"/>
  <c r="S69" i="3"/>
  <c r="Q68" i="3"/>
  <c r="T69" i="3"/>
  <c r="V69" i="3"/>
  <c r="W69" i="3"/>
  <c r="K69" i="3"/>
  <c r="N69" i="3"/>
  <c r="H69" i="3"/>
  <c r="M69" i="3"/>
  <c r="R69" i="3" l="1"/>
  <c r="Q69" i="3"/>
  <c r="S70" i="3"/>
  <c r="V70" i="3"/>
  <c r="T70" i="3"/>
  <c r="U70" i="3"/>
  <c r="W70" i="3"/>
  <c r="K70" i="3"/>
  <c r="N70" i="3"/>
  <c r="H70" i="3"/>
  <c r="M70" i="3"/>
  <c r="R70" i="3" l="1"/>
  <c r="Q70" i="3"/>
  <c r="S71" i="3"/>
  <c r="V71" i="3"/>
  <c r="T71" i="3"/>
  <c r="U71" i="3"/>
  <c r="W71" i="3"/>
  <c r="K71" i="3"/>
  <c r="N71" i="3"/>
  <c r="H71" i="3"/>
  <c r="M71" i="3"/>
  <c r="R71" i="3" l="1"/>
  <c r="Q71" i="3"/>
  <c r="V72" i="3"/>
  <c r="W72" i="3"/>
  <c r="T72" i="3"/>
  <c r="S72" i="3"/>
  <c r="U72" i="3"/>
  <c r="N72" i="3"/>
  <c r="K72" i="3"/>
  <c r="H72" i="3"/>
  <c r="M72" i="3"/>
  <c r="R72" i="3" l="1"/>
  <c r="Q72" i="3"/>
  <c r="T73" i="3"/>
  <c r="U73" i="3"/>
  <c r="V73" i="3"/>
  <c r="W73" i="3"/>
  <c r="S73" i="3"/>
  <c r="N73" i="3"/>
  <c r="K73" i="3"/>
  <c r="M73" i="3"/>
  <c r="H73" i="3"/>
  <c r="R73" i="3" l="1"/>
  <c r="T74" i="3"/>
  <c r="Q73" i="3"/>
  <c r="W74" i="3"/>
  <c r="U74" i="3"/>
  <c r="S74" i="3"/>
  <c r="V74" i="3"/>
  <c r="N74" i="3"/>
  <c r="K74" i="3"/>
  <c r="H74" i="3"/>
  <c r="M74" i="3"/>
  <c r="R74" i="3" l="1"/>
  <c r="Q74" i="3"/>
  <c r="W75" i="3"/>
  <c r="S75" i="3"/>
  <c r="U75" i="3"/>
  <c r="V75" i="3"/>
  <c r="T75" i="3"/>
  <c r="K75" i="3"/>
  <c r="N75" i="3"/>
  <c r="M75" i="3"/>
  <c r="H75" i="3"/>
  <c r="R75" i="3" l="1"/>
  <c r="Q75" i="3"/>
  <c r="U76" i="3"/>
  <c r="S76" i="3"/>
  <c r="V76" i="3"/>
  <c r="T76" i="3"/>
  <c r="W76" i="3"/>
  <c r="N76" i="3"/>
  <c r="K76" i="3"/>
  <c r="M76" i="3"/>
  <c r="H76" i="3"/>
  <c r="R76" i="3" l="1"/>
  <c r="U77" i="3"/>
  <c r="S77" i="3"/>
  <c r="V77" i="3"/>
  <c r="W77" i="3"/>
  <c r="Q76" i="3"/>
  <c r="T77" i="3"/>
  <c r="K77" i="3"/>
  <c r="N77" i="3"/>
  <c r="M77" i="3"/>
  <c r="H77" i="3"/>
  <c r="R77" i="3" l="1"/>
  <c r="Q77" i="3"/>
  <c r="S78" i="3"/>
  <c r="T78" i="3"/>
  <c r="V78" i="3"/>
  <c r="U78" i="3"/>
  <c r="W78" i="3"/>
  <c r="K78" i="3"/>
  <c r="N78" i="3"/>
  <c r="H78" i="3"/>
  <c r="M78" i="3"/>
  <c r="R78" i="3" l="1"/>
  <c r="Q78" i="3"/>
  <c r="S79" i="3"/>
  <c r="T79" i="3"/>
  <c r="V79" i="3"/>
  <c r="W79" i="3"/>
  <c r="U79" i="3"/>
  <c r="K79" i="3"/>
  <c r="N79" i="3"/>
  <c r="M79" i="3"/>
  <c r="H79" i="3"/>
  <c r="R79" i="3" l="1"/>
  <c r="Q79" i="3"/>
  <c r="V80" i="3"/>
  <c r="S80" i="3"/>
  <c r="U80" i="3"/>
  <c r="T80" i="3"/>
  <c r="W80" i="3"/>
  <c r="N80" i="3"/>
  <c r="K80" i="3"/>
  <c r="M80" i="3"/>
  <c r="H80" i="3"/>
  <c r="R80" i="3" l="1"/>
  <c r="Q80" i="3"/>
  <c r="S81" i="3"/>
  <c r="U81" i="3"/>
  <c r="V81" i="3"/>
  <c r="W81" i="3"/>
  <c r="T81" i="3"/>
  <c r="K81" i="3"/>
  <c r="N81" i="3"/>
  <c r="M81" i="3"/>
  <c r="H81" i="3"/>
  <c r="R81" i="3" l="1"/>
  <c r="T82" i="3"/>
  <c r="W82" i="3"/>
  <c r="U82" i="3"/>
  <c r="Q81" i="3"/>
  <c r="S82" i="3"/>
  <c r="V82" i="3"/>
  <c r="N82" i="3"/>
  <c r="K82" i="3"/>
  <c r="H82" i="3"/>
  <c r="M82" i="3"/>
  <c r="R82" i="3" l="1"/>
  <c r="Q82" i="3"/>
  <c r="W83" i="3"/>
  <c r="T83" i="3"/>
  <c r="U83" i="3"/>
  <c r="V83" i="3"/>
  <c r="S83" i="3"/>
  <c r="K83" i="3"/>
  <c r="N83" i="3"/>
  <c r="H83" i="3"/>
  <c r="M83" i="3"/>
  <c r="V84" i="3" l="1"/>
  <c r="Q83" i="3"/>
  <c r="T84" i="3"/>
  <c r="U84" i="3"/>
  <c r="W84" i="3"/>
  <c r="R83" i="3"/>
  <c r="S84" i="3"/>
  <c r="N84" i="3"/>
  <c r="K84" i="3"/>
  <c r="M84" i="3"/>
  <c r="H84" i="3"/>
  <c r="R84" i="3" l="1"/>
  <c r="U85" i="3"/>
  <c r="S85" i="3"/>
  <c r="T85" i="3"/>
  <c r="V85" i="3"/>
  <c r="W85" i="3"/>
  <c r="Q84" i="3"/>
  <c r="K85" i="3"/>
  <c r="N85" i="3"/>
  <c r="H85" i="3"/>
  <c r="M85" i="3"/>
  <c r="R85" i="3" l="1"/>
  <c r="Q85" i="3"/>
  <c r="U86" i="3"/>
  <c r="W86" i="3"/>
  <c r="S86" i="3"/>
  <c r="T86" i="3"/>
  <c r="V86" i="3"/>
  <c r="K86" i="3"/>
  <c r="N86" i="3"/>
  <c r="H86" i="3"/>
  <c r="M86" i="3"/>
  <c r="R86" i="3" l="1"/>
  <c r="Q86" i="3"/>
  <c r="S87" i="3"/>
  <c r="T87" i="3"/>
  <c r="U87" i="3"/>
  <c r="W87" i="3"/>
  <c r="V87" i="3"/>
  <c r="N87" i="3"/>
  <c r="K87" i="3"/>
  <c r="M87" i="3"/>
  <c r="H87" i="3"/>
  <c r="R87" i="3" l="1"/>
  <c r="Q87" i="3"/>
  <c r="V88" i="3"/>
  <c r="T88" i="3"/>
  <c r="W88" i="3"/>
  <c r="S88" i="3"/>
  <c r="U88" i="3"/>
  <c r="N88" i="3"/>
  <c r="K88" i="3"/>
  <c r="M88" i="3"/>
  <c r="H88" i="3"/>
  <c r="R88" i="3" l="1"/>
  <c r="Q88" i="3"/>
  <c r="S89" i="3"/>
  <c r="T89" i="3"/>
  <c r="V89" i="3"/>
  <c r="U89" i="3"/>
  <c r="W89" i="3"/>
  <c r="N89" i="3"/>
  <c r="K89" i="3"/>
  <c r="H89" i="3"/>
  <c r="M89" i="3"/>
  <c r="R89" i="3" l="1"/>
  <c r="Q89" i="3"/>
  <c r="T90" i="3"/>
  <c r="S90" i="3"/>
  <c r="V90" i="3"/>
  <c r="W90" i="3"/>
  <c r="U90" i="3"/>
  <c r="N90" i="3"/>
  <c r="K90" i="3"/>
  <c r="M90" i="3"/>
  <c r="H90" i="3"/>
  <c r="R90" i="3" l="1"/>
  <c r="Q90" i="3"/>
  <c r="W91" i="3"/>
  <c r="S91" i="3"/>
  <c r="U91" i="3"/>
  <c r="T91" i="3"/>
  <c r="V91" i="3"/>
  <c r="K91" i="3"/>
  <c r="N91" i="3"/>
  <c r="M91" i="3"/>
  <c r="H91" i="3"/>
  <c r="R91" i="3" l="1"/>
  <c r="Q91" i="3"/>
  <c r="T92" i="3"/>
  <c r="U92" i="3"/>
  <c r="V92" i="3"/>
  <c r="W92" i="3"/>
  <c r="S92" i="3"/>
  <c r="K92" i="3"/>
  <c r="N92" i="3"/>
  <c r="H92" i="3"/>
  <c r="M92" i="3"/>
  <c r="R92" i="3" l="1"/>
  <c r="Q92" i="3"/>
  <c r="U93" i="3"/>
  <c r="W93" i="3"/>
  <c r="S93" i="3"/>
  <c r="V93" i="3"/>
  <c r="T93" i="3"/>
  <c r="K93" i="3"/>
  <c r="N93" i="3"/>
  <c r="M93" i="3"/>
  <c r="H93" i="3"/>
  <c r="R93" i="3" l="1"/>
  <c r="Q93" i="3"/>
  <c r="S94" i="3"/>
  <c r="T94" i="3"/>
  <c r="V94" i="3"/>
  <c r="U94" i="3"/>
  <c r="W94" i="3"/>
  <c r="K94" i="3"/>
  <c r="N94" i="3"/>
  <c r="M94" i="3"/>
  <c r="H94" i="3"/>
  <c r="R94" i="3" l="1"/>
  <c r="Q94" i="3"/>
  <c r="S95" i="3"/>
  <c r="U95" i="3"/>
  <c r="V95" i="3"/>
  <c r="W95" i="3"/>
  <c r="T95" i="3"/>
  <c r="K95" i="3"/>
  <c r="N95" i="3"/>
  <c r="M95" i="3"/>
  <c r="H95" i="3"/>
  <c r="R95" i="3" l="1"/>
  <c r="Q95" i="3"/>
  <c r="V96" i="3"/>
  <c r="T96" i="3"/>
  <c r="S96" i="3"/>
  <c r="U96" i="3"/>
  <c r="W96" i="3"/>
  <c r="N96" i="3"/>
  <c r="K96" i="3"/>
  <c r="H96" i="3"/>
  <c r="M96" i="3"/>
  <c r="R96" i="3" l="1"/>
  <c r="Q96" i="3"/>
  <c r="S97" i="3"/>
  <c r="T97" i="3"/>
  <c r="U97" i="3"/>
  <c r="W97" i="3"/>
  <c r="V97" i="3"/>
  <c r="N97" i="3"/>
  <c r="K97" i="3"/>
  <c r="H97" i="3"/>
  <c r="M97" i="3"/>
  <c r="R97" i="3" l="1"/>
  <c r="Q97" i="3"/>
  <c r="T98" i="3"/>
  <c r="V98" i="3"/>
  <c r="W98" i="3"/>
  <c r="S98" i="3"/>
  <c r="U98" i="3"/>
  <c r="N98" i="3"/>
  <c r="K98" i="3"/>
  <c r="M98" i="3"/>
  <c r="H98" i="3"/>
  <c r="R98" i="3" l="1"/>
  <c r="Q98" i="3"/>
  <c r="W99" i="3"/>
  <c r="S99" i="3"/>
  <c r="U99" i="3"/>
  <c r="T99" i="3"/>
  <c r="K99" i="3"/>
  <c r="V99" i="3"/>
  <c r="N99" i="3"/>
  <c r="H99" i="3"/>
  <c r="M99" i="3"/>
  <c r="R99" i="3" l="1"/>
  <c r="T100" i="3"/>
  <c r="U100" i="3"/>
  <c r="V100" i="3"/>
  <c r="S100" i="3"/>
  <c r="W100" i="3"/>
  <c r="Q99" i="3"/>
  <c r="N100" i="3"/>
  <c r="K100" i="3"/>
  <c r="M100" i="3"/>
  <c r="H100" i="3"/>
  <c r="R100" i="3" l="1"/>
  <c r="U101" i="3"/>
  <c r="Q100" i="3"/>
  <c r="W101" i="3"/>
  <c r="S101" i="3"/>
  <c r="T101" i="3"/>
  <c r="V101" i="3"/>
  <c r="K101" i="3"/>
  <c r="N101" i="3"/>
  <c r="H101" i="3"/>
  <c r="M101" i="3"/>
  <c r="R101" i="3" l="1"/>
  <c r="Q101" i="3"/>
  <c r="S102" i="3"/>
  <c r="T102" i="3"/>
  <c r="V102" i="3"/>
  <c r="U102" i="3"/>
  <c r="W102" i="3"/>
  <c r="K102" i="3"/>
  <c r="N102" i="3"/>
  <c r="M102" i="3"/>
  <c r="H102" i="3"/>
  <c r="R102" i="3" l="1"/>
  <c r="Q102" i="3"/>
  <c r="S103" i="3"/>
  <c r="U103" i="3"/>
  <c r="V103" i="3"/>
  <c r="W103" i="3"/>
  <c r="T103" i="3"/>
  <c r="N103" i="3"/>
  <c r="K103" i="3"/>
  <c r="H103" i="3"/>
  <c r="M103" i="3"/>
  <c r="R103" i="3" l="1"/>
  <c r="Q103" i="3"/>
  <c r="V104" i="3"/>
  <c r="T104" i="3"/>
  <c r="S104" i="3"/>
  <c r="U104" i="3"/>
  <c r="W104" i="3"/>
  <c r="N104" i="3"/>
  <c r="K104" i="3"/>
  <c r="H104" i="3"/>
  <c r="M104" i="3"/>
  <c r="R104" i="3" l="1"/>
  <c r="Q104" i="3"/>
  <c r="S105" i="3"/>
  <c r="T105" i="3"/>
  <c r="U105" i="3"/>
  <c r="W105" i="3"/>
  <c r="V105" i="3"/>
  <c r="N105" i="3"/>
  <c r="K105" i="3"/>
  <c r="M105" i="3"/>
  <c r="H105" i="3"/>
  <c r="R105" i="3" l="1"/>
  <c r="T106" i="3"/>
  <c r="V106" i="3"/>
  <c r="Q105" i="3"/>
  <c r="W106" i="3"/>
  <c r="U106" i="3"/>
  <c r="S106" i="3"/>
  <c r="N106" i="3"/>
  <c r="K106" i="3"/>
  <c r="H106" i="3"/>
  <c r="M106" i="3"/>
  <c r="R106" i="3" l="1"/>
  <c r="Q106" i="3"/>
  <c r="W107" i="3"/>
  <c r="S107" i="3"/>
  <c r="T107" i="3"/>
  <c r="U107" i="3"/>
  <c r="V107" i="3"/>
  <c r="K107" i="3"/>
  <c r="N107" i="3"/>
  <c r="M107" i="3"/>
  <c r="H107" i="3"/>
  <c r="R107" i="3" l="1"/>
  <c r="T108" i="3"/>
  <c r="U108" i="3"/>
  <c r="Q107" i="3"/>
  <c r="V108" i="3"/>
  <c r="S108" i="3"/>
  <c r="W108" i="3"/>
  <c r="K108" i="3"/>
  <c r="N108" i="3"/>
  <c r="M108" i="3"/>
  <c r="H108" i="3"/>
  <c r="R108" i="3" l="1"/>
  <c r="Q108" i="3"/>
  <c r="U109" i="3"/>
  <c r="W109" i="3"/>
  <c r="V109" i="3"/>
  <c r="S109" i="3"/>
  <c r="T109" i="3"/>
  <c r="K109" i="3"/>
  <c r="N109" i="3"/>
  <c r="M109" i="3"/>
  <c r="H109" i="3"/>
  <c r="R109" i="3" l="1"/>
  <c r="Q109" i="3"/>
  <c r="S110" i="3"/>
  <c r="T110" i="3"/>
  <c r="U110" i="3"/>
  <c r="V110" i="3"/>
  <c r="W110" i="3"/>
  <c r="K110" i="3"/>
  <c r="N110" i="3"/>
  <c r="M110" i="3"/>
  <c r="H110" i="3"/>
  <c r="R110" i="3" l="1"/>
  <c r="Q110" i="3"/>
  <c r="S111" i="3"/>
  <c r="U111" i="3"/>
  <c r="V111" i="3"/>
  <c r="W111" i="3"/>
  <c r="T111" i="3"/>
  <c r="N111" i="3"/>
  <c r="K111" i="3"/>
  <c r="H111" i="3"/>
  <c r="M111" i="3"/>
  <c r="R111" i="3" l="1"/>
  <c r="Q111" i="3"/>
  <c r="V112" i="3"/>
  <c r="U112" i="3"/>
  <c r="W112" i="3"/>
  <c r="S112" i="3"/>
  <c r="T112" i="3"/>
  <c r="N112" i="3"/>
  <c r="K112" i="3"/>
  <c r="H112" i="3"/>
  <c r="M112" i="3"/>
  <c r="R112" i="3" l="1"/>
  <c r="Q112" i="3"/>
  <c r="S113" i="3"/>
  <c r="T113" i="3"/>
  <c r="U113" i="3"/>
  <c r="V113" i="3"/>
  <c r="W113" i="3"/>
  <c r="N113" i="3"/>
  <c r="K113" i="3"/>
  <c r="M113" i="3"/>
  <c r="H113" i="3"/>
  <c r="R113" i="3" l="1"/>
  <c r="T114" i="3"/>
  <c r="W114" i="3"/>
  <c r="Q113" i="3"/>
  <c r="S114" i="3"/>
  <c r="U114" i="3"/>
  <c r="V114" i="3"/>
  <c r="N114" i="3"/>
  <c r="K114" i="3"/>
  <c r="M114" i="3"/>
  <c r="H114" i="3"/>
  <c r="R114" i="3" l="1"/>
  <c r="Q114" i="3"/>
  <c r="W115" i="3"/>
  <c r="S115" i="3"/>
  <c r="T115" i="3"/>
  <c r="U115" i="3"/>
  <c r="V115" i="3"/>
  <c r="K115" i="3"/>
  <c r="N115" i="3"/>
  <c r="M115" i="3"/>
  <c r="H115" i="3"/>
  <c r="R115" i="3" l="1"/>
  <c r="Q115" i="3"/>
  <c r="V116" i="3"/>
  <c r="W116" i="3"/>
  <c r="S116" i="3"/>
  <c r="T116" i="3"/>
  <c r="U116" i="3"/>
  <c r="K116" i="3"/>
  <c r="N116" i="3"/>
  <c r="M116" i="3"/>
  <c r="H116" i="3"/>
  <c r="R116" i="3" l="1"/>
  <c r="Q116" i="3"/>
  <c r="U117" i="3"/>
  <c r="S117" i="3"/>
  <c r="T117" i="3"/>
  <c r="V117" i="3"/>
  <c r="W117" i="3"/>
  <c r="K117" i="3"/>
  <c r="N117" i="3"/>
  <c r="M117" i="3"/>
  <c r="H117" i="3"/>
  <c r="R117" i="3" l="1"/>
  <c r="Q117" i="3"/>
  <c r="U118" i="3"/>
  <c r="V118" i="3"/>
  <c r="W118" i="3"/>
  <c r="S118" i="3"/>
  <c r="T118" i="3"/>
  <c r="K118" i="3"/>
  <c r="N118" i="3"/>
  <c r="M118" i="3"/>
  <c r="H118" i="3"/>
  <c r="R118" i="3" l="1"/>
  <c r="Q118" i="3"/>
  <c r="S119" i="3"/>
  <c r="T119" i="3"/>
  <c r="U119" i="3"/>
  <c r="V119" i="3"/>
  <c r="W119" i="3"/>
  <c r="K119" i="3"/>
  <c r="N119" i="3"/>
  <c r="H119" i="3"/>
  <c r="M119" i="3"/>
  <c r="R119" i="3" l="1"/>
  <c r="Q119" i="3"/>
  <c r="V120" i="3"/>
  <c r="T120" i="3"/>
  <c r="U120" i="3"/>
  <c r="W120" i="3"/>
  <c r="S120" i="3"/>
  <c r="N120" i="3"/>
  <c r="K120" i="3"/>
  <c r="H120" i="3"/>
  <c r="M120" i="3"/>
  <c r="R120" i="3" l="1"/>
  <c r="Q120" i="3"/>
  <c r="T121" i="3"/>
  <c r="U121" i="3"/>
  <c r="V121" i="3"/>
  <c r="W121" i="3"/>
  <c r="S121" i="3"/>
  <c r="K121" i="3"/>
  <c r="N121" i="3"/>
  <c r="M121" i="3"/>
  <c r="H121" i="3"/>
  <c r="R121" i="3" l="1"/>
  <c r="T122" i="3"/>
  <c r="Q121" i="3"/>
  <c r="S122" i="3"/>
  <c r="U122" i="3"/>
  <c r="V122" i="3"/>
  <c r="W122" i="3"/>
  <c r="N122" i="3"/>
  <c r="K122" i="3"/>
  <c r="M122" i="3"/>
  <c r="H122" i="3"/>
  <c r="R122" i="3" l="1"/>
  <c r="Q122" i="3"/>
  <c r="W123" i="3"/>
  <c r="V123" i="3"/>
  <c r="S123" i="3"/>
  <c r="T123" i="3"/>
  <c r="K123" i="3"/>
  <c r="U123" i="3"/>
  <c r="N123" i="3"/>
  <c r="M123" i="3"/>
  <c r="H123" i="3"/>
  <c r="R123" i="3" l="1"/>
  <c r="Q123" i="3"/>
  <c r="S124" i="3"/>
  <c r="T124" i="3"/>
  <c r="U124" i="3"/>
  <c r="V124" i="3"/>
  <c r="W124" i="3"/>
  <c r="N124" i="3"/>
  <c r="K124" i="3"/>
  <c r="H124" i="3"/>
  <c r="M124" i="3"/>
  <c r="R124" i="3" l="1"/>
  <c r="Q124" i="3"/>
  <c r="U125" i="3"/>
  <c r="W125" i="3"/>
  <c r="S125" i="3"/>
  <c r="T125" i="3"/>
  <c r="V125" i="3"/>
  <c r="K125" i="3"/>
  <c r="N125" i="3"/>
  <c r="H125" i="3"/>
  <c r="M125" i="3"/>
  <c r="R125" i="3" l="1"/>
  <c r="Q125" i="3"/>
  <c r="S126" i="3"/>
  <c r="T126" i="3"/>
  <c r="W126" i="3"/>
  <c r="U126" i="3"/>
  <c r="V126" i="3"/>
  <c r="K126" i="3"/>
  <c r="N126" i="3"/>
  <c r="M126" i="3"/>
  <c r="H126" i="3"/>
  <c r="R126" i="3" l="1"/>
  <c r="Q126" i="3"/>
  <c r="S127" i="3"/>
  <c r="V127" i="3"/>
  <c r="W127" i="3"/>
  <c r="T127" i="3"/>
  <c r="U127" i="3"/>
  <c r="N127" i="3"/>
  <c r="K127" i="3"/>
  <c r="H127" i="3"/>
  <c r="M127" i="3"/>
  <c r="R127" i="3" l="1"/>
  <c r="Q127" i="3"/>
  <c r="V128" i="3"/>
  <c r="S128" i="3"/>
  <c r="T128" i="3"/>
  <c r="U128" i="3"/>
  <c r="W128" i="3"/>
  <c r="N128" i="3"/>
  <c r="K128" i="3"/>
  <c r="H128" i="3"/>
  <c r="M128" i="3"/>
  <c r="R128" i="3" l="1"/>
  <c r="Q128" i="3"/>
  <c r="U129" i="3"/>
  <c r="V129" i="3"/>
  <c r="W129" i="3"/>
  <c r="S129" i="3"/>
  <c r="T129" i="3"/>
  <c r="K129" i="3"/>
  <c r="N129" i="3"/>
  <c r="M129" i="3"/>
  <c r="H129" i="3"/>
  <c r="R129" i="3" l="1"/>
  <c r="T130" i="3"/>
  <c r="Q129" i="3"/>
  <c r="S130" i="3"/>
  <c r="U130" i="3"/>
  <c r="V130" i="3"/>
  <c r="W130" i="3"/>
  <c r="N130" i="3"/>
  <c r="K130" i="3"/>
  <c r="H130" i="3"/>
  <c r="M130" i="3"/>
  <c r="R130" i="3" l="1"/>
  <c r="Q130" i="3"/>
  <c r="W131" i="3"/>
  <c r="T131" i="3"/>
  <c r="U131" i="3"/>
  <c r="V131" i="3"/>
  <c r="S131" i="3"/>
  <c r="K131" i="3"/>
  <c r="N131" i="3"/>
  <c r="M131" i="3"/>
  <c r="H131" i="3"/>
  <c r="Q131" i="3" l="1"/>
  <c r="R131" i="3"/>
  <c r="V132" i="3"/>
  <c r="W132" i="3"/>
  <c r="S132" i="3"/>
  <c r="T132" i="3"/>
  <c r="U132" i="3"/>
  <c r="K132" i="3"/>
  <c r="N132" i="3"/>
  <c r="M132" i="3"/>
  <c r="H132" i="3"/>
  <c r="R132" i="3" l="1"/>
  <c r="Q132" i="3"/>
  <c r="S133" i="3"/>
  <c r="T133" i="3"/>
  <c r="U133" i="3"/>
  <c r="V133" i="3"/>
  <c r="W133" i="3"/>
  <c r="K133" i="3"/>
  <c r="N133" i="3"/>
  <c r="H133" i="3"/>
  <c r="M133" i="3"/>
  <c r="R133" i="3" l="1"/>
  <c r="Q133" i="3"/>
  <c r="V134" i="3"/>
  <c r="W134" i="3"/>
  <c r="S134" i="3"/>
  <c r="T134" i="3"/>
  <c r="U134" i="3"/>
  <c r="K134" i="3"/>
  <c r="N134" i="3"/>
  <c r="M134" i="3"/>
  <c r="H134" i="3"/>
  <c r="R134" i="3" l="1"/>
  <c r="Q134" i="3"/>
  <c r="S135" i="3"/>
  <c r="U135" i="3"/>
  <c r="V135" i="3"/>
  <c r="W135" i="3"/>
  <c r="T135" i="3"/>
  <c r="K135" i="3"/>
  <c r="N135" i="3"/>
  <c r="H135" i="3"/>
  <c r="M135" i="3"/>
  <c r="R135" i="3" l="1"/>
  <c r="Q135" i="3"/>
  <c r="T136" i="3"/>
  <c r="U136" i="3"/>
  <c r="V136" i="3"/>
  <c r="S136" i="3"/>
  <c r="W136" i="3"/>
  <c r="N136" i="3"/>
  <c r="K136" i="3"/>
  <c r="M136" i="3"/>
  <c r="H136" i="3"/>
  <c r="R136" i="3" l="1"/>
  <c r="Q136" i="3"/>
  <c r="W137" i="3"/>
  <c r="V137" i="3"/>
  <c r="S137" i="3"/>
  <c r="T137" i="3"/>
  <c r="U137" i="3"/>
  <c r="N137" i="3"/>
  <c r="K137" i="3"/>
  <c r="M137" i="3"/>
  <c r="H137" i="3"/>
  <c r="R137" i="3" l="1"/>
  <c r="Q137" i="3"/>
  <c r="S138" i="3"/>
  <c r="T138" i="3"/>
  <c r="U138" i="3"/>
  <c r="V138" i="3"/>
  <c r="W138" i="3"/>
  <c r="N138" i="3"/>
  <c r="K138" i="3"/>
  <c r="M138" i="3"/>
  <c r="H138" i="3"/>
  <c r="R138" i="3" l="1"/>
  <c r="Q138" i="3"/>
  <c r="U139" i="3"/>
  <c r="V139" i="3"/>
  <c r="W139" i="3"/>
  <c r="S139" i="3"/>
  <c r="T139" i="3"/>
  <c r="K139" i="3"/>
  <c r="N139" i="3"/>
  <c r="M139" i="3"/>
  <c r="H139" i="3"/>
  <c r="R139" i="3" l="1"/>
  <c r="Q139" i="3"/>
  <c r="U140" i="3"/>
  <c r="V140" i="3"/>
  <c r="W140" i="3"/>
  <c r="S140" i="3"/>
  <c r="T140" i="3"/>
  <c r="K140" i="3"/>
  <c r="N140" i="3"/>
  <c r="M140" i="3"/>
  <c r="H140" i="3"/>
  <c r="R140" i="3" l="1"/>
  <c r="Q140" i="3"/>
  <c r="S141" i="3"/>
  <c r="T141" i="3"/>
  <c r="U141" i="3"/>
  <c r="V141" i="3"/>
  <c r="W141" i="3"/>
  <c r="K141" i="3"/>
  <c r="N141" i="3"/>
  <c r="H141" i="3"/>
  <c r="M141" i="3"/>
  <c r="R141" i="3" l="1"/>
  <c r="Q141" i="3"/>
  <c r="V142" i="3"/>
  <c r="W142" i="3"/>
  <c r="S142" i="3"/>
  <c r="T142" i="3"/>
  <c r="U142" i="3"/>
  <c r="K142" i="3"/>
  <c r="N142" i="3"/>
  <c r="M142" i="3"/>
  <c r="H142" i="3"/>
  <c r="R142" i="3" l="1"/>
  <c r="Q142" i="3"/>
  <c r="S143" i="3"/>
  <c r="T143" i="3"/>
  <c r="U143" i="3"/>
  <c r="V143" i="3"/>
  <c r="W143" i="3"/>
  <c r="K143" i="3"/>
  <c r="N143" i="3"/>
  <c r="H143" i="3"/>
  <c r="M143" i="3"/>
  <c r="R143" i="3" l="1"/>
  <c r="Q143" i="3"/>
  <c r="T144" i="3"/>
  <c r="U144" i="3"/>
  <c r="V144" i="3"/>
  <c r="S144" i="3"/>
  <c r="W144" i="3"/>
  <c r="N144" i="3"/>
  <c r="K144" i="3"/>
  <c r="H144" i="3"/>
  <c r="M144" i="3"/>
  <c r="R144" i="3" l="1"/>
  <c r="Q144" i="3"/>
  <c r="W145" i="3"/>
  <c r="U145" i="3"/>
  <c r="S145" i="3"/>
  <c r="T145" i="3"/>
  <c r="V145" i="3"/>
  <c r="K145" i="3"/>
  <c r="N145" i="3"/>
  <c r="M145" i="3"/>
  <c r="H145" i="3"/>
  <c r="R145" i="3" l="1"/>
  <c r="Q145" i="3"/>
  <c r="S146" i="3"/>
  <c r="T146" i="3"/>
  <c r="U146" i="3"/>
  <c r="W146" i="3"/>
  <c r="N146" i="3"/>
  <c r="V146" i="3"/>
  <c r="K146" i="3"/>
  <c r="H146" i="3"/>
  <c r="M146" i="3"/>
  <c r="R146" i="3" l="1"/>
  <c r="Q146" i="3"/>
  <c r="U147" i="3"/>
  <c r="V147" i="3"/>
  <c r="W147" i="3"/>
  <c r="S147" i="3"/>
  <c r="T147" i="3"/>
  <c r="K147" i="3"/>
  <c r="N147" i="3"/>
  <c r="M147" i="3"/>
  <c r="H147" i="3"/>
  <c r="R147" i="3" l="1"/>
  <c r="Q147" i="3"/>
  <c r="T148" i="3"/>
  <c r="V148" i="3"/>
  <c r="S148" i="3"/>
  <c r="U148" i="3"/>
  <c r="W148" i="3"/>
  <c r="K148" i="3"/>
  <c r="N148" i="3"/>
  <c r="M148" i="3"/>
  <c r="H148" i="3"/>
  <c r="R148" i="3" l="1"/>
  <c r="Q148" i="3"/>
  <c r="S149" i="3"/>
  <c r="T149" i="3"/>
  <c r="U149" i="3"/>
  <c r="V149" i="3"/>
  <c r="W149" i="3"/>
  <c r="K149" i="3"/>
  <c r="N149" i="3"/>
  <c r="H149" i="3"/>
  <c r="M149" i="3"/>
  <c r="R149" i="3" l="1"/>
  <c r="Q149" i="3"/>
  <c r="V150" i="3"/>
  <c r="W150" i="3"/>
  <c r="U150" i="3"/>
  <c r="S150" i="3"/>
  <c r="T150" i="3"/>
  <c r="K150" i="3"/>
  <c r="N150" i="3"/>
  <c r="M150" i="3"/>
  <c r="H150" i="3"/>
  <c r="R150" i="3" l="1"/>
  <c r="Q150" i="3"/>
  <c r="S151" i="3"/>
  <c r="U151" i="3"/>
  <c r="W151" i="3"/>
  <c r="T151" i="3"/>
  <c r="V151" i="3"/>
  <c r="N151" i="3"/>
  <c r="K151" i="3"/>
  <c r="M151" i="3"/>
  <c r="H151" i="3"/>
  <c r="R151" i="3" l="1"/>
  <c r="Q151" i="3"/>
  <c r="T152" i="3"/>
  <c r="U152" i="3"/>
  <c r="V152" i="3"/>
  <c r="S152" i="3"/>
  <c r="W152" i="3"/>
  <c r="N152" i="3"/>
  <c r="K152" i="3"/>
  <c r="H152" i="3"/>
  <c r="M152" i="3"/>
  <c r="R152" i="3" l="1"/>
  <c r="Q152" i="3"/>
  <c r="W153" i="3"/>
  <c r="T153" i="3"/>
  <c r="V153" i="3"/>
  <c r="S153" i="3"/>
  <c r="N153" i="3"/>
  <c r="U153" i="3"/>
  <c r="K153" i="3"/>
  <c r="M153" i="3"/>
  <c r="H153" i="3"/>
  <c r="R153" i="3" l="1"/>
  <c r="Q153" i="3"/>
  <c r="S154" i="3"/>
  <c r="T154" i="3"/>
  <c r="V154" i="3"/>
  <c r="W154" i="3"/>
  <c r="U154" i="3"/>
  <c r="N154" i="3"/>
  <c r="K154" i="3"/>
  <c r="H154" i="3"/>
  <c r="M154" i="3"/>
  <c r="R154" i="3" l="1"/>
  <c r="Q154" i="3"/>
  <c r="U155" i="3"/>
  <c r="V155" i="3"/>
  <c r="W155" i="3"/>
  <c r="S155" i="3"/>
  <c r="T155" i="3"/>
  <c r="K155" i="3"/>
  <c r="N155" i="3"/>
  <c r="H155" i="3"/>
  <c r="M155" i="3"/>
  <c r="R155" i="3" l="1"/>
  <c r="S156" i="3"/>
  <c r="U156" i="3"/>
  <c r="W156" i="3"/>
  <c r="Q155" i="3"/>
  <c r="T156" i="3"/>
  <c r="V156" i="3"/>
  <c r="N156" i="3"/>
  <c r="K156" i="3"/>
  <c r="M156" i="3"/>
  <c r="H156" i="3"/>
  <c r="R156" i="3" l="1"/>
  <c r="Q156" i="3"/>
  <c r="S157" i="3"/>
  <c r="T157" i="3"/>
  <c r="U157" i="3"/>
  <c r="V157" i="3"/>
  <c r="W157" i="3"/>
  <c r="K157" i="3"/>
  <c r="N157" i="3"/>
  <c r="H157" i="3"/>
  <c r="M157" i="3"/>
  <c r="R157" i="3" l="1"/>
  <c r="Q157" i="3"/>
  <c r="V158" i="3"/>
  <c r="W158" i="3"/>
  <c r="T158" i="3"/>
  <c r="S158" i="3"/>
  <c r="U158" i="3"/>
  <c r="K158" i="3"/>
  <c r="N158" i="3"/>
  <c r="H158" i="3"/>
  <c r="M158" i="3"/>
  <c r="R158" i="3" l="1"/>
  <c r="Q158" i="3"/>
  <c r="S159" i="3"/>
  <c r="T159" i="3"/>
  <c r="V159" i="3"/>
  <c r="W159" i="3"/>
  <c r="U159" i="3"/>
  <c r="K159" i="3"/>
  <c r="N159" i="3"/>
  <c r="H159" i="3"/>
  <c r="M159" i="3"/>
  <c r="R159" i="3" l="1"/>
  <c r="Q159" i="3"/>
  <c r="T160" i="3"/>
  <c r="U160" i="3"/>
  <c r="V160" i="3"/>
  <c r="S160" i="3"/>
  <c r="N160" i="3"/>
  <c r="K160" i="3"/>
  <c r="W160" i="3"/>
  <c r="H160" i="3"/>
  <c r="M160" i="3"/>
  <c r="R160" i="3" l="1"/>
  <c r="Q160" i="3"/>
  <c r="W161" i="3"/>
  <c r="S161" i="3"/>
  <c r="U161" i="3"/>
  <c r="T161" i="3"/>
  <c r="V161" i="3"/>
  <c r="N161" i="3"/>
  <c r="K161" i="3"/>
  <c r="M161" i="3"/>
  <c r="H161" i="3"/>
  <c r="R161" i="3" l="1"/>
  <c r="Q161" i="3"/>
  <c r="S162" i="3"/>
  <c r="T162" i="3"/>
  <c r="U162" i="3"/>
  <c r="V162" i="3"/>
  <c r="W162" i="3"/>
  <c r="N162" i="3"/>
  <c r="K162" i="3"/>
  <c r="M162" i="3"/>
  <c r="H162" i="3"/>
  <c r="R162" i="3" l="1"/>
  <c r="Q162" i="3"/>
  <c r="U163" i="3"/>
  <c r="V163" i="3"/>
  <c r="W163" i="3"/>
  <c r="T163" i="3"/>
  <c r="S163" i="3"/>
  <c r="K163" i="3"/>
  <c r="N163" i="3"/>
  <c r="M163" i="3"/>
  <c r="H163" i="3"/>
  <c r="R163" i="3" l="1"/>
  <c r="Q163" i="3"/>
  <c r="T164" i="3"/>
  <c r="V164" i="3"/>
  <c r="W164" i="3"/>
  <c r="S164" i="3"/>
  <c r="U164" i="3"/>
  <c r="N164" i="3"/>
  <c r="K164" i="3"/>
  <c r="H164" i="3"/>
  <c r="M164" i="3"/>
  <c r="R164" i="3" l="1"/>
  <c r="S165" i="3"/>
  <c r="T165" i="3"/>
  <c r="U165" i="3"/>
  <c r="V165" i="3"/>
  <c r="Q164" i="3"/>
  <c r="W165" i="3"/>
  <c r="K165" i="3"/>
  <c r="N165" i="3"/>
  <c r="M165" i="3"/>
  <c r="H165" i="3"/>
  <c r="R165" i="3" l="1"/>
  <c r="Q165" i="3"/>
  <c r="V166" i="3"/>
  <c r="W166" i="3"/>
  <c r="S166" i="3"/>
  <c r="U166" i="3"/>
  <c r="T166" i="3"/>
  <c r="K166" i="3"/>
  <c r="N166" i="3"/>
  <c r="M166" i="3"/>
  <c r="H166" i="3"/>
  <c r="R166" i="3" l="1"/>
  <c r="Q166" i="3"/>
  <c r="S167" i="3"/>
  <c r="U167" i="3"/>
  <c r="V167" i="3"/>
  <c r="W167" i="3"/>
  <c r="N167" i="3"/>
  <c r="K167" i="3"/>
  <c r="T167" i="3"/>
  <c r="H167" i="3"/>
  <c r="M167" i="3"/>
  <c r="R167" i="3" l="1"/>
  <c r="Q167" i="3"/>
  <c r="T168" i="3"/>
  <c r="U168" i="3"/>
  <c r="V168" i="3"/>
  <c r="W168" i="3"/>
  <c r="S168" i="3"/>
  <c r="N168" i="3"/>
  <c r="K168" i="3"/>
  <c r="H168" i="3"/>
  <c r="M168" i="3"/>
  <c r="R168" i="3" l="1"/>
  <c r="Q168" i="3"/>
  <c r="W169" i="3"/>
  <c r="T169" i="3"/>
  <c r="V169" i="3"/>
  <c r="S169" i="3"/>
  <c r="U169" i="3"/>
  <c r="K169" i="3"/>
  <c r="N169" i="3"/>
  <c r="H169" i="3"/>
  <c r="M169" i="3"/>
  <c r="R169" i="3" l="1"/>
  <c r="Q169" i="3"/>
  <c r="S170" i="3"/>
  <c r="T170" i="3"/>
  <c r="U170" i="3"/>
  <c r="V170" i="3"/>
  <c r="W170" i="3"/>
  <c r="N170" i="3"/>
  <c r="K170" i="3"/>
  <c r="M170" i="3"/>
  <c r="H170" i="3"/>
  <c r="R170" i="3" l="1"/>
  <c r="Q170" i="3"/>
  <c r="U171" i="3"/>
  <c r="V171" i="3"/>
  <c r="W171" i="3"/>
  <c r="S171" i="3"/>
  <c r="K171" i="3"/>
  <c r="T171" i="3"/>
  <c r="N171" i="3"/>
  <c r="H171" i="3"/>
  <c r="M171" i="3"/>
  <c r="Q171" i="3" l="1"/>
  <c r="R171" i="3"/>
  <c r="S172" i="3"/>
  <c r="U172" i="3"/>
  <c r="V172" i="3"/>
  <c r="W172" i="3"/>
  <c r="T172" i="3"/>
  <c r="K172" i="3"/>
  <c r="N172" i="3"/>
  <c r="M172" i="3"/>
  <c r="H172" i="3"/>
  <c r="R172" i="3" l="1"/>
  <c r="Q172" i="3"/>
  <c r="S173" i="3"/>
  <c r="T173" i="3"/>
  <c r="U173" i="3"/>
  <c r="W173" i="3"/>
  <c r="K173" i="3"/>
  <c r="V173" i="3"/>
  <c r="N173" i="3"/>
  <c r="H173" i="3"/>
  <c r="M173" i="3"/>
  <c r="R173" i="3" l="1"/>
  <c r="Q173" i="3"/>
  <c r="V174" i="3"/>
  <c r="W174" i="3"/>
  <c r="T174" i="3"/>
  <c r="U174" i="3"/>
  <c r="K174" i="3"/>
  <c r="N174" i="3"/>
  <c r="S174" i="3"/>
  <c r="M174" i="3"/>
  <c r="H174" i="3"/>
  <c r="R174" i="3" l="1"/>
  <c r="Q174" i="3"/>
  <c r="S175" i="3"/>
  <c r="T175" i="3"/>
  <c r="U175" i="3"/>
  <c r="V175" i="3"/>
  <c r="W175" i="3"/>
  <c r="N175" i="3"/>
  <c r="K175" i="3"/>
  <c r="H175" i="3"/>
  <c r="M175" i="3"/>
  <c r="R175" i="3" l="1"/>
  <c r="Q175" i="3"/>
  <c r="T176" i="3"/>
  <c r="U176" i="3"/>
  <c r="V176" i="3"/>
  <c r="S176" i="3"/>
  <c r="W176" i="3"/>
  <c r="N176" i="3"/>
  <c r="K176" i="3"/>
  <c r="H176" i="3"/>
  <c r="M176" i="3"/>
  <c r="R176" i="3" l="1"/>
  <c r="Q176" i="3"/>
  <c r="W177" i="3"/>
  <c r="S177" i="3"/>
  <c r="U177" i="3"/>
  <c r="V177" i="3"/>
  <c r="T177" i="3"/>
  <c r="N177" i="3"/>
  <c r="K177" i="3"/>
  <c r="M177" i="3"/>
  <c r="H177" i="3"/>
  <c r="R177" i="3" l="1"/>
  <c r="Q177" i="3"/>
  <c r="S178" i="3"/>
  <c r="T178" i="3"/>
  <c r="W178" i="3"/>
  <c r="U178" i="3"/>
  <c r="V178" i="3"/>
  <c r="N178" i="3"/>
  <c r="K178" i="3"/>
  <c r="H178" i="3"/>
  <c r="M178" i="3"/>
  <c r="R178" i="3" l="1"/>
  <c r="Q178" i="3"/>
  <c r="U179" i="3"/>
  <c r="V179" i="3"/>
  <c r="W179" i="3"/>
  <c r="T179" i="3"/>
  <c r="K179" i="3"/>
  <c r="S179" i="3"/>
  <c r="N179" i="3"/>
  <c r="H179" i="3"/>
  <c r="M179" i="3"/>
  <c r="R179" i="3" l="1"/>
  <c r="Q179" i="3"/>
  <c r="T180" i="3"/>
  <c r="U180" i="3"/>
  <c r="V180" i="3"/>
  <c r="S180" i="3"/>
  <c r="W180" i="3"/>
  <c r="K180" i="3"/>
  <c r="N180" i="3"/>
  <c r="M180" i="3"/>
  <c r="H180" i="3"/>
  <c r="R180" i="3" l="1"/>
  <c r="Q180" i="3"/>
  <c r="S181" i="3"/>
  <c r="T181" i="3"/>
  <c r="U181" i="3"/>
  <c r="V181" i="3"/>
  <c r="W181" i="3"/>
  <c r="K181" i="3"/>
  <c r="N181" i="3"/>
  <c r="H181" i="3"/>
  <c r="M181" i="3"/>
  <c r="R181" i="3" l="1"/>
  <c r="Q181" i="3"/>
  <c r="V182" i="3"/>
  <c r="W182" i="3"/>
  <c r="S182" i="3"/>
  <c r="U182" i="3"/>
  <c r="T182" i="3"/>
  <c r="K182" i="3"/>
  <c r="N182" i="3"/>
  <c r="M182" i="3"/>
  <c r="H182" i="3"/>
  <c r="R182" i="3" l="1"/>
  <c r="Q182" i="3"/>
  <c r="S183" i="3"/>
  <c r="W183" i="3"/>
  <c r="T183" i="3"/>
  <c r="U183" i="3"/>
  <c r="V183" i="3"/>
  <c r="K183" i="3"/>
  <c r="N183" i="3"/>
  <c r="M183" i="3"/>
  <c r="H183" i="3"/>
  <c r="R183" i="3" l="1"/>
  <c r="Q183" i="3"/>
  <c r="T184" i="3"/>
  <c r="U184" i="3"/>
  <c r="V184" i="3"/>
  <c r="W184" i="3"/>
  <c r="S184" i="3"/>
  <c r="N184" i="3"/>
  <c r="K184" i="3"/>
  <c r="H184" i="3"/>
  <c r="M184" i="3"/>
  <c r="R184" i="3" l="1"/>
  <c r="Q184" i="3"/>
  <c r="W185" i="3"/>
  <c r="T185" i="3"/>
  <c r="U185" i="3"/>
  <c r="V185" i="3"/>
  <c r="S185" i="3"/>
  <c r="K185" i="3"/>
  <c r="N185" i="3"/>
  <c r="M185" i="3"/>
  <c r="H185" i="3"/>
  <c r="R185" i="3" l="1"/>
  <c r="S186" i="3"/>
  <c r="T186" i="3"/>
  <c r="Q185" i="3"/>
  <c r="V186" i="3"/>
  <c r="U186" i="3"/>
  <c r="N186" i="3"/>
  <c r="W186" i="3"/>
  <c r="K186" i="3"/>
  <c r="M186" i="3"/>
  <c r="H186" i="3"/>
  <c r="R186" i="3" l="1"/>
  <c r="Q186" i="3"/>
  <c r="U187" i="3"/>
  <c r="V187" i="3"/>
  <c r="W187" i="3"/>
  <c r="S187" i="3"/>
  <c r="K187" i="3"/>
  <c r="N187" i="3"/>
  <c r="T187" i="3"/>
  <c r="M187" i="3"/>
  <c r="H187" i="3"/>
  <c r="R187" i="3" l="1"/>
  <c r="Q187" i="3"/>
  <c r="W188" i="3"/>
  <c r="S188" i="3"/>
  <c r="T188" i="3"/>
  <c r="U188" i="3"/>
  <c r="V188" i="3"/>
  <c r="N188" i="3"/>
  <c r="K188" i="3"/>
  <c r="M188" i="3"/>
  <c r="H188" i="3"/>
  <c r="R188" i="3" l="1"/>
  <c r="S189" i="3"/>
  <c r="T189" i="3"/>
  <c r="U189" i="3"/>
  <c r="Q188" i="3"/>
  <c r="W189" i="3"/>
  <c r="V189" i="3"/>
  <c r="N189" i="3"/>
  <c r="K189" i="3"/>
  <c r="M189" i="3"/>
  <c r="H189" i="3"/>
  <c r="R189" i="3" l="1"/>
  <c r="Q189" i="3"/>
  <c r="V190" i="3"/>
  <c r="W190" i="3"/>
  <c r="T190" i="3"/>
  <c r="U190" i="3"/>
  <c r="S190" i="3"/>
  <c r="K190" i="3"/>
  <c r="N190" i="3"/>
  <c r="M190" i="3"/>
  <c r="H190" i="3"/>
  <c r="R190" i="3" l="1"/>
  <c r="Q190" i="3"/>
  <c r="S191" i="3"/>
  <c r="V191" i="3"/>
  <c r="T191" i="3"/>
  <c r="U191" i="3"/>
  <c r="W191" i="3"/>
  <c r="K191" i="3"/>
  <c r="N191" i="3"/>
  <c r="H191" i="3"/>
  <c r="M191" i="3"/>
  <c r="R191" i="3" l="1"/>
  <c r="Q191" i="3"/>
  <c r="T192" i="3"/>
  <c r="U192" i="3"/>
  <c r="V192" i="3"/>
  <c r="S192" i="3"/>
  <c r="N192" i="3"/>
  <c r="W192" i="3"/>
  <c r="K192" i="3"/>
  <c r="H192" i="3"/>
  <c r="M192" i="3"/>
  <c r="R192" i="3" l="1"/>
  <c r="Q192" i="3"/>
  <c r="W193" i="3"/>
  <c r="S193" i="3"/>
  <c r="T193" i="3"/>
  <c r="U193" i="3"/>
  <c r="V193" i="3"/>
  <c r="N193" i="3"/>
  <c r="K193" i="3"/>
  <c r="H193" i="3"/>
  <c r="M193" i="3"/>
  <c r="R193" i="3" l="1"/>
  <c r="Q193" i="3"/>
  <c r="S194" i="3"/>
  <c r="T194" i="3"/>
  <c r="U194" i="3"/>
  <c r="W194" i="3"/>
  <c r="N194" i="3"/>
  <c r="V194" i="3"/>
  <c r="K194" i="3"/>
  <c r="M194" i="3"/>
  <c r="H194" i="3"/>
  <c r="R194" i="3" l="1"/>
  <c r="Q194" i="3"/>
  <c r="U195" i="3"/>
  <c r="V195" i="3"/>
  <c r="W195" i="3"/>
  <c r="T195" i="3"/>
  <c r="S195" i="3"/>
  <c r="K195" i="3"/>
  <c r="N195" i="3"/>
  <c r="M195" i="3"/>
  <c r="H195" i="3"/>
  <c r="Q195" i="3" l="1"/>
  <c r="R195" i="3"/>
  <c r="V196" i="3"/>
  <c r="S196" i="3"/>
  <c r="T196" i="3"/>
  <c r="U196" i="3"/>
  <c r="W196" i="3"/>
  <c r="N196" i="3"/>
  <c r="K196" i="3"/>
  <c r="H196" i="3"/>
  <c r="M196" i="3"/>
  <c r="R196" i="3" l="1"/>
  <c r="S197" i="3"/>
  <c r="T197" i="3"/>
  <c r="U197" i="3"/>
  <c r="Q196" i="3"/>
  <c r="V197" i="3"/>
  <c r="W197" i="3"/>
  <c r="N197" i="3"/>
  <c r="K197" i="3"/>
  <c r="H197" i="3"/>
  <c r="M197" i="3"/>
  <c r="R197" i="3" l="1"/>
  <c r="Q197" i="3"/>
  <c r="V198" i="3"/>
  <c r="W198" i="3"/>
  <c r="S198" i="3"/>
  <c r="T198" i="3"/>
  <c r="U198" i="3"/>
  <c r="K198" i="3"/>
  <c r="N198" i="3"/>
  <c r="H198" i="3"/>
  <c r="M198" i="3"/>
  <c r="R198" i="3" l="1"/>
  <c r="Q198" i="3"/>
  <c r="S199" i="3"/>
  <c r="U199" i="3"/>
  <c r="W199" i="3"/>
  <c r="T199" i="3"/>
  <c r="V199" i="3"/>
  <c r="K199" i="3"/>
  <c r="N199" i="3"/>
  <c r="H199" i="3"/>
  <c r="M199" i="3"/>
  <c r="R199" i="3" l="1"/>
  <c r="Q199" i="3"/>
  <c r="T200" i="3"/>
  <c r="U200" i="3"/>
  <c r="V200" i="3"/>
  <c r="W200" i="3"/>
  <c r="N200" i="3"/>
  <c r="S200" i="3"/>
  <c r="K200" i="3"/>
  <c r="H200" i="3"/>
  <c r="M200" i="3"/>
  <c r="R200" i="3" l="1"/>
  <c r="Q200" i="3"/>
  <c r="W201" i="3"/>
  <c r="V201" i="3"/>
  <c r="S201" i="3"/>
  <c r="T201" i="3"/>
  <c r="N201" i="3"/>
  <c r="U201" i="3"/>
  <c r="K201" i="3"/>
  <c r="H201" i="3"/>
  <c r="M201" i="3"/>
  <c r="R201" i="3" l="1"/>
  <c r="Q201" i="3"/>
  <c r="S202" i="3"/>
  <c r="T202" i="3"/>
  <c r="V202" i="3"/>
  <c r="U202" i="3"/>
  <c r="W202" i="3"/>
  <c r="N202" i="3"/>
  <c r="K202" i="3"/>
  <c r="H202" i="3"/>
  <c r="M202" i="3"/>
  <c r="R202" i="3" l="1"/>
  <c r="Q202" i="3"/>
  <c r="U203" i="3"/>
  <c r="V203" i="3"/>
  <c r="W203" i="3"/>
  <c r="S203" i="3"/>
  <c r="T203" i="3"/>
  <c r="K203" i="3"/>
  <c r="N203" i="3"/>
  <c r="M203" i="3"/>
  <c r="H203" i="3"/>
  <c r="R203" i="3" l="1"/>
  <c r="Q203" i="3"/>
  <c r="U204" i="3"/>
  <c r="W204" i="3"/>
  <c r="S204" i="3"/>
  <c r="T204" i="3"/>
  <c r="V204" i="3"/>
  <c r="N204" i="3"/>
  <c r="K204" i="3"/>
  <c r="H204" i="3"/>
  <c r="M204" i="3"/>
  <c r="R204" i="3" l="1"/>
  <c r="Q204" i="3"/>
  <c r="S205" i="3"/>
  <c r="T205" i="3"/>
  <c r="U205" i="3"/>
  <c r="W205" i="3"/>
  <c r="V205" i="3"/>
  <c r="N205" i="3"/>
  <c r="K205" i="3"/>
  <c r="M205" i="3"/>
  <c r="H205" i="3"/>
  <c r="R205" i="3" l="1"/>
  <c r="Q205" i="3"/>
  <c r="V206" i="3"/>
  <c r="W206" i="3"/>
  <c r="S206" i="3"/>
  <c r="T206" i="3"/>
  <c r="U206" i="3"/>
  <c r="N206" i="3"/>
  <c r="K206" i="3"/>
  <c r="H206" i="3"/>
  <c r="M206" i="3"/>
  <c r="R206" i="3" l="1"/>
  <c r="Q206" i="3"/>
  <c r="S207" i="3"/>
  <c r="T207" i="3"/>
  <c r="V207" i="3"/>
  <c r="U207" i="3"/>
  <c r="W207" i="3"/>
  <c r="K207" i="3"/>
  <c r="N207" i="3"/>
  <c r="H207" i="3"/>
  <c r="M207" i="3"/>
  <c r="R207" i="3" l="1"/>
  <c r="Q207" i="3"/>
  <c r="T208" i="3"/>
  <c r="V208" i="3"/>
  <c r="S208" i="3"/>
  <c r="U208" i="3"/>
  <c r="W208" i="3"/>
  <c r="N208" i="3"/>
  <c r="K208" i="3"/>
  <c r="M208" i="3"/>
  <c r="H208" i="3"/>
  <c r="R208" i="3" l="1"/>
  <c r="Q208" i="3"/>
  <c r="W209" i="3"/>
  <c r="T209" i="3"/>
  <c r="V209" i="3"/>
  <c r="S209" i="3"/>
  <c r="U209" i="3"/>
  <c r="K209" i="3"/>
  <c r="N209" i="3"/>
  <c r="H209" i="3"/>
  <c r="M209" i="3"/>
  <c r="R209" i="3" l="1"/>
  <c r="Q209" i="3"/>
  <c r="T210" i="3"/>
  <c r="U210" i="3"/>
  <c r="V210" i="3"/>
  <c r="W210" i="3"/>
  <c r="S210" i="3"/>
  <c r="N210" i="3"/>
  <c r="K210" i="3"/>
  <c r="H210" i="3"/>
  <c r="M210" i="3"/>
  <c r="R210" i="3" l="1"/>
  <c r="Q210" i="3"/>
  <c r="U211" i="3"/>
  <c r="W211" i="3"/>
  <c r="T211" i="3"/>
  <c r="S211" i="3"/>
  <c r="K211" i="3"/>
  <c r="V211" i="3"/>
  <c r="N211" i="3"/>
  <c r="H211" i="3"/>
  <c r="M211" i="3"/>
  <c r="Q211" i="3" l="1"/>
  <c r="R211" i="3"/>
  <c r="S212" i="3"/>
  <c r="U212" i="3"/>
  <c r="V212" i="3"/>
  <c r="W212" i="3"/>
  <c r="T212" i="3"/>
  <c r="K212" i="3"/>
  <c r="N212" i="3"/>
  <c r="H212" i="3"/>
  <c r="M212" i="3"/>
  <c r="R212" i="3" l="1"/>
  <c r="Q212" i="3"/>
  <c r="S213" i="3"/>
  <c r="U213" i="3"/>
  <c r="V213" i="3"/>
  <c r="T213" i="3"/>
  <c r="N213" i="3"/>
  <c r="W213" i="3"/>
  <c r="K213" i="3"/>
  <c r="M213" i="3"/>
  <c r="H213" i="3"/>
  <c r="R213" i="3" l="1"/>
  <c r="Q213" i="3"/>
  <c r="V214" i="3"/>
  <c r="S214" i="3"/>
  <c r="U214" i="3"/>
  <c r="W214" i="3"/>
  <c r="T214" i="3"/>
  <c r="N214" i="3"/>
  <c r="K214" i="3"/>
  <c r="M214" i="3"/>
  <c r="H214" i="3"/>
  <c r="R214" i="3" l="1"/>
  <c r="Q214" i="3"/>
  <c r="S215" i="3"/>
  <c r="V215" i="3"/>
  <c r="T215" i="3"/>
  <c r="U215" i="3"/>
  <c r="W215" i="3"/>
  <c r="N215" i="3"/>
  <c r="K215" i="3"/>
  <c r="H215" i="3"/>
  <c r="M215" i="3"/>
  <c r="R215" i="3" l="1"/>
  <c r="Q215" i="3"/>
  <c r="T216" i="3"/>
  <c r="V216" i="3"/>
  <c r="S216" i="3"/>
  <c r="W216" i="3"/>
  <c r="U216" i="3"/>
  <c r="N216" i="3"/>
  <c r="K216" i="3"/>
  <c r="H216" i="3"/>
  <c r="M216" i="3"/>
  <c r="R216" i="3" l="1"/>
  <c r="Q216" i="3"/>
  <c r="W217" i="3"/>
  <c r="V217" i="3"/>
  <c r="S217" i="3"/>
  <c r="T217" i="3"/>
  <c r="U217" i="3"/>
  <c r="K217" i="3"/>
  <c r="N217" i="3"/>
  <c r="H217" i="3"/>
  <c r="M217" i="3"/>
  <c r="R217" i="3" l="1"/>
  <c r="Q217" i="3"/>
  <c r="T218" i="3"/>
  <c r="U218" i="3"/>
  <c r="W218" i="3"/>
  <c r="S218" i="3"/>
  <c r="N218" i="3"/>
  <c r="V218" i="3"/>
  <c r="K218" i="3"/>
  <c r="M218" i="3"/>
  <c r="H218" i="3"/>
  <c r="R218" i="3" l="1"/>
  <c r="Q218" i="3"/>
  <c r="U219" i="3"/>
  <c r="W219" i="3"/>
  <c r="S219" i="3"/>
  <c r="T219" i="3"/>
  <c r="K219" i="3"/>
  <c r="N219" i="3"/>
  <c r="V219" i="3"/>
  <c r="M219" i="3"/>
  <c r="H219" i="3"/>
  <c r="R219" i="3" l="1"/>
  <c r="Q219" i="3"/>
  <c r="S220" i="3"/>
  <c r="U220" i="3"/>
  <c r="W220" i="3"/>
  <c r="T220" i="3"/>
  <c r="V220" i="3"/>
  <c r="K220" i="3"/>
  <c r="N220" i="3"/>
  <c r="H220" i="3"/>
  <c r="M220" i="3"/>
  <c r="R220" i="3" l="1"/>
  <c r="S221" i="3"/>
  <c r="Q220" i="3"/>
  <c r="U221" i="3"/>
  <c r="T221" i="3"/>
  <c r="V221" i="3"/>
  <c r="W221" i="3"/>
  <c r="K221" i="3"/>
  <c r="N221" i="3"/>
  <c r="H221" i="3"/>
  <c r="M221" i="3"/>
  <c r="R221" i="3" l="1"/>
  <c r="Q221" i="3"/>
  <c r="S222" i="3"/>
  <c r="U222" i="3"/>
  <c r="W222" i="3"/>
  <c r="T222" i="3"/>
  <c r="V222" i="3"/>
  <c r="K222" i="3"/>
  <c r="N222" i="3"/>
  <c r="M222" i="3"/>
  <c r="H222" i="3"/>
  <c r="R222" i="3" l="1"/>
  <c r="Q222" i="3"/>
  <c r="S223" i="3"/>
  <c r="W223" i="3"/>
  <c r="T223" i="3"/>
  <c r="U223" i="3"/>
  <c r="V223" i="3"/>
  <c r="K223" i="3"/>
  <c r="N223" i="3"/>
  <c r="H223" i="3"/>
  <c r="M223" i="3"/>
  <c r="R223" i="3" l="1"/>
  <c r="Q223" i="3"/>
  <c r="T224" i="3"/>
  <c r="V224" i="3"/>
  <c r="W224" i="3"/>
  <c r="N224" i="3"/>
  <c r="S224" i="3"/>
  <c r="U224" i="3"/>
  <c r="K224" i="3"/>
  <c r="H224" i="3"/>
  <c r="M224" i="3"/>
  <c r="R224" i="3" l="1"/>
  <c r="Q224" i="3"/>
  <c r="U225" i="3"/>
  <c r="W225" i="3"/>
  <c r="S225" i="3"/>
  <c r="T225" i="3"/>
  <c r="V225" i="3"/>
  <c r="N225" i="3"/>
  <c r="K225" i="3"/>
  <c r="M225" i="3"/>
  <c r="H225" i="3"/>
  <c r="R225" i="3" l="1"/>
  <c r="Q225" i="3"/>
  <c r="T226" i="3"/>
  <c r="U226" i="3"/>
  <c r="V226" i="3"/>
  <c r="S226" i="3"/>
  <c r="W226" i="3"/>
  <c r="N226" i="3"/>
  <c r="K226" i="3"/>
  <c r="M226" i="3"/>
  <c r="H226" i="3"/>
  <c r="R226" i="3" l="1"/>
  <c r="Q226" i="3"/>
  <c r="S227" i="3"/>
  <c r="U227" i="3"/>
  <c r="W227" i="3"/>
  <c r="K227" i="3"/>
  <c r="T227" i="3"/>
  <c r="V227" i="3"/>
  <c r="N227" i="3"/>
  <c r="M227" i="3"/>
  <c r="H227" i="3"/>
  <c r="R227" i="3" l="1"/>
  <c r="Q227" i="3"/>
  <c r="V228" i="3"/>
  <c r="S228" i="3"/>
  <c r="T228" i="3"/>
  <c r="U228" i="3"/>
  <c r="W228" i="3"/>
  <c r="N228" i="3"/>
  <c r="K228" i="3"/>
  <c r="M228" i="3"/>
  <c r="H228" i="3"/>
  <c r="R228" i="3" l="1"/>
  <c r="Q228" i="3"/>
  <c r="S229" i="3"/>
  <c r="U229" i="3"/>
  <c r="V229" i="3"/>
  <c r="W229" i="3"/>
  <c r="T229" i="3"/>
  <c r="N229" i="3"/>
  <c r="K229" i="3"/>
  <c r="H229" i="3"/>
  <c r="M229" i="3"/>
  <c r="R229" i="3" l="1"/>
  <c r="Q229" i="3"/>
  <c r="T230" i="3"/>
  <c r="V230" i="3"/>
  <c r="S230" i="3"/>
  <c r="U230" i="3"/>
  <c r="W230" i="3"/>
  <c r="N230" i="3"/>
  <c r="K230" i="3"/>
  <c r="H230" i="3"/>
  <c r="M230" i="3"/>
  <c r="R230" i="3" l="1"/>
  <c r="Q230" i="3"/>
  <c r="W231" i="3"/>
  <c r="S231" i="3"/>
  <c r="T231" i="3"/>
  <c r="U231" i="3"/>
  <c r="V231" i="3"/>
  <c r="N231" i="3"/>
  <c r="K231" i="3"/>
  <c r="H231" i="3"/>
  <c r="M231" i="3"/>
  <c r="R231" i="3" l="1"/>
  <c r="Q231" i="3"/>
  <c r="T232" i="3"/>
  <c r="V232" i="3"/>
  <c r="W232" i="3"/>
  <c r="N232" i="3"/>
  <c r="S232" i="3"/>
  <c r="U232" i="3"/>
  <c r="K232" i="3"/>
  <c r="H232" i="3"/>
  <c r="M232" i="3"/>
  <c r="R232" i="3" l="1"/>
  <c r="Q232" i="3"/>
  <c r="U233" i="3"/>
  <c r="W233" i="3"/>
  <c r="S233" i="3"/>
  <c r="V233" i="3"/>
  <c r="T233" i="3"/>
  <c r="K233" i="3"/>
  <c r="N233" i="3"/>
  <c r="M233" i="3"/>
  <c r="H233" i="3"/>
  <c r="R233" i="3" l="1"/>
  <c r="Q233" i="3"/>
  <c r="T234" i="3"/>
  <c r="U234" i="3"/>
  <c r="V234" i="3"/>
  <c r="S234" i="3"/>
  <c r="W234" i="3"/>
  <c r="N234" i="3"/>
  <c r="K234" i="3"/>
  <c r="H234" i="3"/>
  <c r="M234" i="3"/>
  <c r="R234" i="3" l="1"/>
  <c r="Q234" i="3"/>
  <c r="S235" i="3"/>
  <c r="U235" i="3"/>
  <c r="W235" i="3"/>
  <c r="T235" i="3"/>
  <c r="K235" i="3"/>
  <c r="V235" i="3"/>
  <c r="N235" i="3"/>
  <c r="M235" i="3"/>
  <c r="H235" i="3"/>
  <c r="Q235" i="3" l="1"/>
  <c r="R235" i="3"/>
  <c r="V236" i="3"/>
  <c r="S236" i="3"/>
  <c r="T236" i="3"/>
  <c r="U236" i="3"/>
  <c r="W236" i="3"/>
  <c r="K236" i="3"/>
  <c r="N236" i="3"/>
  <c r="M236" i="3"/>
  <c r="H236" i="3"/>
  <c r="R236" i="3" l="1"/>
  <c r="Q236" i="3"/>
  <c r="S237" i="3"/>
  <c r="U237" i="3"/>
  <c r="V237" i="3"/>
  <c r="W237" i="3"/>
  <c r="K237" i="3"/>
  <c r="T237" i="3"/>
  <c r="N237" i="3"/>
  <c r="H237" i="3"/>
  <c r="M237" i="3"/>
  <c r="R237" i="3" l="1"/>
  <c r="Q237" i="3"/>
  <c r="T238" i="3"/>
  <c r="V238" i="3"/>
  <c r="S238" i="3"/>
  <c r="U238" i="3"/>
  <c r="W238" i="3"/>
  <c r="K238" i="3"/>
  <c r="N238" i="3"/>
  <c r="H238" i="3"/>
  <c r="M238" i="3"/>
  <c r="R238" i="3" l="1"/>
  <c r="Q238" i="3"/>
  <c r="W239" i="3"/>
  <c r="S239" i="3"/>
  <c r="T239" i="3"/>
  <c r="U239" i="3"/>
  <c r="V239" i="3"/>
  <c r="N239" i="3"/>
  <c r="K239" i="3"/>
  <c r="H239" i="3"/>
  <c r="M239" i="3"/>
  <c r="R239" i="3" l="1"/>
  <c r="Q239" i="3"/>
  <c r="T240" i="3"/>
  <c r="V240" i="3"/>
  <c r="W240" i="3"/>
  <c r="N240" i="3"/>
  <c r="S240" i="3"/>
  <c r="U240" i="3"/>
  <c r="K240" i="3"/>
  <c r="M240" i="3"/>
  <c r="H240" i="3"/>
  <c r="R240" i="3" l="1"/>
  <c r="Q240" i="3"/>
  <c r="U241" i="3"/>
  <c r="W241" i="3"/>
  <c r="S241" i="3"/>
  <c r="T241" i="3"/>
  <c r="N241" i="3"/>
  <c r="V241" i="3"/>
  <c r="K241" i="3"/>
  <c r="M241" i="3"/>
  <c r="H241" i="3"/>
  <c r="R241" i="3" l="1"/>
  <c r="Q241" i="3"/>
  <c r="T242" i="3"/>
  <c r="U242" i="3"/>
  <c r="V242" i="3"/>
  <c r="S242" i="3"/>
  <c r="W242" i="3"/>
  <c r="N242" i="3"/>
  <c r="K242" i="3"/>
  <c r="M242" i="3"/>
  <c r="H242" i="3"/>
  <c r="R242" i="3" l="1"/>
  <c r="Q242" i="3"/>
  <c r="S243" i="3"/>
  <c r="U243" i="3"/>
  <c r="W243" i="3"/>
  <c r="T243" i="3"/>
  <c r="V243" i="3"/>
  <c r="N243" i="3"/>
  <c r="K243" i="3"/>
  <c r="H243" i="3"/>
  <c r="M243" i="3"/>
  <c r="R243" i="3" l="1"/>
  <c r="V244" i="3"/>
  <c r="Q243" i="3"/>
  <c r="S244" i="3"/>
  <c r="T244" i="3"/>
  <c r="U244" i="3"/>
  <c r="W244" i="3"/>
  <c r="K244" i="3"/>
  <c r="N244" i="3"/>
  <c r="H244" i="3"/>
  <c r="M244" i="3"/>
  <c r="R244" i="3" l="1"/>
  <c r="Q244" i="3"/>
  <c r="S245" i="3"/>
  <c r="U245" i="3"/>
  <c r="V245" i="3"/>
  <c r="W245" i="3"/>
  <c r="T245" i="3"/>
  <c r="N245" i="3"/>
  <c r="K245" i="3"/>
  <c r="H245" i="3"/>
  <c r="M245" i="3"/>
  <c r="R245" i="3" l="1"/>
  <c r="Q245" i="3"/>
  <c r="T246" i="3"/>
  <c r="V246" i="3"/>
  <c r="U246" i="3"/>
  <c r="W246" i="3"/>
  <c r="K246" i="3"/>
  <c r="S246" i="3"/>
  <c r="N246" i="3"/>
  <c r="M246" i="3"/>
  <c r="H246" i="3"/>
  <c r="R246" i="3" l="1"/>
  <c r="Q246" i="3"/>
  <c r="S247" i="3"/>
  <c r="T247" i="3"/>
  <c r="U247" i="3"/>
  <c r="V247" i="3"/>
  <c r="W247" i="3"/>
  <c r="K247" i="3"/>
  <c r="N247" i="3"/>
  <c r="H247" i="3"/>
  <c r="M247" i="3"/>
  <c r="R247" i="3" l="1"/>
  <c r="Q247" i="3"/>
  <c r="V248" i="3"/>
  <c r="W248" i="3"/>
  <c r="N248" i="3"/>
  <c r="S248" i="3"/>
  <c r="T248" i="3"/>
  <c r="U248" i="3"/>
  <c r="K248" i="3"/>
  <c r="H248" i="3"/>
  <c r="M248" i="3"/>
  <c r="R248" i="3" l="1"/>
  <c r="Q248" i="3"/>
  <c r="S249" i="3"/>
  <c r="U249" i="3"/>
  <c r="V249" i="3"/>
  <c r="W249" i="3"/>
  <c r="T249" i="3"/>
  <c r="N249" i="3"/>
  <c r="K249" i="3"/>
  <c r="M249" i="3"/>
  <c r="H249" i="3"/>
  <c r="R249" i="3" l="1"/>
  <c r="Q249" i="3"/>
  <c r="T250" i="3"/>
  <c r="U250" i="3"/>
  <c r="V250" i="3"/>
  <c r="S250" i="3"/>
  <c r="W250" i="3"/>
  <c r="N250" i="3"/>
  <c r="K250" i="3"/>
  <c r="H250" i="3"/>
  <c r="M250" i="3"/>
  <c r="R250" i="3" l="1"/>
  <c r="Q250" i="3"/>
  <c r="W251" i="3"/>
  <c r="V251" i="3"/>
  <c r="S251" i="3"/>
  <c r="T251" i="3"/>
  <c r="N251" i="3"/>
  <c r="K251" i="3"/>
  <c r="U251" i="3"/>
  <c r="M251" i="3"/>
  <c r="H251" i="3"/>
  <c r="R251" i="3" l="1"/>
  <c r="Q251" i="3"/>
  <c r="S252" i="3"/>
  <c r="T252" i="3"/>
  <c r="U252" i="3"/>
  <c r="V252" i="3"/>
  <c r="W252" i="3"/>
  <c r="K252" i="3"/>
  <c r="N252" i="3"/>
  <c r="M252" i="3"/>
  <c r="H252" i="3"/>
  <c r="R252" i="3" l="1"/>
  <c r="U253" i="3"/>
  <c r="Q252" i="3"/>
  <c r="V253" i="3"/>
  <c r="W253" i="3"/>
  <c r="S253" i="3"/>
  <c r="T253" i="3"/>
  <c r="N253" i="3"/>
  <c r="K253" i="3"/>
  <c r="H253" i="3"/>
  <c r="M253" i="3"/>
  <c r="R253" i="3" l="1"/>
  <c r="Q253" i="3"/>
  <c r="U254" i="3"/>
  <c r="V254" i="3"/>
  <c r="W254" i="3"/>
  <c r="S254" i="3"/>
  <c r="N254" i="3"/>
  <c r="K254" i="3"/>
  <c r="T254" i="3"/>
  <c r="M254" i="3"/>
  <c r="H254" i="3"/>
  <c r="R254" i="3" l="1"/>
  <c r="Q254" i="3"/>
  <c r="S255" i="3"/>
  <c r="T255" i="3"/>
  <c r="U255" i="3"/>
  <c r="V255" i="3"/>
  <c r="W255" i="3"/>
  <c r="N255" i="3"/>
  <c r="K255" i="3"/>
  <c r="H255" i="3"/>
  <c r="M255" i="3"/>
  <c r="R255" i="3" l="1"/>
  <c r="Q255" i="3"/>
  <c r="V256" i="3"/>
  <c r="W256" i="3"/>
  <c r="N256" i="3"/>
  <c r="S256" i="3"/>
  <c r="T256" i="3"/>
  <c r="U256" i="3"/>
  <c r="K256" i="3"/>
  <c r="H256" i="3"/>
  <c r="M256" i="3"/>
  <c r="R256" i="3" l="1"/>
  <c r="Q256" i="3"/>
  <c r="S257" i="3"/>
  <c r="T257" i="3"/>
  <c r="U257" i="3"/>
  <c r="V257" i="3"/>
  <c r="W257" i="3"/>
  <c r="N257" i="3"/>
  <c r="K257" i="3"/>
  <c r="H257" i="3"/>
  <c r="M257" i="3"/>
  <c r="R257" i="3" l="1"/>
  <c r="Q257" i="3"/>
  <c r="T258" i="3"/>
  <c r="U258" i="3"/>
  <c r="V258" i="3"/>
  <c r="S258" i="3"/>
  <c r="W258" i="3"/>
  <c r="N258" i="3"/>
  <c r="K258" i="3"/>
  <c r="H258" i="3"/>
  <c r="M258" i="3"/>
  <c r="R258" i="3" l="1"/>
  <c r="Q258" i="3"/>
  <c r="W259" i="3"/>
  <c r="U259" i="3"/>
  <c r="V259" i="3"/>
  <c r="S259" i="3"/>
  <c r="N259" i="3"/>
  <c r="T259" i="3"/>
  <c r="K259" i="3"/>
  <c r="H259" i="3"/>
  <c r="M259" i="3"/>
  <c r="Q259" i="3" l="1"/>
  <c r="R259" i="3"/>
  <c r="S260" i="3"/>
  <c r="T260" i="3"/>
  <c r="U260" i="3"/>
  <c r="V260" i="3"/>
  <c r="W260" i="3"/>
  <c r="K260" i="3"/>
  <c r="N260" i="3"/>
  <c r="H260" i="3"/>
  <c r="M260" i="3"/>
  <c r="R260" i="3" l="1"/>
  <c r="Q260" i="3"/>
  <c r="U261" i="3"/>
  <c r="V261" i="3"/>
  <c r="W261" i="3"/>
  <c r="S261" i="3"/>
  <c r="T261" i="3"/>
  <c r="N261" i="3"/>
  <c r="K261" i="3"/>
  <c r="M261" i="3"/>
  <c r="H261" i="3"/>
  <c r="R261" i="3" l="1"/>
  <c r="Q261" i="3"/>
  <c r="T262" i="3"/>
  <c r="U262" i="3"/>
  <c r="V262" i="3"/>
  <c r="W262" i="3"/>
  <c r="S262" i="3"/>
  <c r="K262" i="3"/>
  <c r="N262" i="3"/>
  <c r="M262" i="3"/>
  <c r="H262" i="3"/>
  <c r="R262" i="3" l="1"/>
  <c r="Q262" i="3"/>
  <c r="S263" i="3"/>
  <c r="T263" i="3"/>
  <c r="U263" i="3"/>
  <c r="V263" i="3"/>
  <c r="W263" i="3"/>
  <c r="K263" i="3"/>
  <c r="N263" i="3"/>
  <c r="H263" i="3"/>
  <c r="M263" i="3"/>
  <c r="R263" i="3" l="1"/>
  <c r="Q263" i="3"/>
  <c r="V264" i="3"/>
  <c r="W264" i="3"/>
  <c r="U264" i="3"/>
  <c r="N264" i="3"/>
  <c r="S264" i="3"/>
  <c r="T264" i="3"/>
  <c r="K264" i="3"/>
  <c r="H264" i="3"/>
  <c r="M264" i="3"/>
  <c r="R264" i="3" l="1"/>
  <c r="Q264" i="3"/>
  <c r="S265" i="3"/>
  <c r="T265" i="3"/>
  <c r="U265" i="3"/>
  <c r="V265" i="3"/>
  <c r="W265" i="3"/>
  <c r="N265" i="3"/>
  <c r="K265" i="3"/>
  <c r="H265" i="3"/>
  <c r="M265" i="3"/>
  <c r="R265" i="3" l="1"/>
  <c r="T266" i="3"/>
  <c r="U266" i="3"/>
  <c r="Q265" i="3"/>
  <c r="V266" i="3"/>
  <c r="S266" i="3"/>
  <c r="N266" i="3"/>
  <c r="W266" i="3"/>
  <c r="K266" i="3"/>
  <c r="H266" i="3"/>
  <c r="M266" i="3"/>
  <c r="R266" i="3" l="1"/>
  <c r="Q266" i="3"/>
  <c r="W267" i="3"/>
  <c r="T267" i="3"/>
  <c r="U267" i="3"/>
  <c r="V267" i="3"/>
  <c r="N267" i="3"/>
  <c r="S267" i="3"/>
  <c r="K267" i="3"/>
  <c r="H267" i="3"/>
  <c r="M267" i="3"/>
  <c r="R267" i="3" l="1"/>
  <c r="Q267" i="3"/>
  <c r="S268" i="3"/>
  <c r="T268" i="3"/>
  <c r="U268" i="3"/>
  <c r="V268" i="3"/>
  <c r="W268" i="3"/>
  <c r="K268" i="3"/>
  <c r="N268" i="3"/>
  <c r="H268" i="3"/>
  <c r="M268" i="3"/>
  <c r="R268" i="3" l="1"/>
  <c r="Q268" i="3"/>
  <c r="U269" i="3"/>
  <c r="V269" i="3"/>
  <c r="W269" i="3"/>
  <c r="S269" i="3"/>
  <c r="K269" i="3"/>
  <c r="N269" i="3"/>
  <c r="T269" i="3"/>
  <c r="M269" i="3"/>
  <c r="H269" i="3"/>
  <c r="R269" i="3" l="1"/>
  <c r="Q269" i="3"/>
  <c r="S270" i="3"/>
  <c r="V270" i="3"/>
  <c r="W270" i="3"/>
  <c r="K270" i="3"/>
  <c r="N270" i="3"/>
  <c r="U270" i="3"/>
  <c r="T270" i="3"/>
  <c r="M270" i="3"/>
  <c r="H270" i="3"/>
  <c r="R270" i="3" l="1"/>
  <c r="Q270" i="3"/>
  <c r="S271" i="3"/>
  <c r="T271" i="3"/>
  <c r="U271" i="3"/>
  <c r="V271" i="3"/>
  <c r="W271" i="3"/>
  <c r="K271" i="3"/>
  <c r="N271" i="3"/>
  <c r="H271" i="3"/>
  <c r="M271" i="3"/>
  <c r="R271" i="3" l="1"/>
  <c r="Q271" i="3"/>
  <c r="V272" i="3"/>
  <c r="W272" i="3"/>
  <c r="T272" i="3"/>
  <c r="N272" i="3"/>
  <c r="S272" i="3"/>
  <c r="U272" i="3"/>
  <c r="K272" i="3"/>
  <c r="H272" i="3"/>
  <c r="M272" i="3"/>
  <c r="R272" i="3" l="1"/>
  <c r="Q272" i="3"/>
  <c r="S273" i="3"/>
  <c r="U273" i="3"/>
  <c r="V273" i="3"/>
  <c r="W273" i="3"/>
  <c r="T273" i="3"/>
  <c r="N273" i="3"/>
  <c r="K273" i="3"/>
  <c r="H273" i="3"/>
  <c r="M273" i="3"/>
  <c r="R273" i="3" l="1"/>
  <c r="T274" i="3"/>
  <c r="U274" i="3"/>
  <c r="V274" i="3"/>
  <c r="Q273" i="3"/>
  <c r="N274" i="3"/>
  <c r="S274" i="3"/>
  <c r="W274" i="3"/>
  <c r="K274" i="3"/>
  <c r="H274" i="3"/>
  <c r="M274" i="3"/>
  <c r="R274" i="3" l="1"/>
  <c r="Q274" i="3"/>
  <c r="W275" i="3"/>
  <c r="S275" i="3"/>
  <c r="V275" i="3"/>
  <c r="N275" i="3"/>
  <c r="T275" i="3"/>
  <c r="U275" i="3"/>
  <c r="K275" i="3"/>
  <c r="M275" i="3"/>
  <c r="H275" i="3"/>
  <c r="R275" i="3" l="1"/>
  <c r="Q275" i="3"/>
  <c r="S276" i="3"/>
  <c r="T276" i="3"/>
  <c r="U276" i="3"/>
  <c r="V276" i="3"/>
  <c r="W276" i="3"/>
  <c r="K276" i="3"/>
  <c r="N276" i="3"/>
  <c r="M276" i="3"/>
  <c r="H276" i="3"/>
  <c r="R276" i="3" l="1"/>
  <c r="Q276" i="3"/>
  <c r="U277" i="3"/>
  <c r="V277" i="3"/>
  <c r="W277" i="3"/>
  <c r="T277" i="3"/>
  <c r="N277" i="3"/>
  <c r="K277" i="3"/>
  <c r="S277" i="3"/>
  <c r="H277" i="3"/>
  <c r="M277" i="3"/>
  <c r="R277" i="3" l="1"/>
  <c r="Q277" i="3"/>
  <c r="U278" i="3"/>
  <c r="V278" i="3"/>
  <c r="W278" i="3"/>
  <c r="T278" i="3"/>
  <c r="N278" i="3"/>
  <c r="K278" i="3"/>
  <c r="S278" i="3"/>
  <c r="H278" i="3"/>
  <c r="M278" i="3"/>
  <c r="R278" i="3" l="1"/>
  <c r="Q278" i="3"/>
  <c r="S279" i="3"/>
  <c r="T279" i="3"/>
  <c r="U279" i="3"/>
  <c r="V279" i="3"/>
  <c r="W279" i="3"/>
  <c r="N279" i="3"/>
  <c r="K279" i="3"/>
  <c r="M279" i="3"/>
  <c r="H279" i="3"/>
  <c r="R279" i="3" l="1"/>
  <c r="Q279" i="3"/>
  <c r="V280" i="3"/>
  <c r="W280" i="3"/>
  <c r="S280" i="3"/>
  <c r="N280" i="3"/>
  <c r="T280" i="3"/>
  <c r="U280" i="3"/>
  <c r="K280" i="3"/>
  <c r="H280" i="3"/>
  <c r="M280" i="3"/>
  <c r="R280" i="3" l="1"/>
  <c r="Q280" i="3"/>
  <c r="S281" i="3"/>
  <c r="T281" i="3"/>
  <c r="U281" i="3"/>
  <c r="V281" i="3"/>
  <c r="W281" i="3"/>
  <c r="N281" i="3"/>
  <c r="K281" i="3"/>
  <c r="H281" i="3"/>
  <c r="M281" i="3"/>
  <c r="R281" i="3" l="1"/>
  <c r="Q281" i="3"/>
  <c r="T282" i="3"/>
  <c r="U282" i="3"/>
  <c r="V282" i="3"/>
  <c r="W282" i="3"/>
  <c r="N282" i="3"/>
  <c r="S282" i="3"/>
  <c r="K282" i="3"/>
  <c r="M282" i="3"/>
  <c r="H282" i="3"/>
  <c r="R282" i="3" l="1"/>
  <c r="Q282" i="3"/>
  <c r="W283" i="3"/>
  <c r="U283" i="3"/>
  <c r="V283" i="3"/>
  <c r="N283" i="3"/>
  <c r="S283" i="3"/>
  <c r="K283" i="3"/>
  <c r="T283" i="3"/>
  <c r="H283" i="3"/>
  <c r="M283" i="3"/>
  <c r="R283" i="3" l="1"/>
  <c r="Q283" i="3"/>
  <c r="S284" i="3"/>
  <c r="T284" i="3"/>
  <c r="U284" i="3"/>
  <c r="V284" i="3"/>
  <c r="K284" i="3"/>
  <c r="N284" i="3"/>
  <c r="W284" i="3"/>
  <c r="M284" i="3"/>
  <c r="H284" i="3"/>
  <c r="R284" i="3" l="1"/>
  <c r="Q284" i="3"/>
  <c r="U285" i="3"/>
  <c r="V285" i="3"/>
  <c r="W285" i="3"/>
  <c r="S285" i="3"/>
  <c r="T285" i="3"/>
  <c r="K285" i="3"/>
  <c r="N285" i="3"/>
  <c r="H285" i="3"/>
  <c r="M285" i="3"/>
  <c r="R285" i="3" l="1"/>
  <c r="Q285" i="3"/>
  <c r="T286" i="3"/>
  <c r="U286" i="3"/>
  <c r="V286" i="3"/>
  <c r="W286" i="3"/>
  <c r="S286" i="3"/>
  <c r="K286" i="3"/>
  <c r="N286" i="3"/>
  <c r="M286" i="3"/>
  <c r="H286" i="3"/>
  <c r="R286" i="3" l="1"/>
  <c r="Q286" i="3"/>
  <c r="S287" i="3"/>
  <c r="T287" i="3"/>
  <c r="U287" i="3"/>
  <c r="W287" i="3"/>
  <c r="V287" i="3"/>
  <c r="K287" i="3"/>
  <c r="N287" i="3"/>
  <c r="H287" i="3"/>
  <c r="M287" i="3"/>
  <c r="R287" i="3" l="1"/>
  <c r="Q287" i="3"/>
  <c r="V288" i="3"/>
  <c r="W288" i="3"/>
  <c r="U288" i="3"/>
  <c r="N288" i="3"/>
  <c r="S288" i="3"/>
  <c r="T288" i="3"/>
  <c r="K288" i="3"/>
  <c r="H288" i="3"/>
  <c r="M288" i="3"/>
  <c r="R288" i="3" l="1"/>
  <c r="Q288" i="3"/>
  <c r="S289" i="3"/>
  <c r="T289" i="3"/>
  <c r="U289" i="3"/>
  <c r="V289" i="3"/>
  <c r="W289" i="3"/>
  <c r="K289" i="3"/>
  <c r="N289" i="3"/>
  <c r="M289" i="3"/>
  <c r="H289" i="3"/>
  <c r="R289" i="3" l="1"/>
  <c r="Q289" i="3"/>
  <c r="T290" i="3"/>
  <c r="U290" i="3"/>
  <c r="V290" i="3"/>
  <c r="S290" i="3"/>
  <c r="N290" i="3"/>
  <c r="K290" i="3"/>
  <c r="W290" i="3"/>
  <c r="H290" i="3"/>
  <c r="M290" i="3"/>
  <c r="R290" i="3" l="1"/>
  <c r="Q290" i="3"/>
  <c r="W291" i="3"/>
  <c r="T291" i="3"/>
  <c r="U291" i="3"/>
  <c r="V291" i="3"/>
  <c r="N291" i="3"/>
  <c r="K291" i="3"/>
  <c r="S291" i="3"/>
  <c r="H291" i="3"/>
  <c r="M291" i="3"/>
  <c r="R291" i="3" l="1"/>
  <c r="Q291" i="3"/>
  <c r="S292" i="3"/>
  <c r="T292" i="3"/>
  <c r="W292" i="3"/>
  <c r="U292" i="3"/>
  <c r="V292" i="3"/>
  <c r="N292" i="3"/>
  <c r="K292" i="3"/>
  <c r="H292" i="3"/>
  <c r="M292" i="3"/>
  <c r="R292" i="3" l="1"/>
  <c r="Q292" i="3"/>
  <c r="U293" i="3"/>
  <c r="V293" i="3"/>
  <c r="W293" i="3"/>
  <c r="S293" i="3"/>
  <c r="K293" i="3"/>
  <c r="T293" i="3"/>
  <c r="N293" i="3"/>
  <c r="H293" i="3"/>
  <c r="M293" i="3"/>
  <c r="R293" i="3" l="1"/>
  <c r="Q293" i="3"/>
  <c r="S294" i="3"/>
  <c r="T294" i="3"/>
  <c r="U294" i="3"/>
  <c r="V294" i="3"/>
  <c r="W294" i="3"/>
  <c r="N294" i="3"/>
  <c r="K294" i="3"/>
  <c r="M294" i="3"/>
  <c r="H294" i="3"/>
  <c r="R294" i="3" l="1"/>
  <c r="Q294" i="3"/>
  <c r="S295" i="3"/>
  <c r="T295" i="3"/>
  <c r="U295" i="3"/>
  <c r="V295" i="3"/>
  <c r="W295" i="3"/>
  <c r="N295" i="3"/>
  <c r="K295" i="3"/>
  <c r="H295" i="3"/>
  <c r="M295" i="3"/>
  <c r="R295" i="3" l="1"/>
  <c r="Q295" i="3"/>
  <c r="V296" i="3"/>
  <c r="W296" i="3"/>
  <c r="T296" i="3"/>
  <c r="N296" i="3"/>
  <c r="U296" i="3"/>
  <c r="S296" i="3"/>
  <c r="K296" i="3"/>
  <c r="M296" i="3"/>
  <c r="H296" i="3"/>
  <c r="R296" i="3" l="1"/>
  <c r="Q296" i="3"/>
  <c r="S297" i="3"/>
  <c r="W297" i="3"/>
  <c r="T297" i="3"/>
  <c r="U297" i="3"/>
  <c r="N297" i="3"/>
  <c r="V297" i="3"/>
  <c r="K297" i="3"/>
  <c r="H297" i="3"/>
  <c r="M297" i="3"/>
  <c r="R297" i="3" l="1"/>
  <c r="Q297" i="3"/>
  <c r="T298" i="3"/>
  <c r="U298" i="3"/>
  <c r="V298" i="3"/>
  <c r="N298" i="3"/>
  <c r="W298" i="3"/>
  <c r="S298" i="3"/>
  <c r="K298" i="3"/>
  <c r="H298" i="3"/>
  <c r="M298" i="3"/>
  <c r="R298" i="3" l="1"/>
  <c r="Q298" i="3"/>
  <c r="W299" i="3"/>
  <c r="S299" i="3"/>
  <c r="T299" i="3"/>
  <c r="U299" i="3"/>
  <c r="V299" i="3"/>
  <c r="N299" i="3"/>
  <c r="K299" i="3"/>
  <c r="M299" i="3"/>
  <c r="H299" i="3"/>
  <c r="Q299" i="3" l="1"/>
  <c r="R299" i="3"/>
  <c r="S300" i="3"/>
  <c r="T300" i="3"/>
  <c r="V300" i="3"/>
  <c r="U300" i="3"/>
  <c r="K300" i="3"/>
  <c r="W300" i="3"/>
  <c r="N300" i="3"/>
  <c r="M300" i="3"/>
  <c r="H300" i="3"/>
  <c r="Q300" i="3" l="1"/>
  <c r="R300" i="3"/>
  <c r="U301" i="3"/>
  <c r="V301" i="3"/>
  <c r="W301" i="3"/>
  <c r="T301" i="3"/>
  <c r="K301" i="3"/>
  <c r="S301" i="3"/>
  <c r="N301" i="3"/>
  <c r="H301" i="3"/>
  <c r="M301" i="3"/>
  <c r="R301" i="3" l="1"/>
  <c r="Q301" i="3"/>
  <c r="W302" i="3"/>
  <c r="S302" i="3"/>
  <c r="T302" i="3"/>
  <c r="U302" i="3"/>
  <c r="K302" i="3"/>
  <c r="V302" i="3"/>
  <c r="N302" i="3"/>
  <c r="H302" i="3"/>
  <c r="M302" i="3"/>
  <c r="R302" i="3" l="1"/>
  <c r="Q302" i="3"/>
  <c r="S303" i="3"/>
  <c r="T303" i="3"/>
  <c r="U303" i="3"/>
  <c r="N303" i="3"/>
  <c r="K303" i="3"/>
  <c r="V303" i="3"/>
  <c r="W303" i="3"/>
  <c r="H303" i="3"/>
  <c r="M303" i="3"/>
  <c r="R303" i="3" l="1"/>
  <c r="Q303" i="3"/>
  <c r="V304" i="3"/>
  <c r="W304" i="3"/>
  <c r="S304" i="3"/>
  <c r="N304" i="3"/>
  <c r="T304" i="3"/>
  <c r="U304" i="3"/>
  <c r="K304" i="3"/>
  <c r="M304" i="3"/>
  <c r="H304" i="3"/>
  <c r="R304" i="3" l="1"/>
  <c r="Q304" i="3"/>
  <c r="S305" i="3"/>
  <c r="V305" i="3"/>
  <c r="T305" i="3"/>
  <c r="W305" i="3"/>
  <c r="N305" i="3"/>
  <c r="K305" i="3"/>
  <c r="U305" i="3"/>
  <c r="M305" i="3"/>
  <c r="H305" i="3"/>
  <c r="R305" i="3" l="1"/>
  <c r="Q305" i="3"/>
  <c r="T306" i="3"/>
  <c r="U306" i="3"/>
  <c r="V306" i="3"/>
  <c r="W306" i="3"/>
  <c r="N306" i="3"/>
  <c r="S306" i="3"/>
  <c r="K306" i="3"/>
  <c r="M306" i="3"/>
  <c r="H306" i="3"/>
  <c r="R306" i="3" l="1"/>
  <c r="Q306" i="3"/>
  <c r="W307" i="3"/>
  <c r="S307" i="3"/>
  <c r="T307" i="3"/>
  <c r="U307" i="3"/>
  <c r="N307" i="3"/>
  <c r="V307" i="3"/>
  <c r="K307" i="3"/>
  <c r="M307" i="3"/>
  <c r="H307" i="3"/>
  <c r="R307" i="3" l="1"/>
  <c r="Q307" i="3"/>
  <c r="S308" i="3"/>
  <c r="T308" i="3"/>
  <c r="U308" i="3"/>
  <c r="K308" i="3"/>
  <c r="V308" i="3"/>
  <c r="N308" i="3"/>
  <c r="W308" i="3"/>
  <c r="H308" i="3"/>
  <c r="M308" i="3"/>
  <c r="Q308" i="3" l="1"/>
  <c r="R308" i="3"/>
  <c r="U309" i="3"/>
  <c r="V309" i="3"/>
  <c r="W309" i="3"/>
  <c r="S309" i="3"/>
  <c r="T309" i="3"/>
  <c r="K309" i="3"/>
  <c r="N309" i="3"/>
  <c r="H309" i="3"/>
  <c r="M309" i="3"/>
  <c r="R309" i="3" l="1"/>
  <c r="Q309" i="3"/>
  <c r="V310" i="3"/>
  <c r="S310" i="3"/>
  <c r="T310" i="3"/>
  <c r="K310" i="3"/>
  <c r="U310" i="3"/>
  <c r="N310" i="3"/>
  <c r="W310" i="3"/>
  <c r="M310" i="3"/>
  <c r="H310" i="3"/>
  <c r="R310" i="3" l="1"/>
  <c r="Q310" i="3"/>
  <c r="S311" i="3"/>
  <c r="T311" i="3"/>
  <c r="U311" i="3"/>
  <c r="W311" i="3"/>
  <c r="K311" i="3"/>
  <c r="V311" i="3"/>
  <c r="N311" i="3"/>
  <c r="H311" i="3"/>
  <c r="M311" i="3"/>
  <c r="R311" i="3" l="1"/>
  <c r="Q311" i="3"/>
  <c r="V312" i="3"/>
  <c r="W312" i="3"/>
  <c r="N312" i="3"/>
  <c r="S312" i="3"/>
  <c r="T312" i="3"/>
  <c r="U312" i="3"/>
  <c r="K312" i="3"/>
  <c r="M312" i="3"/>
  <c r="H312" i="3"/>
  <c r="R312" i="3" l="1"/>
  <c r="Q312" i="3"/>
  <c r="S313" i="3"/>
  <c r="U313" i="3"/>
  <c r="T313" i="3"/>
  <c r="V313" i="3"/>
  <c r="W313" i="3"/>
  <c r="N313" i="3"/>
  <c r="K313" i="3"/>
  <c r="H313" i="3"/>
  <c r="M313" i="3"/>
  <c r="R313" i="3" l="1"/>
  <c r="Q313" i="3"/>
  <c r="T314" i="3"/>
  <c r="U314" i="3"/>
  <c r="V314" i="3"/>
  <c r="S314" i="3"/>
  <c r="W314" i="3"/>
  <c r="N314" i="3"/>
  <c r="K314" i="3"/>
  <c r="H314" i="3"/>
  <c r="M314" i="3"/>
  <c r="R314" i="3" l="1"/>
  <c r="Q314" i="3"/>
  <c r="W315" i="3"/>
  <c r="V315" i="3"/>
  <c r="S315" i="3"/>
  <c r="T315" i="3"/>
  <c r="N315" i="3"/>
  <c r="U315" i="3"/>
  <c r="K315" i="3"/>
  <c r="H315" i="3"/>
  <c r="M315" i="3"/>
  <c r="R315" i="3" l="1"/>
  <c r="Q315" i="3"/>
  <c r="S316" i="3"/>
  <c r="T316" i="3"/>
  <c r="W316" i="3"/>
  <c r="K316" i="3"/>
  <c r="U316" i="3"/>
  <c r="V316" i="3"/>
  <c r="N316" i="3"/>
  <c r="H316" i="3"/>
  <c r="M316" i="3"/>
  <c r="Q316" i="3" l="1"/>
  <c r="R316" i="3"/>
  <c r="U317" i="3"/>
  <c r="V317" i="3"/>
  <c r="W317" i="3"/>
  <c r="S317" i="3"/>
  <c r="T317" i="3"/>
  <c r="N317" i="3"/>
  <c r="K317" i="3"/>
  <c r="H317" i="3"/>
  <c r="M317" i="3"/>
  <c r="R317" i="3" l="1"/>
  <c r="Q317" i="3"/>
  <c r="U318" i="3"/>
  <c r="S318" i="3"/>
  <c r="W318" i="3"/>
  <c r="N318" i="3"/>
  <c r="K318" i="3"/>
  <c r="T318" i="3"/>
  <c r="V318" i="3"/>
  <c r="M318" i="3"/>
  <c r="H318" i="3"/>
  <c r="R318" i="3" l="1"/>
  <c r="Q318" i="3"/>
  <c r="S319" i="3"/>
  <c r="T319" i="3"/>
  <c r="U319" i="3"/>
  <c r="V319" i="3"/>
  <c r="W319" i="3"/>
  <c r="N319" i="3"/>
  <c r="K319" i="3"/>
  <c r="H319" i="3"/>
  <c r="M319" i="3"/>
  <c r="R319" i="3" l="1"/>
  <c r="Q319" i="3"/>
  <c r="V320" i="3"/>
  <c r="W320" i="3"/>
  <c r="N320" i="3"/>
  <c r="S320" i="3"/>
  <c r="T320" i="3"/>
  <c r="U320" i="3"/>
  <c r="K320" i="3"/>
  <c r="H320" i="3"/>
  <c r="M320" i="3"/>
  <c r="R320" i="3" l="1"/>
  <c r="Q320" i="3"/>
  <c r="S321" i="3"/>
  <c r="T321" i="3"/>
  <c r="W321" i="3"/>
  <c r="U321" i="3"/>
  <c r="V321" i="3"/>
  <c r="N321" i="3"/>
  <c r="K321" i="3"/>
  <c r="H321" i="3"/>
  <c r="M321" i="3"/>
  <c r="R321" i="3" l="1"/>
  <c r="Q321" i="3"/>
  <c r="T322" i="3"/>
  <c r="U322" i="3"/>
  <c r="V322" i="3"/>
  <c r="S322" i="3"/>
  <c r="W322" i="3"/>
  <c r="N322" i="3"/>
  <c r="K322" i="3"/>
  <c r="H322" i="3"/>
  <c r="M322" i="3"/>
  <c r="R322" i="3" l="1"/>
  <c r="Q322" i="3"/>
  <c r="W323" i="3"/>
  <c r="U323" i="3"/>
  <c r="S323" i="3"/>
  <c r="N323" i="3"/>
  <c r="T323" i="3"/>
  <c r="K323" i="3"/>
  <c r="V323" i="3"/>
  <c r="H323" i="3"/>
  <c r="M323" i="3"/>
  <c r="R323" i="3" l="1"/>
  <c r="Q323" i="3"/>
  <c r="S324" i="3"/>
  <c r="T324" i="3"/>
  <c r="V324" i="3"/>
  <c r="W324" i="3"/>
  <c r="N324" i="3"/>
  <c r="U324" i="3"/>
  <c r="K324" i="3"/>
  <c r="H324" i="3"/>
  <c r="M324" i="3"/>
  <c r="R324" i="3" l="1"/>
  <c r="Q324" i="3"/>
  <c r="U325" i="3"/>
  <c r="V325" i="3"/>
  <c r="W325" i="3"/>
  <c r="S325" i="3"/>
  <c r="T325" i="3"/>
  <c r="K325" i="3"/>
  <c r="N325" i="3"/>
  <c r="H325" i="3"/>
  <c r="M325" i="3"/>
  <c r="R325" i="3" l="1"/>
  <c r="Q325" i="3"/>
  <c r="T326" i="3"/>
  <c r="W326" i="3"/>
  <c r="U326" i="3"/>
  <c r="V326" i="3"/>
  <c r="K326" i="3"/>
  <c r="S326" i="3"/>
  <c r="N326" i="3"/>
  <c r="M326" i="3"/>
  <c r="H326" i="3"/>
  <c r="R326" i="3" l="1"/>
  <c r="Q326" i="3"/>
  <c r="S327" i="3"/>
  <c r="T327" i="3"/>
  <c r="U327" i="3"/>
  <c r="V327" i="3"/>
  <c r="W327" i="3"/>
  <c r="K327" i="3"/>
  <c r="N327" i="3"/>
  <c r="H327" i="3"/>
  <c r="M327" i="3"/>
  <c r="R327" i="3" l="1"/>
  <c r="Q327" i="3"/>
  <c r="V328" i="3"/>
  <c r="W328" i="3"/>
  <c r="U328" i="3"/>
  <c r="N328" i="3"/>
  <c r="S328" i="3"/>
  <c r="T328" i="3"/>
  <c r="K328" i="3"/>
  <c r="H328" i="3"/>
  <c r="M328" i="3"/>
  <c r="R328" i="3" l="1"/>
  <c r="Q328" i="3"/>
  <c r="S329" i="3"/>
  <c r="V329" i="3"/>
  <c r="W329" i="3"/>
  <c r="N329" i="3"/>
  <c r="T329" i="3"/>
  <c r="U329" i="3"/>
  <c r="K329" i="3"/>
  <c r="H329" i="3"/>
  <c r="M329" i="3"/>
  <c r="Q329" i="3" l="1"/>
  <c r="R329" i="3"/>
  <c r="T330" i="3"/>
  <c r="U330" i="3"/>
  <c r="V330" i="3"/>
  <c r="S330" i="3"/>
  <c r="N330" i="3"/>
  <c r="W330" i="3"/>
  <c r="K330" i="3"/>
  <c r="H330" i="3"/>
  <c r="M330" i="3"/>
  <c r="R330" i="3" l="1"/>
  <c r="Q330" i="3"/>
  <c r="W331" i="3"/>
  <c r="T331" i="3"/>
  <c r="N331" i="3"/>
  <c r="V331" i="3"/>
  <c r="S331" i="3"/>
  <c r="K331" i="3"/>
  <c r="U331" i="3"/>
  <c r="M331" i="3"/>
  <c r="H331" i="3"/>
  <c r="R331" i="3" l="1"/>
  <c r="Q331" i="3"/>
  <c r="S332" i="3"/>
  <c r="T332" i="3"/>
  <c r="U332" i="3"/>
  <c r="V332" i="3"/>
  <c r="W332" i="3"/>
  <c r="K332" i="3"/>
  <c r="N332" i="3"/>
  <c r="M332" i="3"/>
  <c r="H332" i="3"/>
  <c r="Q332" i="3" l="1"/>
  <c r="R332" i="3"/>
  <c r="U333" i="3"/>
  <c r="V333" i="3"/>
  <c r="W333" i="3"/>
  <c r="S333" i="3"/>
  <c r="T333" i="3"/>
  <c r="K333" i="3"/>
  <c r="N333" i="3"/>
  <c r="M333" i="3"/>
  <c r="H333" i="3"/>
  <c r="R333" i="3" l="1"/>
  <c r="S334" i="3"/>
  <c r="Q333" i="3"/>
  <c r="V334" i="3"/>
  <c r="W334" i="3"/>
  <c r="T334" i="3"/>
  <c r="U334" i="3"/>
  <c r="K334" i="3"/>
  <c r="N334" i="3"/>
  <c r="M334" i="3"/>
  <c r="H334" i="3"/>
  <c r="R334" i="3" l="1"/>
  <c r="Q334" i="3"/>
  <c r="S335" i="3"/>
  <c r="T335" i="3"/>
  <c r="U335" i="3"/>
  <c r="V335" i="3"/>
  <c r="W335" i="3"/>
  <c r="K335" i="3"/>
  <c r="N335" i="3"/>
  <c r="M335" i="3"/>
  <c r="H335" i="3"/>
  <c r="R335" i="3" l="1"/>
  <c r="Q335" i="3"/>
  <c r="V336" i="3"/>
  <c r="W336" i="3"/>
  <c r="T336" i="3"/>
  <c r="N336" i="3"/>
  <c r="S336" i="3"/>
  <c r="U336" i="3"/>
  <c r="K336" i="3"/>
  <c r="H336" i="3"/>
  <c r="M336" i="3"/>
  <c r="R336" i="3" l="1"/>
  <c r="Q336" i="3"/>
  <c r="S337" i="3"/>
  <c r="U337" i="3"/>
  <c r="V337" i="3"/>
  <c r="W337" i="3"/>
  <c r="T337" i="3"/>
  <c r="N337" i="3"/>
  <c r="K337" i="3"/>
  <c r="H337" i="3"/>
  <c r="M337" i="3"/>
  <c r="R337" i="3" l="1"/>
  <c r="Q337" i="3"/>
  <c r="T338" i="3"/>
  <c r="U338" i="3"/>
  <c r="V338" i="3"/>
  <c r="N338" i="3"/>
  <c r="S338" i="3"/>
  <c r="K338" i="3"/>
  <c r="W338" i="3"/>
  <c r="H338" i="3"/>
  <c r="M338" i="3"/>
  <c r="R338" i="3" l="1"/>
  <c r="Q338" i="3"/>
  <c r="W339" i="3"/>
  <c r="S339" i="3"/>
  <c r="V339" i="3"/>
  <c r="N339" i="3"/>
  <c r="U339" i="3"/>
  <c r="K339" i="3"/>
  <c r="T339" i="3"/>
  <c r="M339" i="3"/>
  <c r="H339" i="3"/>
  <c r="R339" i="3" l="1"/>
  <c r="Q339" i="3"/>
  <c r="S340" i="3"/>
  <c r="T340" i="3"/>
  <c r="U340" i="3"/>
  <c r="V340" i="3"/>
  <c r="W340" i="3"/>
  <c r="K340" i="3"/>
  <c r="N340" i="3"/>
  <c r="H340" i="3"/>
  <c r="M340" i="3"/>
  <c r="Q340" i="3" l="1"/>
  <c r="R340" i="3"/>
  <c r="U341" i="3"/>
  <c r="V341" i="3"/>
  <c r="W341" i="3"/>
  <c r="T341" i="3"/>
  <c r="K341" i="3"/>
  <c r="S341" i="3"/>
  <c r="N341" i="3"/>
  <c r="H341" i="3"/>
  <c r="M341" i="3"/>
  <c r="R341" i="3" l="1"/>
  <c r="Q341" i="3"/>
  <c r="U342" i="3"/>
  <c r="V342" i="3"/>
  <c r="W342" i="3"/>
  <c r="N342" i="3"/>
  <c r="S342" i="3"/>
  <c r="T342" i="3"/>
  <c r="K342" i="3"/>
  <c r="H342" i="3"/>
  <c r="M342" i="3"/>
  <c r="R342" i="3" l="1"/>
  <c r="Q342" i="3"/>
  <c r="S343" i="3"/>
  <c r="T343" i="3"/>
  <c r="U343" i="3"/>
  <c r="V343" i="3"/>
  <c r="N343" i="3"/>
  <c r="W343" i="3"/>
  <c r="K343" i="3"/>
  <c r="M343" i="3"/>
  <c r="H343" i="3"/>
  <c r="R343" i="3" l="1"/>
  <c r="Q343" i="3"/>
  <c r="V344" i="3"/>
  <c r="W344" i="3"/>
  <c r="S344" i="3"/>
  <c r="N344" i="3"/>
  <c r="T344" i="3"/>
  <c r="K344" i="3"/>
  <c r="U344" i="3"/>
  <c r="M344" i="3"/>
  <c r="H344" i="3"/>
  <c r="R344" i="3" l="1"/>
  <c r="Q344" i="3"/>
  <c r="S345" i="3"/>
  <c r="T345" i="3"/>
  <c r="U345" i="3"/>
  <c r="V345" i="3"/>
  <c r="W345" i="3"/>
  <c r="N345" i="3"/>
  <c r="K345" i="3"/>
  <c r="M345" i="3"/>
  <c r="H345" i="3"/>
  <c r="R345" i="3" l="1"/>
  <c r="Q345" i="3"/>
  <c r="T346" i="3"/>
  <c r="U346" i="3"/>
  <c r="V346" i="3"/>
  <c r="W346" i="3"/>
  <c r="N346" i="3"/>
  <c r="S346" i="3"/>
  <c r="K346" i="3"/>
  <c r="M346" i="3"/>
  <c r="H346" i="3"/>
  <c r="R346" i="3" l="1"/>
  <c r="Q346" i="3"/>
  <c r="W347" i="3"/>
  <c r="U347" i="3"/>
  <c r="V347" i="3"/>
  <c r="N347" i="3"/>
  <c r="S347" i="3"/>
  <c r="T347" i="3"/>
  <c r="K347" i="3"/>
  <c r="H347" i="3"/>
  <c r="M347" i="3"/>
  <c r="R347" i="3" l="1"/>
  <c r="Q347" i="3"/>
  <c r="S348" i="3"/>
  <c r="T348" i="3"/>
  <c r="U348" i="3"/>
  <c r="V348" i="3"/>
  <c r="W348" i="3"/>
  <c r="N348" i="3"/>
  <c r="K348" i="3"/>
  <c r="H348" i="3"/>
  <c r="M348" i="3"/>
  <c r="Q348" i="3" l="1"/>
  <c r="R348" i="3"/>
  <c r="U349" i="3"/>
  <c r="V349" i="3"/>
  <c r="W349" i="3"/>
  <c r="S349" i="3"/>
  <c r="T349" i="3"/>
  <c r="N349" i="3"/>
  <c r="K349" i="3"/>
  <c r="H349" i="3"/>
  <c r="M349" i="3"/>
  <c r="R349" i="3" l="1"/>
  <c r="Q349" i="3"/>
  <c r="T350" i="3"/>
  <c r="U350" i="3"/>
  <c r="V350" i="3"/>
  <c r="W350" i="3"/>
  <c r="K350" i="3"/>
  <c r="S350" i="3"/>
  <c r="N350" i="3"/>
  <c r="M350" i="3"/>
  <c r="H350" i="3"/>
  <c r="R350" i="3" l="1"/>
  <c r="Q350" i="3"/>
  <c r="S351" i="3"/>
  <c r="T351" i="3"/>
  <c r="U351" i="3"/>
  <c r="W351" i="3"/>
  <c r="K351" i="3"/>
  <c r="N351" i="3"/>
  <c r="V351" i="3"/>
  <c r="H351" i="3"/>
  <c r="M351" i="3"/>
  <c r="R351" i="3" l="1"/>
  <c r="Q351" i="3"/>
  <c r="V352" i="3"/>
  <c r="W352" i="3"/>
  <c r="U352" i="3"/>
  <c r="N352" i="3"/>
  <c r="K352" i="3"/>
  <c r="S352" i="3"/>
  <c r="T352" i="3"/>
  <c r="H352" i="3"/>
  <c r="M352" i="3"/>
  <c r="R352" i="3" l="1"/>
  <c r="Q352" i="3"/>
  <c r="S353" i="3"/>
  <c r="T353" i="3"/>
  <c r="U353" i="3"/>
  <c r="V353" i="3"/>
  <c r="W353" i="3"/>
  <c r="N353" i="3"/>
  <c r="K353" i="3"/>
  <c r="H353" i="3"/>
  <c r="M353" i="3"/>
  <c r="R353" i="3" l="1"/>
  <c r="Q353" i="3"/>
  <c r="T354" i="3"/>
  <c r="U354" i="3"/>
  <c r="V354" i="3"/>
  <c r="S354" i="3"/>
  <c r="N354" i="3"/>
  <c r="W354" i="3"/>
  <c r="K354" i="3"/>
  <c r="H354" i="3"/>
  <c r="M354" i="3"/>
  <c r="R354" i="3" l="1"/>
  <c r="Q354" i="3"/>
  <c r="W355" i="3"/>
  <c r="T355" i="3"/>
  <c r="U355" i="3"/>
  <c r="V355" i="3"/>
  <c r="N355" i="3"/>
  <c r="S355" i="3"/>
  <c r="K355" i="3"/>
  <c r="M355" i="3"/>
  <c r="H355" i="3"/>
  <c r="R355" i="3" l="1"/>
  <c r="Q355" i="3"/>
  <c r="S356" i="3"/>
  <c r="T356" i="3"/>
  <c r="W356" i="3"/>
  <c r="U356" i="3"/>
  <c r="N356" i="3"/>
  <c r="K356" i="3"/>
  <c r="V356" i="3"/>
  <c r="H356" i="3"/>
  <c r="M356" i="3"/>
  <c r="Q356" i="3" l="1"/>
  <c r="R356" i="3"/>
  <c r="U357" i="3"/>
  <c r="V357" i="3"/>
  <c r="W357" i="3"/>
  <c r="N357" i="3"/>
  <c r="S357" i="3"/>
  <c r="K357" i="3"/>
  <c r="T357" i="3"/>
  <c r="H357" i="3"/>
  <c r="M357" i="3"/>
  <c r="R357" i="3" l="1"/>
  <c r="Q357" i="3"/>
  <c r="S358" i="3"/>
  <c r="T358" i="3"/>
  <c r="U358" i="3"/>
  <c r="V358" i="3"/>
  <c r="N358" i="3"/>
  <c r="K358" i="3"/>
  <c r="W358" i="3"/>
  <c r="M358" i="3"/>
  <c r="H358" i="3"/>
  <c r="R358" i="3" l="1"/>
  <c r="Q358" i="3"/>
  <c r="S359" i="3"/>
  <c r="T359" i="3"/>
  <c r="U359" i="3"/>
  <c r="V359" i="3"/>
  <c r="N359" i="3"/>
  <c r="K359" i="3"/>
  <c r="W359" i="3"/>
  <c r="H359" i="3"/>
  <c r="M359" i="3"/>
  <c r="R359" i="3" l="1"/>
  <c r="Q359" i="3"/>
  <c r="V360" i="3"/>
  <c r="W360" i="3"/>
  <c r="T360" i="3"/>
  <c r="N360" i="3"/>
  <c r="U360" i="3"/>
  <c r="S360" i="3"/>
  <c r="K360" i="3"/>
  <c r="H360" i="3"/>
  <c r="M360" i="3"/>
  <c r="R360" i="3" l="1"/>
  <c r="Q360" i="3"/>
  <c r="S361" i="3"/>
  <c r="W361" i="3"/>
  <c r="T361" i="3"/>
  <c r="U361" i="3"/>
  <c r="V361" i="3"/>
  <c r="N361" i="3"/>
  <c r="K361" i="3"/>
  <c r="M361" i="3"/>
  <c r="H361" i="3"/>
  <c r="R361" i="3" l="1"/>
  <c r="Q361" i="3"/>
  <c r="T362" i="3"/>
  <c r="U362" i="3"/>
  <c r="V362" i="3"/>
  <c r="N362" i="3"/>
  <c r="S362" i="3"/>
  <c r="W362" i="3"/>
  <c r="K362" i="3"/>
  <c r="M362" i="3"/>
  <c r="H362" i="3"/>
  <c r="R362" i="3" l="1"/>
  <c r="Q362" i="3"/>
  <c r="W363" i="3"/>
  <c r="S363" i="3"/>
  <c r="T363" i="3"/>
  <c r="U363" i="3"/>
  <c r="V363" i="3"/>
  <c r="N363" i="3"/>
  <c r="K363" i="3"/>
  <c r="M363" i="3"/>
  <c r="H363" i="3"/>
  <c r="Q363" i="3" l="1"/>
  <c r="R363" i="3"/>
  <c r="S364" i="3"/>
  <c r="T364" i="3"/>
  <c r="V364" i="3"/>
  <c r="K364" i="3"/>
  <c r="U364" i="3"/>
  <c r="W364" i="3"/>
  <c r="N364" i="3"/>
  <c r="M364" i="3"/>
  <c r="H364" i="3"/>
  <c r="R364" i="3" l="1"/>
  <c r="Q364" i="3"/>
  <c r="U365" i="3"/>
  <c r="V365" i="3"/>
  <c r="W365" i="3"/>
  <c r="T365" i="3"/>
  <c r="K365" i="3"/>
  <c r="N365" i="3"/>
  <c r="S365" i="3"/>
  <c r="H365" i="3"/>
  <c r="M365" i="3"/>
  <c r="R365" i="3" l="1"/>
  <c r="Q365" i="3"/>
  <c r="S366" i="3"/>
  <c r="T366" i="3"/>
  <c r="U366" i="3"/>
  <c r="W366" i="3"/>
  <c r="K366" i="3"/>
  <c r="V366" i="3"/>
  <c r="N366" i="3"/>
  <c r="H366" i="3"/>
  <c r="M366" i="3"/>
  <c r="R366" i="3" l="1"/>
  <c r="Q366" i="3"/>
  <c r="S367" i="3"/>
  <c r="T367" i="3"/>
  <c r="U367" i="3"/>
  <c r="V367" i="3"/>
  <c r="N367" i="3"/>
  <c r="W367" i="3"/>
  <c r="K367" i="3"/>
  <c r="H367" i="3"/>
  <c r="M367" i="3"/>
  <c r="R367" i="3" l="1"/>
  <c r="Q367" i="3"/>
  <c r="V368" i="3"/>
  <c r="W368" i="3"/>
  <c r="S368" i="3"/>
  <c r="N368" i="3"/>
  <c r="T368" i="3"/>
  <c r="U368" i="3"/>
  <c r="K368" i="3"/>
  <c r="M368" i="3"/>
  <c r="H368" i="3"/>
  <c r="R368" i="3" l="1"/>
  <c r="Q368" i="3"/>
  <c r="S369" i="3"/>
  <c r="T369" i="3"/>
  <c r="N369" i="3"/>
  <c r="U369" i="3"/>
  <c r="V369" i="3"/>
  <c r="W369" i="3"/>
  <c r="K369" i="3"/>
  <c r="M369" i="3"/>
  <c r="H369" i="3"/>
  <c r="R369" i="3" l="1"/>
  <c r="Q369" i="3"/>
  <c r="T370" i="3"/>
  <c r="U370" i="3"/>
  <c r="V370" i="3"/>
  <c r="W370" i="3"/>
  <c r="N370" i="3"/>
  <c r="S370" i="3"/>
  <c r="K370" i="3"/>
  <c r="H370" i="3"/>
  <c r="M370" i="3"/>
  <c r="R370" i="3" l="1"/>
  <c r="Q370" i="3"/>
  <c r="W371" i="3"/>
  <c r="S371" i="3"/>
  <c r="T371" i="3"/>
  <c r="U371" i="3"/>
  <c r="N371" i="3"/>
  <c r="K371" i="3"/>
  <c r="V371" i="3"/>
  <c r="M371" i="3"/>
  <c r="H371" i="3"/>
  <c r="R371" i="3" l="1"/>
  <c r="Q371" i="3"/>
  <c r="S372" i="3"/>
  <c r="T372" i="3"/>
  <c r="U372" i="3"/>
  <c r="V372" i="3"/>
  <c r="W372" i="3"/>
  <c r="N372" i="3"/>
  <c r="K372" i="3"/>
  <c r="H372" i="3"/>
  <c r="M372" i="3"/>
  <c r="Q372" i="3" l="1"/>
  <c r="R372" i="3"/>
  <c r="U373" i="3"/>
  <c r="V373" i="3"/>
  <c r="W373" i="3"/>
  <c r="S373" i="3"/>
  <c r="T373" i="3"/>
  <c r="K373" i="3"/>
  <c r="N373" i="3"/>
  <c r="H373" i="3"/>
  <c r="M373" i="3"/>
  <c r="R373" i="3" l="1"/>
  <c r="Q373" i="3"/>
  <c r="S374" i="3"/>
  <c r="T374" i="3"/>
  <c r="U374" i="3"/>
  <c r="K374" i="3"/>
  <c r="V374" i="3"/>
  <c r="W374" i="3"/>
  <c r="N374" i="3"/>
  <c r="M374" i="3"/>
  <c r="H374" i="3"/>
  <c r="R374" i="3" l="1"/>
  <c r="Q374" i="3"/>
  <c r="S375" i="3"/>
  <c r="T375" i="3"/>
  <c r="U375" i="3"/>
  <c r="W375" i="3"/>
  <c r="K375" i="3"/>
  <c r="V375" i="3"/>
  <c r="N375" i="3"/>
  <c r="H375" i="3"/>
  <c r="M375" i="3"/>
  <c r="R375" i="3" l="1"/>
  <c r="Q375" i="3"/>
  <c r="V376" i="3"/>
  <c r="N376" i="3"/>
  <c r="S376" i="3"/>
  <c r="T376" i="3"/>
  <c r="U376" i="3"/>
  <c r="W376" i="3"/>
  <c r="K376" i="3"/>
  <c r="H376" i="3"/>
  <c r="M376" i="3"/>
  <c r="R376" i="3" l="1"/>
  <c r="Q376" i="3"/>
  <c r="S377" i="3"/>
  <c r="W377" i="3"/>
  <c r="T377" i="3"/>
  <c r="U377" i="3"/>
  <c r="V377" i="3"/>
  <c r="K377" i="3"/>
  <c r="N377" i="3"/>
  <c r="H377" i="3"/>
  <c r="M377" i="3"/>
  <c r="R377" i="3" l="1"/>
  <c r="Q377" i="3"/>
  <c r="T378" i="3"/>
  <c r="V378" i="3"/>
  <c r="S378" i="3"/>
  <c r="U378" i="3"/>
  <c r="N378" i="3"/>
  <c r="W378" i="3"/>
  <c r="K378" i="3"/>
  <c r="H378" i="3"/>
  <c r="M378" i="3"/>
  <c r="R378" i="3" l="1"/>
  <c r="Q378" i="3"/>
  <c r="W379" i="3"/>
  <c r="N379" i="3"/>
  <c r="S379" i="3"/>
  <c r="T379" i="3"/>
  <c r="U379" i="3"/>
  <c r="V379" i="3"/>
  <c r="K379" i="3"/>
  <c r="M379" i="3"/>
  <c r="H379" i="3"/>
  <c r="Q379" i="3" l="1"/>
  <c r="R379" i="3"/>
  <c r="T380" i="3"/>
  <c r="S380" i="3"/>
  <c r="U380" i="3"/>
  <c r="V380" i="3"/>
  <c r="W380" i="3"/>
  <c r="N380" i="3"/>
  <c r="K380" i="3"/>
  <c r="H380" i="3"/>
  <c r="M380" i="3"/>
  <c r="R380" i="3" l="1"/>
  <c r="Q380" i="3"/>
  <c r="U381" i="3"/>
  <c r="W381" i="3"/>
  <c r="V381" i="3"/>
  <c r="N381" i="3"/>
  <c r="K381" i="3"/>
  <c r="T381" i="3"/>
  <c r="S381" i="3"/>
  <c r="M381" i="3"/>
  <c r="H381" i="3"/>
  <c r="R381" i="3" l="1"/>
  <c r="Q381" i="3"/>
  <c r="T382" i="3"/>
  <c r="U382" i="3"/>
  <c r="V382" i="3"/>
  <c r="W382" i="3"/>
  <c r="S382" i="3"/>
  <c r="N382" i="3"/>
  <c r="K382" i="3"/>
  <c r="M382" i="3"/>
  <c r="H382" i="3"/>
  <c r="R382" i="3" l="1"/>
  <c r="Q382" i="3"/>
  <c r="S383" i="3"/>
  <c r="U383" i="3"/>
  <c r="T383" i="3"/>
  <c r="N383" i="3"/>
  <c r="V383" i="3"/>
  <c r="K383" i="3"/>
  <c r="W383" i="3"/>
  <c r="M383" i="3"/>
  <c r="H383" i="3"/>
  <c r="R383" i="3" l="1"/>
  <c r="Q383" i="3"/>
  <c r="V384" i="3"/>
  <c r="T384" i="3"/>
  <c r="N384" i="3"/>
  <c r="U384" i="3"/>
  <c r="W384" i="3"/>
  <c r="K384" i="3"/>
  <c r="S384" i="3"/>
  <c r="H384" i="3"/>
  <c r="M384" i="3"/>
  <c r="R384" i="3" l="1"/>
  <c r="Q384" i="3"/>
  <c r="S385" i="3"/>
  <c r="T385" i="3"/>
  <c r="W385" i="3"/>
  <c r="N385" i="3"/>
  <c r="U385" i="3"/>
  <c r="K385" i="3"/>
  <c r="V385" i="3"/>
  <c r="H385" i="3"/>
  <c r="M385" i="3"/>
  <c r="R385" i="3" l="1"/>
  <c r="Q385" i="3"/>
  <c r="T386" i="3"/>
  <c r="V386" i="3"/>
  <c r="U386" i="3"/>
  <c r="W386" i="3"/>
  <c r="N386" i="3"/>
  <c r="S386" i="3"/>
  <c r="K386" i="3"/>
  <c r="H386" i="3"/>
  <c r="M386" i="3"/>
  <c r="R386" i="3" l="1"/>
  <c r="Q386" i="3"/>
  <c r="W387" i="3"/>
  <c r="S387" i="3"/>
  <c r="T387" i="3"/>
  <c r="N387" i="3"/>
  <c r="U387" i="3"/>
  <c r="V387" i="3"/>
  <c r="K387" i="3"/>
  <c r="H387" i="3"/>
  <c r="M387" i="3"/>
  <c r="R387" i="3" l="1"/>
  <c r="Q387" i="3"/>
  <c r="T388" i="3"/>
  <c r="V388" i="3"/>
  <c r="W388" i="3"/>
  <c r="S388" i="3"/>
  <c r="N388" i="3"/>
  <c r="K388" i="3"/>
  <c r="U388" i="3"/>
  <c r="M388" i="3"/>
  <c r="H388" i="3"/>
  <c r="R388" i="3" l="1"/>
  <c r="Q388" i="3"/>
  <c r="U389" i="3"/>
  <c r="W389" i="3"/>
  <c r="S389" i="3"/>
  <c r="T389" i="3"/>
  <c r="V389" i="3"/>
  <c r="K389" i="3"/>
  <c r="N389" i="3"/>
  <c r="M389" i="3"/>
  <c r="H389" i="3"/>
  <c r="R389" i="3" l="1"/>
  <c r="Q389" i="3"/>
  <c r="V390" i="3"/>
  <c r="W390" i="3"/>
  <c r="S390" i="3"/>
  <c r="T390" i="3"/>
  <c r="U390" i="3"/>
  <c r="K390" i="3"/>
  <c r="N390" i="3"/>
  <c r="M390" i="3"/>
  <c r="H390" i="3"/>
  <c r="R390" i="3" l="1"/>
  <c r="Q390" i="3"/>
  <c r="S391" i="3"/>
  <c r="U391" i="3"/>
  <c r="T391" i="3"/>
  <c r="V391" i="3"/>
  <c r="W391" i="3"/>
  <c r="K391" i="3"/>
  <c r="N391" i="3"/>
  <c r="M391" i="3"/>
  <c r="H391" i="3"/>
  <c r="R391" i="3" l="1"/>
  <c r="Q391" i="3"/>
  <c r="V392" i="3"/>
  <c r="W392" i="3"/>
  <c r="N392" i="3"/>
  <c r="S392" i="3"/>
  <c r="T392" i="3"/>
  <c r="K392" i="3"/>
  <c r="U392" i="3"/>
  <c r="H392" i="3"/>
  <c r="M392" i="3"/>
  <c r="R392" i="3" l="1"/>
  <c r="S393" i="3"/>
  <c r="Q392" i="3"/>
  <c r="T393" i="3"/>
  <c r="U393" i="3"/>
  <c r="V393" i="3"/>
  <c r="N393" i="3"/>
  <c r="K393" i="3"/>
  <c r="W393" i="3"/>
  <c r="M393" i="3"/>
  <c r="H393" i="3"/>
  <c r="Q393" i="3" l="1"/>
  <c r="T394" i="3"/>
  <c r="R393" i="3"/>
  <c r="V394" i="3"/>
  <c r="N394" i="3"/>
  <c r="U394" i="3"/>
  <c r="W394" i="3"/>
  <c r="S394" i="3"/>
  <c r="K394" i="3"/>
  <c r="M394" i="3"/>
  <c r="H394" i="3"/>
  <c r="R394" i="3" l="1"/>
  <c r="Q394" i="3"/>
  <c r="W395" i="3"/>
  <c r="S395" i="3"/>
  <c r="T395" i="3"/>
  <c r="U395" i="3"/>
  <c r="V395" i="3"/>
  <c r="N395" i="3"/>
  <c r="K395" i="3"/>
  <c r="H395" i="3"/>
  <c r="M395" i="3"/>
  <c r="R395" i="3" l="1"/>
  <c r="Q395" i="3"/>
  <c r="T396" i="3"/>
  <c r="K396" i="3"/>
  <c r="N396" i="3"/>
  <c r="S396" i="3"/>
  <c r="U396" i="3"/>
  <c r="V396" i="3"/>
  <c r="W396" i="3"/>
  <c r="M396" i="3"/>
  <c r="H396" i="3"/>
  <c r="Q396" i="3" l="1"/>
  <c r="R396" i="3"/>
  <c r="U397" i="3"/>
  <c r="W397" i="3"/>
  <c r="S397" i="3"/>
  <c r="T397" i="3"/>
  <c r="V397" i="3"/>
  <c r="K397" i="3"/>
  <c r="N397" i="3"/>
  <c r="H397" i="3"/>
  <c r="M397" i="3"/>
  <c r="R397" i="3" l="1"/>
  <c r="Q397" i="3"/>
  <c r="S398" i="3"/>
  <c r="U398" i="3"/>
  <c r="V398" i="3"/>
  <c r="W398" i="3"/>
  <c r="K398" i="3"/>
  <c r="N398" i="3"/>
  <c r="T398" i="3"/>
  <c r="H398" i="3"/>
  <c r="M398" i="3"/>
  <c r="R398" i="3" l="1"/>
  <c r="Q398" i="3"/>
  <c r="S399" i="3"/>
  <c r="T399" i="3"/>
  <c r="U399" i="3"/>
  <c r="V399" i="3"/>
  <c r="W399" i="3"/>
  <c r="K399" i="3"/>
  <c r="N399" i="3"/>
  <c r="M399" i="3"/>
  <c r="H399" i="3"/>
  <c r="R399" i="3" l="1"/>
  <c r="Q399" i="3"/>
  <c r="V400" i="3"/>
  <c r="N400" i="3"/>
  <c r="W400" i="3"/>
  <c r="S400" i="3"/>
  <c r="K400" i="3"/>
  <c r="T400" i="3"/>
  <c r="U400" i="3"/>
  <c r="H400" i="3"/>
  <c r="M400" i="3"/>
  <c r="R400" i="3" l="1"/>
  <c r="Q400" i="3"/>
  <c r="S401" i="3"/>
  <c r="T401" i="3"/>
  <c r="V401" i="3"/>
  <c r="W401" i="3"/>
  <c r="N401" i="3"/>
  <c r="K401" i="3"/>
  <c r="U401" i="3"/>
  <c r="H401" i="3"/>
  <c r="M401" i="3"/>
  <c r="R401" i="3" l="1"/>
  <c r="Q401" i="3"/>
  <c r="T402" i="3"/>
  <c r="V402" i="3"/>
  <c r="N402" i="3"/>
  <c r="W402" i="3"/>
  <c r="S402" i="3"/>
  <c r="U402" i="3"/>
  <c r="K402" i="3"/>
  <c r="H402" i="3"/>
  <c r="M402" i="3"/>
  <c r="R402" i="3" l="1"/>
  <c r="Q402" i="3"/>
  <c r="W403" i="3"/>
  <c r="N403" i="3"/>
  <c r="S403" i="3"/>
  <c r="T403" i="3"/>
  <c r="V403" i="3"/>
  <c r="K403" i="3"/>
  <c r="U403" i="3"/>
  <c r="H403" i="3"/>
  <c r="M403" i="3"/>
  <c r="Q403" i="3" l="1"/>
  <c r="R403" i="3"/>
  <c r="T404" i="3"/>
  <c r="U404" i="3"/>
  <c r="S404" i="3"/>
  <c r="V404" i="3"/>
  <c r="K404" i="3"/>
  <c r="W404" i="3"/>
  <c r="N404" i="3"/>
  <c r="M404" i="3"/>
  <c r="H404" i="3"/>
  <c r="Q404" i="3" l="1"/>
  <c r="R404" i="3"/>
  <c r="U405" i="3"/>
  <c r="W405" i="3"/>
  <c r="N405" i="3"/>
  <c r="S405" i="3"/>
  <c r="T405" i="3"/>
  <c r="K405" i="3"/>
  <c r="V405" i="3"/>
  <c r="M405" i="3"/>
  <c r="H405" i="3"/>
  <c r="R405" i="3" l="1"/>
  <c r="Q405" i="3"/>
  <c r="S406" i="3"/>
  <c r="V406" i="3"/>
  <c r="W406" i="3"/>
  <c r="N406" i="3"/>
  <c r="K406" i="3"/>
  <c r="T406" i="3"/>
  <c r="U406" i="3"/>
  <c r="H406" i="3"/>
  <c r="M406" i="3"/>
  <c r="R406" i="3" l="1"/>
  <c r="Q406" i="3"/>
  <c r="S407" i="3"/>
  <c r="U407" i="3"/>
  <c r="V407" i="3"/>
  <c r="T407" i="3"/>
  <c r="N407" i="3"/>
  <c r="W407" i="3"/>
  <c r="K407" i="3"/>
  <c r="M407" i="3"/>
  <c r="H407" i="3"/>
  <c r="R407" i="3" l="1"/>
  <c r="Q407" i="3"/>
  <c r="V408" i="3"/>
  <c r="N408" i="3"/>
  <c r="S408" i="3"/>
  <c r="K408" i="3"/>
  <c r="W408" i="3"/>
  <c r="T408" i="3"/>
  <c r="U408" i="3"/>
  <c r="H408" i="3"/>
  <c r="M408" i="3"/>
  <c r="R408" i="3" l="1"/>
  <c r="Q408" i="3"/>
  <c r="S409" i="3"/>
  <c r="T409" i="3"/>
  <c r="U409" i="3"/>
  <c r="V409" i="3"/>
  <c r="W409" i="3"/>
  <c r="N409" i="3"/>
  <c r="K409" i="3"/>
  <c r="H409" i="3"/>
  <c r="M409" i="3"/>
  <c r="R409" i="3" l="1"/>
  <c r="Q409" i="3"/>
  <c r="T410" i="3"/>
  <c r="V410" i="3"/>
  <c r="N410" i="3"/>
  <c r="W410" i="3"/>
  <c r="S410" i="3"/>
  <c r="U410" i="3"/>
  <c r="K410" i="3"/>
  <c r="M410" i="3"/>
  <c r="H410" i="3"/>
  <c r="R410" i="3" l="1"/>
  <c r="Q410" i="3"/>
</calcChain>
</file>

<file path=xl/sharedStrings.xml><?xml version="1.0" encoding="utf-8"?>
<sst xmlns="http://schemas.openxmlformats.org/spreadsheetml/2006/main" count="340" uniqueCount="205">
  <si>
    <t>General Information</t>
  </si>
  <si>
    <t>Management Information</t>
  </si>
  <si>
    <t>Insured Name</t>
  </si>
  <si>
    <t>Management Company</t>
  </si>
  <si>
    <t>Effective Date</t>
  </si>
  <si>
    <t>Contact Name</t>
  </si>
  <si>
    <t>Location Address</t>
  </si>
  <si>
    <t>Address</t>
  </si>
  <si>
    <t>Location City</t>
  </si>
  <si>
    <t>City</t>
  </si>
  <si>
    <t>Location State</t>
  </si>
  <si>
    <t>State</t>
  </si>
  <si>
    <t>Location Zip</t>
  </si>
  <si>
    <t>Zip</t>
  </si>
  <si>
    <t>Association Type</t>
  </si>
  <si>
    <t>Phone</t>
  </si>
  <si>
    <t>Total Planned Units</t>
  </si>
  <si>
    <t>Email</t>
  </si>
  <si>
    <t xml:space="preserve">Number of Completed Units </t>
  </si>
  <si>
    <t>Self-Managed</t>
  </si>
  <si>
    <t>Association By-Laws Coverage/Insuring Agreement</t>
  </si>
  <si>
    <t>Target Premium</t>
  </si>
  <si>
    <t>Need by Date</t>
  </si>
  <si>
    <t>Sum of Losses Past 4 years</t>
  </si>
  <si>
    <t>Property Information</t>
  </si>
  <si>
    <t>Number of Stories</t>
  </si>
  <si>
    <t>Livable Square Footage</t>
  </si>
  <si>
    <t>Number of Buildings</t>
  </si>
  <si>
    <t>Parking Square Footage</t>
  </si>
  <si>
    <t>Roof Type</t>
  </si>
  <si>
    <t>Parking Type</t>
  </si>
  <si>
    <t>Building Valuation Type</t>
  </si>
  <si>
    <t>Smoke Detectors</t>
  </si>
  <si>
    <t>Building Replacement Cost</t>
  </si>
  <si>
    <t>Sprinklered</t>
  </si>
  <si>
    <t>Blanket Outdoor Property</t>
  </si>
  <si>
    <t>Year of Construction</t>
  </si>
  <si>
    <t>Business Personal Property/Contents</t>
  </si>
  <si>
    <t>Construction Type</t>
  </si>
  <si>
    <t>Total Insurable Value</t>
  </si>
  <si>
    <t>Cost per Square Foot</t>
  </si>
  <si>
    <t>Exposure Information</t>
  </si>
  <si>
    <t>Common Exposures</t>
  </si>
  <si>
    <t>Quantity</t>
  </si>
  <si>
    <t>Unit of Measure</t>
  </si>
  <si>
    <t>Misc. Notes</t>
  </si>
  <si>
    <t>Playgrounds</t>
  </si>
  <si>
    <t>Number</t>
  </si>
  <si>
    <t>Streets</t>
  </si>
  <si>
    <t>Miles</t>
  </si>
  <si>
    <t>Pools</t>
  </si>
  <si>
    <t>Spas</t>
  </si>
  <si>
    <t>Wader Pools</t>
  </si>
  <si>
    <t>Restroom Building</t>
  </si>
  <si>
    <t>Sq Ft</t>
  </si>
  <si>
    <t>Guardhouse</t>
  </si>
  <si>
    <t>Clubhouse</t>
  </si>
  <si>
    <t>Fitness Center</t>
  </si>
  <si>
    <t>Tennis Courts</t>
  </si>
  <si>
    <t>Basketball Courts</t>
  </si>
  <si>
    <t>Other Sport Courts</t>
  </si>
  <si>
    <t>Walking / Biking Trails</t>
  </si>
  <si>
    <t>Lakes or Ponds</t>
  </si>
  <si>
    <t>Boat Docks and Slips</t>
  </si>
  <si>
    <t>Dog Parks</t>
  </si>
  <si>
    <t>Elevators</t>
  </si>
  <si>
    <t>Commercial Exposure</t>
  </si>
  <si>
    <t>Other:</t>
  </si>
  <si>
    <t>Coverage Type</t>
  </si>
  <si>
    <t>Limit</t>
  </si>
  <si>
    <t>General Liability</t>
  </si>
  <si>
    <t>Equipment Breakdown</t>
  </si>
  <si>
    <t>Building Ordinance A</t>
  </si>
  <si>
    <t>Sewer or Drain Back Up</t>
  </si>
  <si>
    <t>Building Ordinance B</t>
  </si>
  <si>
    <t>Business Income</t>
  </si>
  <si>
    <t>Building Ordinance C</t>
  </si>
  <si>
    <t>Hired and Non-Owned Auto</t>
  </si>
  <si>
    <t>Unit #s (if applicable)</t>
  </si>
  <si>
    <t>Replacement Cost</t>
  </si>
  <si>
    <t># of Units</t>
  </si>
  <si>
    <t>Garage Square Footage</t>
  </si>
  <si>
    <t>Commercial Sq Ft
(if any)</t>
  </si>
  <si>
    <t>Building Class</t>
  </si>
  <si>
    <t xml:space="preserve"> Cost / Unit  (Suggested)</t>
  </si>
  <si>
    <t>Walls/Fences</t>
  </si>
  <si>
    <t>Sidewalks/Curbs/Walkways/Pavers</t>
  </si>
  <si>
    <t>Irrigation System</t>
  </si>
  <si>
    <t>Lights/Poles</t>
  </si>
  <si>
    <t>Mailboxes</t>
  </si>
  <si>
    <t>Signs/Monuments/Fire Hydrants</t>
  </si>
  <si>
    <t>Gates/Entry Features</t>
  </si>
  <si>
    <t>Ramada/Cabana</t>
  </si>
  <si>
    <t>Park Furniture</t>
  </si>
  <si>
    <t>Trashcans</t>
  </si>
  <si>
    <t xml:space="preserve">BBQ Grills </t>
  </si>
  <si>
    <t>Drinking Fountains</t>
  </si>
  <si>
    <t>Doggie Stations</t>
  </si>
  <si>
    <t>Drywells</t>
  </si>
  <si>
    <t>Include?</t>
  </si>
  <si>
    <t>Policy Type</t>
  </si>
  <si>
    <t xml:space="preserve">Eff date </t>
  </si>
  <si>
    <t>Base Premium</t>
  </si>
  <si>
    <t>Issuing Loc</t>
  </si>
  <si>
    <t>Bill Type</t>
  </si>
  <si>
    <t>Profit Center</t>
  </si>
  <si>
    <t>Issuing Co</t>
  </si>
  <si>
    <t>Premium Payable</t>
  </si>
  <si>
    <t>Prefill</t>
  </si>
  <si>
    <t>Pr/Br Comission</t>
  </si>
  <si>
    <t>Servicing/CSR</t>
  </si>
  <si>
    <t>Category</t>
  </si>
  <si>
    <t>Limits</t>
  </si>
  <si>
    <t>Yes</t>
  </si>
  <si>
    <t>CPKG/GLIA</t>
  </si>
  <si>
    <t>CA</t>
  </si>
  <si>
    <t>Agency</t>
  </si>
  <si>
    <t>HOUS</t>
  </si>
  <si>
    <t>Accelerant</t>
  </si>
  <si>
    <t>Arden</t>
  </si>
  <si>
    <t>1/2 GL</t>
  </si>
  <si>
    <t>Greg Meyers</t>
  </si>
  <si>
    <t>Megan Fitzgerald</t>
  </si>
  <si>
    <t>Condo Habitational</t>
  </si>
  <si>
    <t>Aggregate: 2M, Product: 2M, Personal: 1M, Occurrence: 1M, Damage: 100k, Medical: 5k</t>
  </si>
  <si>
    <t>CPKG/BAUT</t>
  </si>
  <si>
    <t>Business Auto</t>
  </si>
  <si>
    <t>1m Auto</t>
  </si>
  <si>
    <t>CPKG/PROP</t>
  </si>
  <si>
    <t>Property</t>
  </si>
  <si>
    <t>$25,860,710 / 10k ded</t>
  </si>
  <si>
    <t>WC</t>
  </si>
  <si>
    <t>Direct</t>
  </si>
  <si>
    <t xml:space="preserve">PMA </t>
  </si>
  <si>
    <t>CAIS</t>
  </si>
  <si>
    <t>Work Comp</t>
  </si>
  <si>
    <t>1M</t>
  </si>
  <si>
    <t>Crime</t>
  </si>
  <si>
    <t>Employee Dishonesty: 525k/1k ded, Computer and Funds Fraud: 525k/1k ded</t>
  </si>
  <si>
    <t>D&amp;O</t>
  </si>
  <si>
    <t>Philadelphia</t>
  </si>
  <si>
    <t>Gigins</t>
  </si>
  <si>
    <t>N/A</t>
  </si>
  <si>
    <t>1M/1k ded</t>
  </si>
  <si>
    <t>Umbrella</t>
  </si>
  <si>
    <t>Firemans Fund</t>
  </si>
  <si>
    <t>Trivedi</t>
  </si>
  <si>
    <t xml:space="preserve">2M  </t>
  </si>
  <si>
    <t>Description of Operations</t>
  </si>
  <si>
    <t>HOA consists of 71 units. Located in Pleasanton, CA 94588.
Management Company is Additionally Insured on the General Liability, D&amp;O Liability, and Fidelity Bond.
See 2nd page of certificate of insurance for further coverage information.</t>
  </si>
  <si>
    <t>Single Entity Coverage (Walls In, excluding Improvements and Betterments)</t>
  </si>
  <si>
    <t>Coverage Includes:
Wind/Hail
Equipment Breakdown
Building Ordinance or Law A+B+C
Inflation Guard and/or limits are reviewed yearly to ensure 100% Replacement Cost
Severability of Interest / Separation of Insureds
Computer Fraud &amp; Funds Transfer Fraud
Waiver of Rights of Recovery
No Co-Insurance
D&amp;O is a Claims-Made Policy
Hired and Non-Owned Auto Liability</t>
  </si>
  <si>
    <t>Yes/No</t>
  </si>
  <si>
    <t>Insuring Agreement</t>
  </si>
  <si>
    <t>Valuation Type</t>
  </si>
  <si>
    <t>GL Limits</t>
  </si>
  <si>
    <t>NO</t>
  </si>
  <si>
    <t>PUD</t>
  </si>
  <si>
    <t>Bare Walls</t>
  </si>
  <si>
    <t>Battery</t>
  </si>
  <si>
    <t>Frame</t>
  </si>
  <si>
    <t>Tile</t>
  </si>
  <si>
    <t>1,000,000/2,000,000</t>
  </si>
  <si>
    <t>Habitational over Garage</t>
  </si>
  <si>
    <t>YES</t>
  </si>
  <si>
    <t>CONDO</t>
  </si>
  <si>
    <t>Single Entity</t>
  </si>
  <si>
    <t>Extended Replacement Cost</t>
  </si>
  <si>
    <t>Hard-Wired</t>
  </si>
  <si>
    <t>Joisted Masonry</t>
  </si>
  <si>
    <t>Comp</t>
  </si>
  <si>
    <t>2,000,000/4,000,000</t>
  </si>
  <si>
    <t>Detached</t>
  </si>
  <si>
    <t>Commercial PUD</t>
  </si>
  <si>
    <t>Single Entity w/ Floor/Wall Covering Exclusion</t>
  </si>
  <si>
    <t>Guaranteed Replacement Cost</t>
  </si>
  <si>
    <t>Fire Resistive</t>
  </si>
  <si>
    <t>Flat</t>
  </si>
  <si>
    <t>Attached</t>
  </si>
  <si>
    <t>Commercial CONDO</t>
  </si>
  <si>
    <t>All-In</t>
  </si>
  <si>
    <t>Masonry Non-Combustible</t>
  </si>
  <si>
    <t>Shake</t>
  </si>
  <si>
    <t>Subterranean</t>
  </si>
  <si>
    <t>Common Areas Only</t>
  </si>
  <si>
    <t>Masonry Above-Ground</t>
  </si>
  <si>
    <t>Partial Subterranean</t>
  </si>
  <si>
    <t>BPP</t>
  </si>
  <si>
    <t>Total Common Area Property</t>
  </si>
  <si>
    <t>Building #</t>
  </si>
  <si>
    <t>Trees/Shrubs</t>
  </si>
  <si>
    <t>RowCal</t>
  </si>
  <si>
    <t>Minneapolis</t>
  </si>
  <si>
    <t>MN</t>
  </si>
  <si>
    <t>821 Bay Street Homeowners Association, Inc.</t>
  </si>
  <si>
    <t xml:space="preserve">Santa Monica </t>
  </si>
  <si>
    <t>Rachael Clark//Deborah Maglasang</t>
  </si>
  <si>
    <t>Rachael.Clark@rowcal.com//Deborah Maglasang@rowcal.com</t>
  </si>
  <si>
    <t>(310) 776-5409</t>
  </si>
  <si>
    <t>EIN/Tax ID= 95-3901526</t>
  </si>
  <si>
    <t>PO Box  421150</t>
  </si>
  <si>
    <t xml:space="preserve">821 Bay St </t>
  </si>
  <si>
    <t>Security cameras around premises</t>
  </si>
  <si>
    <t>Security Cameras</t>
  </si>
  <si>
    <t>50k prop deductible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</si>
</sst>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&quot;$&quot;#,##0"/>
    <numFmt numFmtId="166" formatCode="&quot;$&quot;#,##0.00"/>
    <numFmt numFmtId="167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4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 "/>
    </font>
    <font>
      <sz val="1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CC5"/>
        <bgColor rgb="FF000000"/>
      </patternFill>
    </fill>
    <fill>
      <patternFill patternType="solid">
        <fgColor rgb="FFFFDCC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2" xfId="0" applyBorder="1"/>
    <xf numFmtId="0" fontId="2" fillId="2" borderId="2" xfId="0" applyFont="1" applyFill="1" applyBorder="1"/>
    <xf numFmtId="0" fontId="2" fillId="0" borderId="2" xfId="0" applyFont="1" applyBorder="1"/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0" fontId="4" fillId="0" borderId="0" xfId="0" applyFont="1"/>
    <xf numFmtId="43" fontId="0" fillId="0" borderId="0" xfId="2" applyFont="1" applyFill="1"/>
    <xf numFmtId="0" fontId="0" fillId="0" borderId="0" xfId="0" applyProtection="1">
      <protection locked="0"/>
    </xf>
    <xf numFmtId="49" fontId="2" fillId="3" borderId="1" xfId="0" applyNumberFormat="1" applyFont="1" applyFill="1" applyBorder="1" applyAlignment="1">
      <alignment horizontal="centerContinuous"/>
    </xf>
    <xf numFmtId="49" fontId="0" fillId="3" borderId="4" xfId="0" applyNumberFormat="1" applyFill="1" applyBorder="1" applyAlignment="1">
      <alignment horizontal="centerContinuous"/>
    </xf>
    <xf numFmtId="0" fontId="2" fillId="3" borderId="1" xfId="0" applyFont="1" applyFill="1" applyBorder="1" applyAlignment="1">
      <alignment horizontal="centerContinuous"/>
    </xf>
    <xf numFmtId="0" fontId="2" fillId="3" borderId="4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0" fillId="3" borderId="3" xfId="0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2" fillId="3" borderId="2" xfId="0" applyFont="1" applyFill="1" applyBorder="1" applyAlignment="1">
      <alignment wrapText="1"/>
    </xf>
    <xf numFmtId="5" fontId="0" fillId="0" borderId="0" xfId="0" applyNumberFormat="1" applyProtection="1">
      <protection locked="0"/>
    </xf>
    <xf numFmtId="0" fontId="0" fillId="0" borderId="0" xfId="0" applyAlignment="1" applyProtection="1">
      <alignment horizontal="left" wrapText="1"/>
      <protection locked="0"/>
    </xf>
    <xf numFmtId="0" fontId="6" fillId="0" borderId="6" xfId="0" applyFont="1" applyBorder="1" applyAlignment="1" applyProtection="1">
      <alignment horizontal="center"/>
      <protection locked="0"/>
    </xf>
    <xf numFmtId="6" fontId="6" fillId="0" borderId="6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6" fontId="6" fillId="0" borderId="0" xfId="0" applyNumberFormat="1" applyFont="1" applyAlignment="1" applyProtection="1">
      <alignment horizontal="center"/>
      <protection locked="0"/>
    </xf>
    <xf numFmtId="6" fontId="6" fillId="0" borderId="0" xfId="0" applyNumberFormat="1" applyFont="1" applyAlignment="1" applyProtection="1">
      <alignment horizontal="center" wrapText="1"/>
      <protection locked="0"/>
    </xf>
    <xf numFmtId="0" fontId="6" fillId="0" borderId="11" xfId="0" applyFont="1" applyBorder="1" applyAlignment="1" applyProtection="1">
      <alignment horizontal="center"/>
      <protection locked="0"/>
    </xf>
    <xf numFmtId="6" fontId="6" fillId="0" borderId="11" xfId="0" applyNumberFormat="1" applyFont="1" applyBorder="1" applyAlignment="1" applyProtection="1">
      <alignment horizontal="center"/>
      <protection locked="0"/>
    </xf>
    <xf numFmtId="165" fontId="6" fillId="0" borderId="6" xfId="0" applyNumberFormat="1" applyFont="1" applyBorder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165" fontId="6" fillId="0" borderId="11" xfId="0" applyNumberFormat="1" applyFont="1" applyBorder="1" applyAlignment="1" applyProtection="1">
      <alignment horizontal="center"/>
      <protection locked="0"/>
    </xf>
    <xf numFmtId="0" fontId="5" fillId="4" borderId="4" xfId="0" applyFont="1" applyFill="1" applyBorder="1" applyAlignment="1" applyProtection="1">
      <alignment wrapText="1"/>
      <protection locked="0"/>
    </xf>
    <xf numFmtId="0" fontId="5" fillId="4" borderId="4" xfId="0" applyFont="1" applyFill="1" applyBorder="1" applyAlignment="1" applyProtection="1">
      <alignment horizontal="center" wrapText="1"/>
      <protection locked="0"/>
    </xf>
    <xf numFmtId="167" fontId="0" fillId="0" borderId="0" xfId="2" applyNumberFormat="1" applyFont="1" applyFill="1"/>
    <xf numFmtId="167" fontId="0" fillId="0" borderId="0" xfId="2" applyNumberFormat="1" applyFont="1" applyFill="1" applyAlignment="1">
      <alignment horizontal="center"/>
    </xf>
    <xf numFmtId="0" fontId="5" fillId="4" borderId="1" xfId="0" applyFont="1" applyFill="1" applyBorder="1" applyAlignment="1">
      <alignment wrapText="1"/>
    </xf>
    <xf numFmtId="0" fontId="0" fillId="5" borderId="0" xfId="0" applyFill="1"/>
    <xf numFmtId="0" fontId="0" fillId="5" borderId="0" xfId="0" applyFill="1" applyProtection="1">
      <protection locked="0"/>
    </xf>
    <xf numFmtId="0" fontId="5" fillId="4" borderId="2" xfId="0" applyFont="1" applyFill="1" applyBorder="1" applyAlignment="1" applyProtection="1">
      <alignment wrapText="1"/>
      <protection locked="0"/>
    </xf>
    <xf numFmtId="0" fontId="7" fillId="6" borderId="0" xfId="0" applyFont="1" applyFill="1"/>
    <xf numFmtId="165" fontId="8" fillId="6" borderId="9" xfId="0" applyNumberFormat="1" applyFont="1" applyFill="1" applyBorder="1" applyAlignment="1">
      <alignment horizontal="right"/>
    </xf>
    <xf numFmtId="0" fontId="7" fillId="6" borderId="3" xfId="0" applyFont="1" applyFill="1" applyBorder="1"/>
    <xf numFmtId="165" fontId="8" fillId="6" borderId="4" xfId="0" applyNumberFormat="1" applyFont="1" applyFill="1" applyBorder="1" applyAlignment="1">
      <alignment horizontal="right"/>
    </xf>
    <xf numFmtId="0" fontId="5" fillId="4" borderId="2" xfId="0" applyFont="1" applyFill="1" applyBorder="1" applyAlignment="1">
      <alignment wrapText="1"/>
    </xf>
    <xf numFmtId="0" fontId="6" fillId="7" borderId="6" xfId="0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6" fillId="7" borderId="11" xfId="0" applyFont="1" applyFill="1" applyBorder="1" applyAlignment="1" applyProtection="1">
      <alignment horizontal="center"/>
      <protection locked="0"/>
    </xf>
    <xf numFmtId="165" fontId="6" fillId="7" borderId="7" xfId="0" applyNumberFormat="1" applyFont="1" applyFill="1" applyBorder="1" applyAlignment="1" applyProtection="1">
      <alignment horizontal="right"/>
      <protection locked="0"/>
    </xf>
    <xf numFmtId="165" fontId="6" fillId="7" borderId="9" xfId="0" applyNumberFormat="1" applyFont="1" applyFill="1" applyBorder="1" applyAlignment="1" applyProtection="1">
      <alignment horizontal="right"/>
      <protection locked="0"/>
    </xf>
    <xf numFmtId="165" fontId="6" fillId="7" borderId="9" xfId="0" applyNumberFormat="1" applyFont="1" applyFill="1" applyBorder="1" applyAlignment="1">
      <alignment horizontal="right"/>
    </xf>
    <xf numFmtId="165" fontId="6" fillId="7" borderId="12" xfId="0" applyNumberFormat="1" applyFont="1" applyFill="1" applyBorder="1" applyAlignment="1">
      <alignment horizontal="right"/>
    </xf>
    <xf numFmtId="165" fontId="6" fillId="7" borderId="12" xfId="0" applyNumberFormat="1" applyFont="1" applyFill="1" applyBorder="1" applyAlignment="1" applyProtection="1">
      <alignment horizontal="right"/>
      <protection locked="0"/>
    </xf>
    <xf numFmtId="0" fontId="6" fillId="8" borderId="5" xfId="0" applyFont="1" applyFill="1" applyBorder="1"/>
    <xf numFmtId="0" fontId="6" fillId="8" borderId="6" xfId="0" applyFont="1" applyFill="1" applyBorder="1"/>
    <xf numFmtId="0" fontId="6" fillId="8" borderId="8" xfId="0" applyFont="1" applyFill="1" applyBorder="1"/>
    <xf numFmtId="0" fontId="6" fillId="8" borderId="0" xfId="0" applyFont="1" applyFill="1"/>
    <xf numFmtId="0" fontId="6" fillId="8" borderId="10" xfId="0" applyFont="1" applyFill="1" applyBorder="1"/>
    <xf numFmtId="0" fontId="6" fillId="8" borderId="11" xfId="0" applyFont="1" applyFill="1" applyBorder="1"/>
    <xf numFmtId="0" fontId="0" fillId="7" borderId="0" xfId="0" applyFill="1"/>
    <xf numFmtId="0" fontId="0" fillId="7" borderId="0" xfId="0" applyFill="1" applyAlignment="1">
      <alignment horizontal="left" wrapText="1"/>
    </xf>
    <xf numFmtId="0" fontId="0" fillId="7" borderId="0" xfId="0" applyFill="1" applyProtection="1">
      <protection locked="0"/>
    </xf>
    <xf numFmtId="165" fontId="8" fillId="6" borderId="4" xfId="0" applyNumberFormat="1" applyFont="1" applyFill="1" applyBorder="1" applyAlignment="1" applyProtection="1">
      <alignment horizontal="right"/>
      <protection locked="0"/>
    </xf>
    <xf numFmtId="0" fontId="9" fillId="0" borderId="0" xfId="3" applyProtection="1"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>
      <alignment horizontal="center" wrapText="1"/>
    </xf>
    <xf numFmtId="164" fontId="0" fillId="0" borderId="0" xfId="0" applyNumberFormat="1" applyAlignment="1" applyProtection="1">
      <alignment horizontal="center"/>
      <protection locked="0"/>
    </xf>
    <xf numFmtId="0" fontId="11" fillId="0" borderId="0" xfId="0" applyFont="1" applyAlignment="1">
      <alignment horizontal="center" wrapText="1"/>
    </xf>
    <xf numFmtId="1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5" fontId="0" fillId="0" borderId="0" xfId="1" applyNumberFormat="1" applyFont="1" applyFill="1" applyBorder="1" applyAlignment="1" applyProtection="1">
      <alignment horizontal="center"/>
    </xf>
    <xf numFmtId="5" fontId="0" fillId="0" borderId="0" xfId="1" applyNumberFormat="1" applyFont="1" applyFill="1" applyBorder="1" applyAlignment="1" applyProtection="1">
      <alignment horizontal="center"/>
      <protection locked="0"/>
    </xf>
    <xf numFmtId="5" fontId="0" fillId="9" borderId="0" xfId="1" applyNumberFormat="1" applyFont="1" applyFill="1" applyBorder="1" applyAlignment="1" applyProtection="1">
      <alignment horizontal="center"/>
    </xf>
    <xf numFmtId="3" fontId="0" fillId="0" borderId="0" xfId="0" applyNumberFormat="1" applyAlignment="1" applyProtection="1">
      <alignment horizontal="center"/>
      <protection locked="0"/>
    </xf>
    <xf numFmtId="166" fontId="0" fillId="9" borderId="0" xfId="0" applyNumberFormat="1" applyFill="1" applyAlignment="1">
      <alignment horizontal="center"/>
    </xf>
    <xf numFmtId="0" fontId="5" fillId="4" borderId="1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DCC5"/>
      <color rgb="FFFFD2B3"/>
      <color rgb="FFFF6600"/>
      <color rgb="FFFFF3CD"/>
      <color rgb="FFFFFFD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abarreoia-my.sharepoint.com/personal/mandit_hoa-insurance_com/Documents/Microsoft%20Teams%20Chat%20Files/SOV%2024-25%20Whittier%20Gables%20HOA.xlsx" TargetMode="External"/><Relationship Id="rId1" Type="http://schemas.openxmlformats.org/officeDocument/2006/relationships/externalLinkPath" Target="https://labarreoia-my.sharepoint.com/personal/mandit_hoa-insurance_com/Documents/Microsoft%20Teams%20Chat%20Files/SOV%2024-25%20Whittier%20Gables%20HO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 refreshError="1"/>
      <sheetData sheetId="1">
        <row r="1">
          <cell r="A1" t="str">
            <v xml:space="preserve">Tile </v>
          </cell>
          <cell r="B1" t="str">
            <v>Habitational over Garage</v>
          </cell>
          <cell r="C1" t="str">
            <v>Yes</v>
          </cell>
          <cell r="D1" t="str">
            <v>Battery</v>
          </cell>
          <cell r="E1" t="str">
            <v>Frame</v>
          </cell>
          <cell r="F1">
            <v>100000</v>
          </cell>
        </row>
        <row r="2">
          <cell r="A2" t="str">
            <v>Comp.</v>
          </cell>
          <cell r="B2" t="str">
            <v>Detached</v>
          </cell>
          <cell r="C2" t="str">
            <v>No</v>
          </cell>
          <cell r="D2" t="str">
            <v>Hard-Wired</v>
          </cell>
          <cell r="E2" t="str">
            <v>Joisted Masonry</v>
          </cell>
          <cell r="F2" t="str">
            <v>Actual Loss Sustained Total:</v>
          </cell>
        </row>
        <row r="3">
          <cell r="A3" t="str">
            <v>Flat</v>
          </cell>
          <cell r="B3" t="str">
            <v>Attached</v>
          </cell>
          <cell r="C3" t="str">
            <v>Partially</v>
          </cell>
          <cell r="D3" t="str">
            <v>None</v>
          </cell>
          <cell r="E3" t="str">
            <v>Fire Resistive</v>
          </cell>
          <cell r="F3" t="str">
            <v>None</v>
          </cell>
        </row>
        <row r="4">
          <cell r="A4" t="str">
            <v>Shake</v>
          </cell>
          <cell r="B4" t="str">
            <v>Subterranean</v>
          </cell>
          <cell r="E4" t="str">
            <v>Steel Frame w/ Concrete Block</v>
          </cell>
        </row>
        <row r="5">
          <cell r="B5" t="str">
            <v>Masonry Above-Ground</v>
          </cell>
        </row>
        <row r="6">
          <cell r="B6" t="str">
            <v>Partial Subterranean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chael.Clark@rowcal.com/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E66C-C94F-4181-B133-D91E641B5D5D}">
  <sheetPr codeName="Sheet1"/>
  <dimension ref="A1:D47"/>
  <sheetViews>
    <sheetView tabSelected="1" topLeftCell="A14" workbookViewId="0">
      <selection activeCell="N32" sqref="N32"/>
    </sheetView>
  </sheetViews>
  <sheetFormatPr defaultRowHeight="15"/>
  <cols>
    <col min="1" max="1" width="45" bestFit="1" customWidth="1"/>
    <col min="2" max="2" width="33.42578125" customWidth="1"/>
    <col min="3" max="3" width="30.42578125" customWidth="1"/>
    <col min="4" max="4" width="48.85546875" customWidth="1"/>
  </cols>
  <sheetData>
    <row r="1" spans="1:4">
      <c r="A1" s="9" t="s">
        <v>0</v>
      </c>
      <c r="B1" s="10"/>
      <c r="C1" s="11" t="s">
        <v>1</v>
      </c>
      <c r="D1" s="12"/>
    </row>
    <row r="2" spans="1:4" ht="29.25">
      <c r="A2" s="56" t="s">
        <v>2</v>
      </c>
      <c r="B2" s="62" t="s">
        <v>194</v>
      </c>
      <c r="C2" s="56" t="s">
        <v>3</v>
      </c>
      <c r="D2" s="8" t="s">
        <v>191</v>
      </c>
    </row>
    <row r="3" spans="1:4">
      <c r="A3" s="56" t="s">
        <v>4</v>
      </c>
      <c r="B3" s="63">
        <v>45894</v>
      </c>
      <c r="C3" s="56" t="s">
        <v>5</v>
      </c>
      <c r="D3" s="8" t="s">
        <v>196</v>
      </c>
    </row>
    <row r="4" spans="1:4">
      <c r="A4" s="56" t="s">
        <v>6</v>
      </c>
      <c r="B4" s="61" t="s">
        <v>201</v>
      </c>
      <c r="C4" s="56" t="s">
        <v>7</v>
      </c>
      <c r="D4" s="8" t="s">
        <v>200</v>
      </c>
    </row>
    <row r="5" spans="1:4">
      <c r="A5" s="56" t="s">
        <v>8</v>
      </c>
      <c r="B5" s="61" t="s">
        <v>195</v>
      </c>
      <c r="C5" s="56" t="s">
        <v>9</v>
      </c>
      <c r="D5" s="8" t="s">
        <v>192</v>
      </c>
    </row>
    <row r="6" spans="1:4">
      <c r="A6" s="56" t="s">
        <v>10</v>
      </c>
      <c r="B6" s="61" t="s">
        <v>115</v>
      </c>
      <c r="C6" s="56" t="s">
        <v>11</v>
      </c>
      <c r="D6" s="8" t="s">
        <v>193</v>
      </c>
    </row>
    <row r="7" spans="1:4">
      <c r="A7" s="56" t="s">
        <v>12</v>
      </c>
      <c r="B7" s="61">
        <v>90405</v>
      </c>
      <c r="C7" s="56" t="s">
        <v>13</v>
      </c>
      <c r="D7" s="8">
        <v>55442</v>
      </c>
    </row>
    <row r="8" spans="1:4">
      <c r="A8" s="56" t="s">
        <v>14</v>
      </c>
      <c r="B8" s="61" t="s">
        <v>165</v>
      </c>
      <c r="C8" s="56" t="s">
        <v>15</v>
      </c>
      <c r="D8" s="8" t="s">
        <v>198</v>
      </c>
    </row>
    <row r="9" spans="1:4">
      <c r="A9" s="56" t="s">
        <v>16</v>
      </c>
      <c r="B9" s="64">
        <v>15</v>
      </c>
      <c r="C9" s="56" t="s">
        <v>17</v>
      </c>
      <c r="D9" s="60" t="s">
        <v>197</v>
      </c>
    </row>
    <row r="10" spans="1:4">
      <c r="A10" s="56" t="s">
        <v>18</v>
      </c>
      <c r="B10" s="65">
        <v>15</v>
      </c>
      <c r="C10" s="56" t="s">
        <v>19</v>
      </c>
      <c r="D10" s="8" t="s">
        <v>156</v>
      </c>
    </row>
    <row r="11" spans="1:4" ht="30">
      <c r="A11" s="57" t="s">
        <v>20</v>
      </c>
      <c r="B11" s="66" t="s">
        <v>166</v>
      </c>
      <c r="C11" s="56" t="s">
        <v>21</v>
      </c>
      <c r="D11" s="17"/>
    </row>
    <row r="12" spans="1:4">
      <c r="A12" s="56" t="s">
        <v>22</v>
      </c>
      <c r="B12" s="67">
        <v>45863</v>
      </c>
      <c r="C12" s="56" t="s">
        <v>23</v>
      </c>
      <c r="D12" s="17"/>
    </row>
    <row r="13" spans="1:4">
      <c r="A13" s="11" t="s">
        <v>24</v>
      </c>
      <c r="B13" s="13"/>
      <c r="C13" s="14"/>
      <c r="D13" s="15"/>
    </row>
    <row r="14" spans="1:4">
      <c r="A14" s="56" t="s">
        <v>25</v>
      </c>
      <c r="B14" s="61">
        <v>3</v>
      </c>
      <c r="C14" s="56" t="s">
        <v>26</v>
      </c>
      <c r="D14" s="71">
        <v>22200</v>
      </c>
    </row>
    <row r="15" spans="1:4">
      <c r="A15" s="56" t="s">
        <v>27</v>
      </c>
      <c r="B15" s="61">
        <v>4</v>
      </c>
      <c r="C15" s="56" t="s">
        <v>28</v>
      </c>
      <c r="D15" s="71">
        <v>6000</v>
      </c>
    </row>
    <row r="16" spans="1:4">
      <c r="A16" s="56" t="s">
        <v>29</v>
      </c>
      <c r="B16" s="61" t="s">
        <v>177</v>
      </c>
      <c r="C16" s="56" t="s">
        <v>30</v>
      </c>
      <c r="D16" s="61" t="s">
        <v>186</v>
      </c>
    </row>
    <row r="17" spans="1:4">
      <c r="A17" s="56" t="s">
        <v>31</v>
      </c>
      <c r="B17" s="61" t="s">
        <v>79</v>
      </c>
      <c r="C17" s="56" t="s">
        <v>32</v>
      </c>
      <c r="D17" s="61" t="s">
        <v>159</v>
      </c>
    </row>
    <row r="18" spans="1:4" ht="14.45" customHeight="1">
      <c r="A18" s="56" t="s">
        <v>33</v>
      </c>
      <c r="B18" s="69">
        <v>6661141</v>
      </c>
      <c r="C18" s="56" t="s">
        <v>34</v>
      </c>
      <c r="D18" s="61" t="s">
        <v>156</v>
      </c>
    </row>
    <row r="19" spans="1:4" ht="14.45" customHeight="1">
      <c r="A19" s="56" t="s">
        <v>35</v>
      </c>
      <c r="B19" s="69">
        <f>'Property Schedule'!F38</f>
        <v>140000</v>
      </c>
      <c r="C19" s="56" t="s">
        <v>36</v>
      </c>
      <c r="D19" s="61">
        <v>1981</v>
      </c>
    </row>
    <row r="20" spans="1:4" ht="14.45" customHeight="1">
      <c r="A20" s="56" t="s">
        <v>37</v>
      </c>
      <c r="B20" s="69">
        <v>10000</v>
      </c>
      <c r="C20" s="56" t="s">
        <v>38</v>
      </c>
      <c r="D20" s="61" t="s">
        <v>160</v>
      </c>
    </row>
    <row r="21" spans="1:4" ht="14.45" customHeight="1">
      <c r="A21" s="56" t="s">
        <v>39</v>
      </c>
      <c r="B21" s="70">
        <f>SUM(B18:B19)</f>
        <v>6801141</v>
      </c>
      <c r="C21" s="56" t="s">
        <v>40</v>
      </c>
      <c r="D21" s="72">
        <f>IF(AND(NOT(ISBLANK(B18)), NOT(ISBLANK(D14)), NOT(ISBLANK(D15))), $B$18/($D$14+$D$15), "$0")</f>
        <v>236.21067375886525</v>
      </c>
    </row>
    <row r="22" spans="1:4">
      <c r="A22" s="11" t="s">
        <v>41</v>
      </c>
      <c r="B22" s="14"/>
      <c r="C22" s="14"/>
      <c r="D22" s="15"/>
    </row>
    <row r="23" spans="1:4">
      <c r="A23" s="16" t="s">
        <v>42</v>
      </c>
      <c r="B23" s="16" t="s">
        <v>43</v>
      </c>
      <c r="C23" s="16" t="s">
        <v>44</v>
      </c>
      <c r="D23" s="16" t="s">
        <v>45</v>
      </c>
    </row>
    <row r="24" spans="1:4">
      <c r="A24" s="56" t="s">
        <v>46</v>
      </c>
      <c r="B24" s="8"/>
      <c r="C24" s="56" t="s">
        <v>47</v>
      </c>
      <c r="D24" s="8" t="s">
        <v>199</v>
      </c>
    </row>
    <row r="25" spans="1:4">
      <c r="A25" s="56" t="s">
        <v>48</v>
      </c>
      <c r="B25" s="8"/>
      <c r="C25" s="56" t="s">
        <v>49</v>
      </c>
      <c r="D25" s="8" t="s">
        <v>202</v>
      </c>
    </row>
    <row r="26" spans="1:4">
      <c r="A26" s="56" t="s">
        <v>50</v>
      </c>
      <c r="B26" s="8"/>
      <c r="C26" s="56" t="s">
        <v>47</v>
      </c>
      <c r="D26" s="8" t="s">
        <v>204</v>
      </c>
    </row>
    <row r="27" spans="1:4">
      <c r="A27" s="56" t="s">
        <v>51</v>
      </c>
      <c r="B27" s="8"/>
      <c r="C27" s="56" t="s">
        <v>47</v>
      </c>
      <c r="D27" s="8"/>
    </row>
    <row r="28" spans="1:4">
      <c r="A28" s="56" t="s">
        <v>52</v>
      </c>
      <c r="B28" s="8"/>
      <c r="C28" s="56" t="s">
        <v>47</v>
      </c>
      <c r="D28" s="8"/>
    </row>
    <row r="29" spans="1:4">
      <c r="A29" s="56" t="s">
        <v>53</v>
      </c>
      <c r="B29" s="8"/>
      <c r="C29" s="56" t="s">
        <v>54</v>
      </c>
      <c r="D29" s="8"/>
    </row>
    <row r="30" spans="1:4">
      <c r="A30" s="56" t="s">
        <v>55</v>
      </c>
      <c r="B30" s="8"/>
      <c r="C30" s="56" t="s">
        <v>54</v>
      </c>
      <c r="D30" s="8"/>
    </row>
    <row r="31" spans="1:4">
      <c r="A31" s="56" t="s">
        <v>56</v>
      </c>
      <c r="B31" s="8"/>
      <c r="C31" s="56" t="s">
        <v>54</v>
      </c>
      <c r="D31" s="8"/>
    </row>
    <row r="32" spans="1:4">
      <c r="A32" s="56" t="s">
        <v>57</v>
      </c>
      <c r="B32" s="8"/>
      <c r="C32" s="56" t="s">
        <v>54</v>
      </c>
      <c r="D32" s="8"/>
    </row>
    <row r="33" spans="1:4">
      <c r="A33" s="56" t="s">
        <v>58</v>
      </c>
      <c r="B33" s="8"/>
      <c r="C33" s="56" t="s">
        <v>47</v>
      </c>
      <c r="D33" s="8"/>
    </row>
    <row r="34" spans="1:4">
      <c r="A34" s="56" t="s">
        <v>59</v>
      </c>
      <c r="B34" s="8"/>
      <c r="C34" s="56" t="s">
        <v>47</v>
      </c>
      <c r="D34" s="8"/>
    </row>
    <row r="35" spans="1:4">
      <c r="A35" s="56" t="s">
        <v>60</v>
      </c>
      <c r="B35" s="8"/>
      <c r="C35" s="56" t="s">
        <v>47</v>
      </c>
      <c r="D35" s="8"/>
    </row>
    <row r="36" spans="1:4">
      <c r="A36" s="56" t="s">
        <v>61</v>
      </c>
      <c r="B36" s="8"/>
      <c r="C36" s="56" t="s">
        <v>49</v>
      </c>
      <c r="D36" s="18"/>
    </row>
    <row r="37" spans="1:4">
      <c r="A37" s="56" t="s">
        <v>62</v>
      </c>
      <c r="B37" s="8"/>
      <c r="C37" s="56" t="s">
        <v>47</v>
      </c>
      <c r="D37" s="8"/>
    </row>
    <row r="38" spans="1:4">
      <c r="A38" s="56" t="s">
        <v>63</v>
      </c>
      <c r="B38" s="8"/>
      <c r="C38" s="56" t="s">
        <v>47</v>
      </c>
      <c r="D38" s="8"/>
    </row>
    <row r="39" spans="1:4">
      <c r="A39" s="56" t="s">
        <v>64</v>
      </c>
      <c r="B39" s="8"/>
      <c r="C39" s="56" t="s">
        <v>47</v>
      </c>
      <c r="D39" s="8"/>
    </row>
    <row r="40" spans="1:4">
      <c r="A40" s="56" t="s">
        <v>65</v>
      </c>
      <c r="B40" s="8"/>
      <c r="C40" s="56" t="s">
        <v>47</v>
      </c>
      <c r="D40" s="8"/>
    </row>
    <row r="41" spans="1:4">
      <c r="A41" s="56" t="s">
        <v>66</v>
      </c>
      <c r="B41" s="8"/>
      <c r="C41" s="56" t="s">
        <v>54</v>
      </c>
      <c r="D41" s="8"/>
    </row>
    <row r="42" spans="1:4">
      <c r="A42" s="56" t="s">
        <v>67</v>
      </c>
      <c r="B42" s="8"/>
      <c r="C42" s="58"/>
      <c r="D42" s="8"/>
    </row>
    <row r="43" spans="1:4">
      <c r="A43" s="16" t="s">
        <v>68</v>
      </c>
      <c r="B43" s="16" t="s">
        <v>69</v>
      </c>
      <c r="C43" s="16" t="s">
        <v>68</v>
      </c>
      <c r="D43" s="16" t="s">
        <v>69</v>
      </c>
    </row>
    <row r="44" spans="1:4">
      <c r="A44" s="56" t="s">
        <v>70</v>
      </c>
      <c r="B44" s="61" t="s">
        <v>162</v>
      </c>
      <c r="C44" s="56" t="s">
        <v>71</v>
      </c>
      <c r="D44" s="68">
        <f>B21</f>
        <v>6801141</v>
      </c>
    </row>
    <row r="45" spans="1:4">
      <c r="A45" s="56" t="s">
        <v>72</v>
      </c>
      <c r="B45" s="68">
        <f>B21</f>
        <v>6801141</v>
      </c>
      <c r="C45" s="56" t="s">
        <v>73</v>
      </c>
      <c r="D45" s="69">
        <v>50000</v>
      </c>
    </row>
    <row r="46" spans="1:4">
      <c r="A46" s="56" t="s">
        <v>74</v>
      </c>
      <c r="B46" s="69">
        <v>300000</v>
      </c>
      <c r="C46" s="56" t="s">
        <v>75</v>
      </c>
      <c r="D46" s="69">
        <v>168170</v>
      </c>
    </row>
    <row r="47" spans="1:4">
      <c r="A47" s="56" t="s">
        <v>76</v>
      </c>
      <c r="B47" s="69">
        <v>300000</v>
      </c>
      <c r="C47" s="56" t="s">
        <v>77</v>
      </c>
      <c r="D47" s="69">
        <v>1000000</v>
      </c>
    </row>
  </sheetData>
  <sheetProtection formatCells="0" formatColumns="0" formatRows="0" insertHyperlinks="0" sort="0" autoFilter="0" pivotTables="0"/>
  <dataValidations count="3">
    <dataValidation type="decimal" allowBlank="1" showInputMessage="1" showErrorMessage="1" prompt="Enter $ or leave blank if none" sqref="D11:D12" xr:uid="{19CDAEB4-E644-4082-B438-4042D79C8D49}">
      <formula1>0</formula1>
      <formula2>1000000000</formula2>
    </dataValidation>
    <dataValidation operator="equal" allowBlank="1" showInputMessage="1" showErrorMessage="1" sqref="B12" xr:uid="{BD988856-0584-4B06-B128-BC4069F05471}"/>
    <dataValidation type="whole" allowBlank="1" showInputMessage="1" showErrorMessage="1" sqref="B18:B21 D44:D47 B45:B47" xr:uid="{7831BAC3-1F26-46DF-86F3-92E3FAC4EE90}">
      <formula1>0</formula1>
      <formula2>100000000</formula2>
    </dataValidation>
  </dataValidations>
  <hyperlinks>
    <hyperlink ref="D9" r:id="rId1" display="Rachael.Clark@rowcal.com//" xr:uid="{BDC5E3C3-EF62-40A2-9CD8-030DAB79AC35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17D1BD7F-3929-4F0F-B3CD-BF330A01DFAF}">
          <x14:formula1>
            <xm:f>LOOKUPS!$A$2:$A$3</xm:f>
          </x14:formula1>
          <xm:sqref>D10 D18</xm:sqref>
        </x14:dataValidation>
        <x14:dataValidation type="list" allowBlank="1" showInputMessage="1" showErrorMessage="1" xr:uid="{D16DB990-7D92-4272-802E-AC5E0554AA91}">
          <x14:formula1>
            <xm:f>LOOKUPS!$E$2:$E$3</xm:f>
          </x14:formula1>
          <xm:sqref>D17</xm:sqref>
        </x14:dataValidation>
        <x14:dataValidation type="list" allowBlank="1" showInputMessage="1" showErrorMessage="1" xr:uid="{F35A53C1-F8BC-4982-8A5A-2195C0B2064F}">
          <x14:formula1>
            <xm:f>LOOKUPS!$F$2:$F$5</xm:f>
          </x14:formula1>
          <xm:sqref>D20</xm:sqref>
        </x14:dataValidation>
        <x14:dataValidation type="list" allowBlank="1" showInputMessage="1" showErrorMessage="1" xr:uid="{FDEA5897-58F7-48A0-8632-5C8F6523ADEA}">
          <x14:formula1>
            <xm:f>LOOKUPS!$B$2:$B$5</xm:f>
          </x14:formula1>
          <xm:sqref>B8</xm:sqref>
        </x14:dataValidation>
        <x14:dataValidation type="list" allowBlank="1" showInputMessage="1" showErrorMessage="1" xr:uid="{EBACBD08-643E-42A6-B983-DB90A28EA341}">
          <x14:formula1>
            <xm:f>LOOKUPS!$D$2:$D$4</xm:f>
          </x14:formula1>
          <xm:sqref>B17</xm:sqref>
        </x14:dataValidation>
        <x14:dataValidation type="list" allowBlank="1" showInputMessage="1" showErrorMessage="1" xr:uid="{C43C2A7C-6BF8-4DFD-8330-DC794C18E1A8}">
          <x14:formula1>
            <xm:f>LOOKUPS!$H$2:$H$3</xm:f>
          </x14:formula1>
          <xm:sqref>B44</xm:sqref>
        </x14:dataValidation>
        <x14:dataValidation type="list" allowBlank="1" showInputMessage="1" showErrorMessage="1" xr:uid="{DDED439E-0554-4751-9A3D-9BD05959D497}">
          <x14:formula1>
            <xm:f>LOOKUPS!$C$2:$C$6</xm:f>
          </x14:formula1>
          <xm:sqref>B11</xm:sqref>
        </x14:dataValidation>
        <x14:dataValidation type="list" allowBlank="1" showInputMessage="1" showErrorMessage="1" xr:uid="{24713FD9-8594-43B3-B51E-042FA25C09F6}">
          <x14:formula1>
            <xm:f>LOOKUPS!$I$2:$I$7</xm:f>
          </x14:formula1>
          <xm:sqref>D16</xm:sqref>
        </x14:dataValidation>
        <x14:dataValidation type="list" allowBlank="1" showInputMessage="1" showErrorMessage="1" xr:uid="{E4C616B5-6E03-4F87-9C6A-10825C9E6E1B}">
          <x14:formula1>
            <xm:f>LOOKUPS!$G$2:$G$5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0F6F-0245-4D84-964A-72A49E7647BE}">
  <sheetPr codeName="Sheet2"/>
  <dimension ref="A1:W410"/>
  <sheetViews>
    <sheetView zoomScale="70" zoomScaleNormal="70" workbookViewId="0">
      <selection activeCell="F40" sqref="F40"/>
    </sheetView>
  </sheetViews>
  <sheetFormatPr defaultColWidth="15.42578125" defaultRowHeight="15"/>
  <cols>
    <col min="2" max="2" width="18.42578125" style="8" customWidth="1"/>
    <col min="3" max="3" width="19.7109375" style="8" customWidth="1"/>
    <col min="5" max="5" width="15.42578125" style="8"/>
    <col min="7" max="7" width="3.5703125" customWidth="1"/>
    <col min="8" max="8" width="13" style="8" bestFit="1" customWidth="1"/>
    <col min="9" max="9" width="42.5703125" style="8" hidden="1" customWidth="1"/>
    <col min="10" max="10" width="14.42578125" bestFit="1" customWidth="1"/>
    <col min="11" max="11" width="63.42578125" bestFit="1" customWidth="1"/>
    <col min="12" max="12" width="9.42578125" bestFit="1" customWidth="1"/>
    <col min="13" max="13" width="18.85546875" bestFit="1" customWidth="1"/>
    <col min="14" max="14" width="19.140625" bestFit="1" customWidth="1"/>
    <col min="15" max="15" width="21.5703125" hidden="1" customWidth="1"/>
    <col min="16" max="16" width="13.42578125" hidden="1" customWidth="1"/>
    <col min="17" max="17" width="12.42578125" bestFit="1" customWidth="1"/>
    <col min="18" max="18" width="9.85546875" bestFit="1" customWidth="1"/>
    <col min="19" max="19" width="12.85546875" bestFit="1" customWidth="1"/>
    <col min="20" max="20" width="15.5703125" customWidth="1"/>
    <col min="21" max="21" width="17" customWidth="1"/>
    <col min="22" max="22" width="15" customWidth="1"/>
    <col min="23" max="23" width="16.140625" customWidth="1"/>
  </cols>
  <sheetData>
    <row r="1" spans="1:23" ht="30" customHeight="1">
      <c r="A1" s="73" t="s">
        <v>42</v>
      </c>
      <c r="B1" s="74"/>
      <c r="C1" s="29" t="s">
        <v>43</v>
      </c>
      <c r="D1" s="29" t="s">
        <v>44</v>
      </c>
      <c r="E1" s="29" t="s">
        <v>84</v>
      </c>
      <c r="F1" s="30" t="s">
        <v>79</v>
      </c>
      <c r="G1" s="34"/>
      <c r="H1" s="33" t="s">
        <v>189</v>
      </c>
      <c r="I1" s="33" t="s">
        <v>7</v>
      </c>
      <c r="J1" s="36" t="s">
        <v>78</v>
      </c>
      <c r="K1" s="29" t="s">
        <v>79</v>
      </c>
      <c r="L1" s="29" t="s">
        <v>80</v>
      </c>
      <c r="M1" s="30" t="s">
        <v>26</v>
      </c>
      <c r="N1" s="33" t="s">
        <v>81</v>
      </c>
      <c r="O1" s="33" t="s">
        <v>82</v>
      </c>
      <c r="P1" s="36" t="s">
        <v>83</v>
      </c>
      <c r="Q1" s="29" t="s">
        <v>30</v>
      </c>
      <c r="R1" s="29" t="s">
        <v>29</v>
      </c>
      <c r="S1" s="30" t="s">
        <v>32</v>
      </c>
      <c r="T1" s="33" t="s">
        <v>34</v>
      </c>
      <c r="U1" s="41" t="s">
        <v>36</v>
      </c>
      <c r="V1" s="29" t="s">
        <v>25</v>
      </c>
      <c r="W1" s="29" t="s">
        <v>38</v>
      </c>
    </row>
    <row r="2" spans="1:23" ht="17.25" customHeight="1">
      <c r="A2" s="50" t="s">
        <v>46</v>
      </c>
      <c r="B2" s="51"/>
      <c r="C2" s="42">
        <f>'General Info and Liability'!B24</f>
        <v>0</v>
      </c>
      <c r="D2" s="19" t="s">
        <v>47</v>
      </c>
      <c r="E2" s="20">
        <v>35000</v>
      </c>
      <c r="F2" s="45">
        <f>E2*C2</f>
        <v>0</v>
      </c>
      <c r="G2" s="34"/>
      <c r="H2">
        <f>IF(OR('General Info and Liability'!$B$15=1,'General Info and Liability'!B15&gt;1),1,"")</f>
        <v>1</v>
      </c>
      <c r="J2" s="8"/>
      <c r="K2" s="7">
        <f>IFERROR(IF(H2&gt;0,'General Info and Liability'!$B$18/'General Info and Liability'!$B$10*$L2,""),"")</f>
        <v>2220380.333333333</v>
      </c>
      <c r="L2" s="8">
        <v>5</v>
      </c>
      <c r="M2" s="31">
        <f>IFERROR(IF(H2&gt;0,'General Info and Liability'!$D$14/'General Info and Liability'!$B$10*$L2,""),"")</f>
        <v>7400</v>
      </c>
      <c r="N2" s="32">
        <f>IFERROR(IF(H2&gt;0,'General Info and Liability'!$D$15/'General Info and Liability'!$B$10*$L2,""),"")</f>
        <v>2000</v>
      </c>
      <c r="O2" s="8"/>
      <c r="P2" s="8"/>
      <c r="Q2" t="str">
        <f>IFERROR(IF(H2&gt;0,'General Info and Liability'!$D$16,""),"")</f>
        <v>Partial Subterranean</v>
      </c>
      <c r="R2" t="str">
        <f>IFERROR(IF(H2&gt;0,'General Info and Liability'!$B$16,""),"")</f>
        <v>Flat</v>
      </c>
      <c r="S2" t="str">
        <f>IFERROR(IF(H2&gt;0,'General Info and Liability'!$D$17,""),"")</f>
        <v>Battery</v>
      </c>
      <c r="T2" t="str">
        <f>IFERROR(IF(H2&gt;0,'General Info and Liability'!$D$18,""),"")</f>
        <v>NO</v>
      </c>
      <c r="U2">
        <f>IFERROR(IF(H2&gt;0,'General Info and Liability'!$D$19,""),"")</f>
        <v>1981</v>
      </c>
      <c r="V2">
        <f>IFERROR(IF(H2&gt;0,'General Info and Liability'!$B$14,""),"")</f>
        <v>3</v>
      </c>
      <c r="W2" t="str">
        <f>IFERROR(IF(H2&gt;0,'General Info and Liability'!$D$20,""),"")</f>
        <v>Frame</v>
      </c>
    </row>
    <row r="3" spans="1:23" ht="17.25" customHeight="1">
      <c r="A3" s="52" t="s">
        <v>48</v>
      </c>
      <c r="B3" s="53"/>
      <c r="C3" s="43">
        <f>'General Info and Liability'!B25</f>
        <v>0</v>
      </c>
      <c r="D3" s="21" t="s">
        <v>49</v>
      </c>
      <c r="E3" s="22">
        <v>15000</v>
      </c>
      <c r="F3" s="46">
        <f>E3*C3</f>
        <v>0</v>
      </c>
      <c r="G3" s="34"/>
      <c r="H3">
        <f>IFERROR(IF(H2+1&lt;'General Info and Liability'!$B$15+1,'Property Schedule'!H2+1,""),"")</f>
        <v>2</v>
      </c>
      <c r="J3" s="8"/>
      <c r="K3" s="7">
        <f>IFERROR(IF($H2+1&lt;'General Info and Liability'!$B$15+1,'General Info and Liability'!$B$18/'General Info and Liability'!$B$10*$L3,""),"")</f>
        <v>1776304.2666666666</v>
      </c>
      <c r="L3" s="8">
        <v>4</v>
      </c>
      <c r="M3" s="31">
        <f>IFERROR(IF($H2+1&lt;'General Info and Liability'!$B$15+1,'General Info and Liability'!$D$14/'General Info and Liability'!$B$10*$L3,""),"")</f>
        <v>5920</v>
      </c>
      <c r="N3" s="32">
        <f>IFERROR(IF($H2+1&lt;'General Info and Liability'!$B$15+1,'General Info and Liability'!$D$15/'General Info and Liability'!$B$10*$L3,""),"")</f>
        <v>1600</v>
      </c>
      <c r="O3" s="8"/>
      <c r="P3" s="8"/>
      <c r="Q3" t="str">
        <f>IFERROR(IF($H3+1&gt;0,'General Info and Liability'!$D$16,""),"")</f>
        <v>Partial Subterranean</v>
      </c>
      <c r="R3" t="str">
        <f>IFERROR(IF($H3+1&gt;0,'General Info and Liability'!$B$16,""),"")</f>
        <v>Flat</v>
      </c>
      <c r="S3" t="str">
        <f>IFERROR(IF($H2+1&lt;'General Info and Liability'!$B$15+1,'General Info and Liability'!$D$17,""),"")</f>
        <v>Battery</v>
      </c>
      <c r="T3" t="str">
        <f>IFERROR(IF($H2+1&lt;'General Info and Liability'!$B$15+1,'General Info and Liability'!$D$18,""),"")</f>
        <v>NO</v>
      </c>
      <c r="U3">
        <f>IFERROR(IF($H2+1&lt;'General Info and Liability'!$B$15+1,'General Info and Liability'!$D$19,""),"")</f>
        <v>1981</v>
      </c>
      <c r="V3">
        <f>IFERROR(IF($H2+1&lt;'General Info and Liability'!$B$15+1,'General Info and Liability'!$B$14,""),"")</f>
        <v>3</v>
      </c>
      <c r="W3" t="str">
        <f>IFERROR(IF($H2+1&lt;'General Info and Liability'!$B$15+1,'General Info and Liability'!$D$20,""),"")</f>
        <v>Frame</v>
      </c>
    </row>
    <row r="4" spans="1:23" ht="17.25" customHeight="1">
      <c r="A4" s="52" t="s">
        <v>50</v>
      </c>
      <c r="B4" s="53"/>
      <c r="C4" s="43">
        <f>'General Info and Liability'!B26</f>
        <v>0</v>
      </c>
      <c r="D4" s="21" t="s">
        <v>47</v>
      </c>
      <c r="E4" s="22">
        <v>65000</v>
      </c>
      <c r="F4" s="46">
        <f>E4*C4</f>
        <v>0</v>
      </c>
      <c r="G4" s="34"/>
      <c r="H4">
        <f>IFERROR(IF(H3+1&lt;'General Info and Liability'!$B$15+1,'Property Schedule'!H3+1,""),"")</f>
        <v>3</v>
      </c>
      <c r="J4" s="8"/>
      <c r="K4" s="7">
        <f>IFERROR(IF($H3+1&lt;'General Info and Liability'!$B$15+1,'General Info and Liability'!$B$18/'General Info and Liability'!$B$10*$L4,""),"")</f>
        <v>1332228.2</v>
      </c>
      <c r="L4" s="8">
        <v>3</v>
      </c>
      <c r="M4" s="31">
        <f>IFERROR(IF($H3+1&lt;'General Info and Liability'!$B$15+1,'General Info and Liability'!$D$14/'General Info and Liability'!$B$10*$L4,""),"")</f>
        <v>4440</v>
      </c>
      <c r="N4" s="32">
        <f>IFERROR(IF($H3+1&lt;'General Info and Liability'!$B$15+1,'General Info and Liability'!$D$15/'General Info and Liability'!$B$10*$L4,""),"")</f>
        <v>1200</v>
      </c>
      <c r="O4" s="8"/>
      <c r="P4" s="8"/>
      <c r="Q4" t="str">
        <f>IFERROR(IF($H4+1&gt;0,'General Info and Liability'!$D$16,""),"")</f>
        <v>Partial Subterranean</v>
      </c>
      <c r="R4" t="str">
        <f>IFERROR(IF($H4+1&gt;0,'General Info and Liability'!$B$16,""),"")</f>
        <v>Flat</v>
      </c>
      <c r="S4" t="str">
        <f>IFERROR(IF($H3+1&lt;'General Info and Liability'!$B$15+1,'General Info and Liability'!$D$17,""),"")</f>
        <v>Battery</v>
      </c>
      <c r="T4" t="str">
        <f>IFERROR(IF($H3+1&lt;'General Info and Liability'!$B$15+1,'General Info and Liability'!$D$18,""),"")</f>
        <v>NO</v>
      </c>
      <c r="U4">
        <f>IFERROR(IF($H3+1&lt;'General Info and Liability'!$B$15+1,'General Info and Liability'!$D$19,""),"")</f>
        <v>1981</v>
      </c>
      <c r="V4">
        <f>IFERROR(IF($H3+1&lt;'General Info and Liability'!$B$15+1,'General Info and Liability'!$B$14,""),"")</f>
        <v>3</v>
      </c>
      <c r="W4" t="str">
        <f>IFERROR(IF($H3+1&lt;'General Info and Liability'!$B$15+1,'General Info and Liability'!$D$20,""),"")</f>
        <v>Frame</v>
      </c>
    </row>
    <row r="5" spans="1:23" ht="17.25" customHeight="1">
      <c r="A5" s="52" t="s">
        <v>51</v>
      </c>
      <c r="B5" s="53"/>
      <c r="C5" s="43">
        <f>'General Info and Liability'!B27</f>
        <v>0</v>
      </c>
      <c r="D5" s="21" t="s">
        <v>47</v>
      </c>
      <c r="E5" s="22">
        <v>30000</v>
      </c>
      <c r="F5" s="46">
        <f t="shared" ref="F5:F18" si="0">E5*C5</f>
        <v>0</v>
      </c>
      <c r="G5" s="34"/>
      <c r="H5">
        <f>IFERROR(IF(H4+1&lt;'General Info and Liability'!$B$15+1,'Property Schedule'!H4+1,""),"")</f>
        <v>4</v>
      </c>
      <c r="J5" s="8"/>
      <c r="K5" s="7">
        <f>IFERROR(IF($H4+1&lt;'General Info and Liability'!$B$15+1,'General Info and Liability'!$B$18/'General Info and Liability'!$B$10*$L5,""),"")</f>
        <v>1332228.2</v>
      </c>
      <c r="L5" s="8">
        <v>3</v>
      </c>
      <c r="M5" s="31">
        <f>IFERROR(IF($H4+1&lt;'General Info and Liability'!$B$15+1,'General Info and Liability'!$D$14/'General Info and Liability'!$B$10*$L5,""),"")</f>
        <v>4440</v>
      </c>
      <c r="N5" s="32">
        <f>IFERROR(IF($H4+1&lt;'General Info and Liability'!$B$15+1,'General Info and Liability'!$D$15/'General Info and Liability'!$B$10*$L5,""),"")</f>
        <v>1200</v>
      </c>
      <c r="O5" s="8"/>
      <c r="P5" s="8"/>
      <c r="Q5" t="str">
        <f>IFERROR(IF($H5+1&gt;0,'General Info and Liability'!$D$16,""),"")</f>
        <v>Partial Subterranean</v>
      </c>
      <c r="R5" t="str">
        <f>IFERROR(IF($H5+1&gt;0,'General Info and Liability'!$B$16,""),"")</f>
        <v>Flat</v>
      </c>
      <c r="S5" t="str">
        <f>IFERROR(IF($H4+1&lt;'General Info and Liability'!$B$15+1,'General Info and Liability'!$D$17,""),"")</f>
        <v>Battery</v>
      </c>
      <c r="T5" t="str">
        <f>IFERROR(IF($H4+1&lt;'General Info and Liability'!$B$15+1,'General Info and Liability'!$D$18,""),"")</f>
        <v>NO</v>
      </c>
      <c r="U5">
        <f>IFERROR(IF($H4+1&lt;'General Info and Liability'!$B$15+1,'General Info and Liability'!$D$19,""),"")</f>
        <v>1981</v>
      </c>
      <c r="V5">
        <f>IFERROR(IF($H4+1&lt;'General Info and Liability'!$B$15+1,'General Info and Liability'!$B$14,""),"")</f>
        <v>3</v>
      </c>
      <c r="W5" t="str">
        <f>IFERROR(IF($H4+1&lt;'General Info and Liability'!$B$15+1,'General Info and Liability'!$D$20,""),"")</f>
        <v>Frame</v>
      </c>
    </row>
    <row r="6" spans="1:23" ht="17.25" customHeight="1">
      <c r="A6" s="52" t="s">
        <v>52</v>
      </c>
      <c r="B6" s="53"/>
      <c r="C6" s="43">
        <f>'General Info and Liability'!B28</f>
        <v>0</v>
      </c>
      <c r="D6" s="21" t="s">
        <v>47</v>
      </c>
      <c r="E6" s="22">
        <v>35000</v>
      </c>
      <c r="F6" s="47">
        <f t="shared" si="0"/>
        <v>0</v>
      </c>
      <c r="G6" s="34"/>
      <c r="H6" t="str">
        <f>IFERROR(IF(H5+1&lt;'General Info and Liability'!$B$15+1,'Property Schedule'!H5+1,""),"")</f>
        <v/>
      </c>
      <c r="J6" s="8"/>
      <c r="K6" s="7" t="str">
        <f>IFERROR(IF($H5+1&lt;'General Info and Liability'!$B$15+1,'General Info and Liability'!$B$18/'General Info and Liability'!$B$10*$L6,""),"")</f>
        <v/>
      </c>
      <c r="L6" s="8"/>
      <c r="M6" s="31" t="str">
        <f>IFERROR(IF($H5+1&lt;'General Info and Liability'!$B$15+1,'General Info and Liability'!$D$14/'General Info and Liability'!$B$10*$L6,""),"")</f>
        <v/>
      </c>
      <c r="N6" s="32" t="str">
        <f>IFERROR(IF($H5+1&lt;'General Info and Liability'!$B$15+1,'General Info and Liability'!$D$15/'General Info and Liability'!$B$10*$L6,""),"")</f>
        <v/>
      </c>
      <c r="O6" s="8"/>
      <c r="P6" s="8"/>
      <c r="Q6" t="str">
        <f>IFERROR(IF($H6+1&gt;0,'General Info and Liability'!$D$16,""),"")</f>
        <v/>
      </c>
      <c r="R6" t="str">
        <f>IFERROR(IF($H6+1&gt;0,'General Info and Liability'!$B$16,""),"")</f>
        <v/>
      </c>
      <c r="S6" t="str">
        <f>IFERROR(IF($H5+1&lt;'General Info and Liability'!$B$15+1,'General Info and Liability'!$D$17,""),"")</f>
        <v/>
      </c>
      <c r="T6" t="str">
        <f>IFERROR(IF($H5+1&lt;'General Info and Liability'!$B$15+1,'General Info and Liability'!$D$18,""),"")</f>
        <v/>
      </c>
      <c r="U6" t="str">
        <f>IFERROR(IF($H5+1&lt;'General Info and Liability'!$B$15+1,'General Info and Liability'!$D$19,""),"")</f>
        <v/>
      </c>
      <c r="V6" t="str">
        <f>IFERROR(IF($H5+1&lt;'General Info and Liability'!$B$15+1,'General Info and Liability'!$B$14,""),"")</f>
        <v/>
      </c>
      <c r="W6" t="str">
        <f>IFERROR(IF($H5+1&lt;'General Info and Liability'!$B$15+1,'General Info and Liability'!$D$20,""),"")</f>
        <v/>
      </c>
    </row>
    <row r="7" spans="1:23" ht="17.25" customHeight="1">
      <c r="A7" s="52" t="s">
        <v>53</v>
      </c>
      <c r="B7" s="53"/>
      <c r="C7" s="43">
        <f>'General Info and Liability'!B29</f>
        <v>0</v>
      </c>
      <c r="D7" s="21" t="s">
        <v>54</v>
      </c>
      <c r="E7" s="22">
        <v>175</v>
      </c>
      <c r="F7" s="47">
        <f t="shared" si="0"/>
        <v>0</v>
      </c>
      <c r="G7" s="34"/>
      <c r="H7" t="str">
        <f>IFERROR(IF(H6+1&lt;'General Info and Liability'!$B$15+1,'Property Schedule'!H6+1,""),"")</f>
        <v/>
      </c>
      <c r="J7" s="8"/>
      <c r="K7" s="7" t="str">
        <f>IFERROR(IF($H6+1&lt;'General Info and Liability'!$B$15+1,'General Info and Liability'!$B$18/'General Info and Liability'!$B$10*$L7,""),"")</f>
        <v/>
      </c>
      <c r="L7" s="8"/>
      <c r="M7" s="31" t="str">
        <f>IFERROR(IF($H6+1&lt;'General Info and Liability'!$B$15+1,'General Info and Liability'!$D$14/'General Info and Liability'!$B$10*$L7,""),"")</f>
        <v/>
      </c>
      <c r="N7" s="32" t="str">
        <f>IFERROR(IF($H6+1&lt;'General Info and Liability'!$B$15+1,'General Info and Liability'!$D$15/'General Info and Liability'!$B$10*$L7,""),"")</f>
        <v/>
      </c>
      <c r="O7" s="8"/>
      <c r="P7" s="8"/>
      <c r="Q7" t="str">
        <f>IFERROR(IF($H7+1&gt;0,'General Info and Liability'!$D$16,""),"")</f>
        <v/>
      </c>
      <c r="R7" t="str">
        <f>IFERROR(IF($H7+1&gt;0,'General Info and Liability'!$B$16,""),"")</f>
        <v/>
      </c>
      <c r="S7" t="str">
        <f>IFERROR(IF($H6+1&lt;'General Info and Liability'!$B$15+1,'General Info and Liability'!$D$17,""),"")</f>
        <v/>
      </c>
      <c r="T7" t="str">
        <f>IFERROR(IF($H6+1&lt;'General Info and Liability'!$B$15+1,'General Info and Liability'!$D$18,""),"")</f>
        <v/>
      </c>
      <c r="U7" t="str">
        <f>IFERROR(IF($H6+1&lt;'General Info and Liability'!$B$15+1,'General Info and Liability'!$D$19,""),"")</f>
        <v/>
      </c>
      <c r="V7" t="str">
        <f>IFERROR(IF($H6+1&lt;'General Info and Liability'!$B$15+1,'General Info and Liability'!$B$14,""),"")</f>
        <v/>
      </c>
      <c r="W7" t="str">
        <f>IFERROR(IF($H6+1&lt;'General Info and Liability'!$B$15+1,'General Info and Liability'!$D$20,""),"")</f>
        <v/>
      </c>
    </row>
    <row r="8" spans="1:23" ht="17.25" customHeight="1">
      <c r="A8" s="52" t="s">
        <v>55</v>
      </c>
      <c r="B8" s="53"/>
      <c r="C8" s="43">
        <f>'General Info and Liability'!B30</f>
        <v>0</v>
      </c>
      <c r="D8" s="21" t="s">
        <v>54</v>
      </c>
      <c r="E8" s="22">
        <v>175</v>
      </c>
      <c r="F8" s="47">
        <f t="shared" si="0"/>
        <v>0</v>
      </c>
      <c r="G8" s="34"/>
      <c r="H8" t="str">
        <f>IFERROR(IF(H7+1&lt;'General Info and Liability'!$B$15+1,'Property Schedule'!H7+1,""),"")</f>
        <v/>
      </c>
      <c r="J8" s="8"/>
      <c r="K8" s="7" t="str">
        <f>IFERROR(IF($H7+1&lt;'General Info and Liability'!$B$15+1,'General Info and Liability'!$B$18/'General Info and Liability'!$B$10*$L8,""),"")</f>
        <v/>
      </c>
      <c r="L8" s="8"/>
      <c r="M8" s="31" t="str">
        <f>IFERROR(IF($H7+1&lt;'General Info and Liability'!$B$15+1,'General Info and Liability'!$D$14/'General Info and Liability'!$B$10*$L8,""),"")</f>
        <v/>
      </c>
      <c r="N8" s="32" t="str">
        <f>IFERROR(IF($H7+1&lt;'General Info and Liability'!$B$15+1,'General Info and Liability'!$D$15/'General Info and Liability'!$B$10*$L8,""),"")</f>
        <v/>
      </c>
      <c r="O8" s="8"/>
      <c r="P8" s="8"/>
      <c r="Q8" t="str">
        <f>IFERROR(IF($H8+1&gt;0,'General Info and Liability'!$D$16,""),"")</f>
        <v/>
      </c>
      <c r="R8" t="str">
        <f>IFERROR(IF($H8+1&gt;0,'General Info and Liability'!$B$16,""),"")</f>
        <v/>
      </c>
      <c r="S8" t="str">
        <f>IFERROR(IF($H7+1&lt;'General Info and Liability'!$B$15+1,'General Info and Liability'!$D$17,""),"")</f>
        <v/>
      </c>
      <c r="T8" t="str">
        <f>IFERROR(IF($H7+1&lt;'General Info and Liability'!$B$15+1,'General Info and Liability'!$D$18,""),"")</f>
        <v/>
      </c>
      <c r="U8" t="str">
        <f>IFERROR(IF($H7+1&lt;'General Info and Liability'!$B$15+1,'General Info and Liability'!$D$19,""),"")</f>
        <v/>
      </c>
      <c r="V8" t="str">
        <f>IFERROR(IF($H7+1&lt;'General Info and Liability'!$B$15+1,'General Info and Liability'!$B$14,""),"")</f>
        <v/>
      </c>
      <c r="W8" t="str">
        <f>IFERROR(IF($H7+1&lt;'General Info and Liability'!$B$15+1,'General Info and Liability'!$D$20,""),"")</f>
        <v/>
      </c>
    </row>
    <row r="9" spans="1:23" ht="17.25" customHeight="1">
      <c r="A9" s="52" t="s">
        <v>56</v>
      </c>
      <c r="B9" s="53"/>
      <c r="C9" s="43">
        <f>'General Info and Liability'!B31</f>
        <v>0</v>
      </c>
      <c r="D9" s="21" t="s">
        <v>54</v>
      </c>
      <c r="E9" s="22">
        <v>175</v>
      </c>
      <c r="F9" s="47">
        <f t="shared" si="0"/>
        <v>0</v>
      </c>
      <c r="G9" s="34"/>
      <c r="H9" t="str">
        <f>IFERROR(IF(H8+1&lt;'General Info and Liability'!$B$15+1,'Property Schedule'!H8+1,""),"")</f>
        <v/>
      </c>
      <c r="J9" s="8"/>
      <c r="K9" s="7" t="str">
        <f>IFERROR(IF($H8+1&lt;'General Info and Liability'!$B$15+1,'General Info and Liability'!$B$18/'General Info and Liability'!$B$10*$L9,""),"")</f>
        <v/>
      </c>
      <c r="L9" s="8"/>
      <c r="M9" s="31" t="str">
        <f>IFERROR(IF($H8+1&lt;'General Info and Liability'!$B$15+1,'General Info and Liability'!$D$14/'General Info and Liability'!$B$10*$L9,""),"")</f>
        <v/>
      </c>
      <c r="N9" s="32" t="str">
        <f>IFERROR(IF($H8+1&lt;'General Info and Liability'!$B$15+1,'General Info and Liability'!$D$15/'General Info and Liability'!$B$10*$L9,""),"")</f>
        <v/>
      </c>
      <c r="O9" s="8"/>
      <c r="P9" s="8"/>
      <c r="Q9" t="str">
        <f>IFERROR(IF($H9+1&gt;0,'General Info and Liability'!$D$16,""),"")</f>
        <v/>
      </c>
      <c r="R9" t="str">
        <f>IFERROR(IF($H9+1&gt;0,'General Info and Liability'!$B$16,""),"")</f>
        <v/>
      </c>
      <c r="S9" t="str">
        <f>IFERROR(IF($H8+1&lt;'General Info and Liability'!$B$15+1,'General Info and Liability'!$D$17,""),"")</f>
        <v/>
      </c>
      <c r="T9" t="str">
        <f>IFERROR(IF($H8+1&lt;'General Info and Liability'!$B$15+1,'General Info and Liability'!$D$18,""),"")</f>
        <v/>
      </c>
      <c r="U9" t="str">
        <f>IFERROR(IF($H8+1&lt;'General Info and Liability'!$B$15+1,'General Info and Liability'!$D$19,""),"")</f>
        <v/>
      </c>
      <c r="V9" t="str">
        <f>IFERROR(IF($H8+1&lt;'General Info and Liability'!$B$15+1,'General Info and Liability'!$B$14,""),"")</f>
        <v/>
      </c>
      <c r="W9" t="str">
        <f>IFERROR(IF($H8+1&lt;'General Info and Liability'!$B$15+1,'General Info and Liability'!$D$20,""),"")</f>
        <v/>
      </c>
    </row>
    <row r="10" spans="1:23" ht="17.25" customHeight="1">
      <c r="A10" s="52" t="s">
        <v>57</v>
      </c>
      <c r="B10" s="53"/>
      <c r="C10" s="43">
        <f>'General Info and Liability'!B32</f>
        <v>0</v>
      </c>
      <c r="D10" s="21" t="s">
        <v>54</v>
      </c>
      <c r="E10" s="22">
        <v>175</v>
      </c>
      <c r="F10" s="47">
        <f t="shared" si="0"/>
        <v>0</v>
      </c>
      <c r="G10" s="34"/>
      <c r="H10" t="str">
        <f>IFERROR(IF(H9+1&lt;'General Info and Liability'!$B$15+1,'Property Schedule'!H9+1,""),"")</f>
        <v/>
      </c>
      <c r="J10" s="8"/>
      <c r="K10" s="7" t="str">
        <f>IFERROR(IF($H9+1&lt;'General Info and Liability'!$B$15+1,'General Info and Liability'!$B$18/'General Info and Liability'!$B$10*$L10,""),"")</f>
        <v/>
      </c>
      <c r="L10" s="8"/>
      <c r="M10" s="31" t="str">
        <f>IFERROR(IF($H9+1&lt;'General Info and Liability'!$B$15+1,'General Info and Liability'!$D$14/'General Info and Liability'!$B$10*$L10,""),"")</f>
        <v/>
      </c>
      <c r="N10" s="32" t="str">
        <f>IFERROR(IF($H9+1&lt;'General Info and Liability'!$B$15+1,'General Info and Liability'!$D$15/'General Info and Liability'!$B$10*$L10,""),"")</f>
        <v/>
      </c>
      <c r="O10" s="8"/>
      <c r="P10" s="8"/>
      <c r="Q10" t="str">
        <f>IFERROR(IF($H10+1&gt;0,'General Info and Liability'!$D$16,""),"")</f>
        <v/>
      </c>
      <c r="R10" t="str">
        <f>IFERROR(IF($H10+1&gt;0,'General Info and Liability'!$B$16,""),"")</f>
        <v/>
      </c>
      <c r="S10" t="str">
        <f>IFERROR(IF($H9+1&lt;'General Info and Liability'!$B$15+1,'General Info and Liability'!$D$17,""),"")</f>
        <v/>
      </c>
      <c r="T10" t="str">
        <f>IFERROR(IF($H9+1&lt;'General Info and Liability'!$B$15+1,'General Info and Liability'!$D$18,""),"")</f>
        <v/>
      </c>
      <c r="U10" t="str">
        <f>IFERROR(IF($H9+1&lt;'General Info and Liability'!$B$15+1,'General Info and Liability'!$D$19,""),"")</f>
        <v/>
      </c>
      <c r="V10" t="str">
        <f>IFERROR(IF($H9+1&lt;'General Info and Liability'!$B$15+1,'General Info and Liability'!$B$14,""),"")</f>
        <v/>
      </c>
      <c r="W10" t="str">
        <f>IFERROR(IF($H9+1&lt;'General Info and Liability'!$B$15+1,'General Info and Liability'!$D$20,""),"")</f>
        <v/>
      </c>
    </row>
    <row r="11" spans="1:23" ht="17.25" customHeight="1">
      <c r="A11" s="52" t="s">
        <v>58</v>
      </c>
      <c r="B11" s="53"/>
      <c r="C11" s="43">
        <f>'General Info and Liability'!B33</f>
        <v>0</v>
      </c>
      <c r="D11" s="21" t="s">
        <v>47</v>
      </c>
      <c r="E11" s="22">
        <v>25000</v>
      </c>
      <c r="F11" s="47">
        <f t="shared" si="0"/>
        <v>0</v>
      </c>
      <c r="G11" s="34"/>
      <c r="H11" t="str">
        <f>IFERROR(IF(H10+1&lt;'General Info and Liability'!$B$15+1,'Property Schedule'!H10+1,""),"")</f>
        <v/>
      </c>
      <c r="J11" s="8"/>
      <c r="K11" s="7" t="str">
        <f>IFERROR(IF($H10+1&lt;'General Info and Liability'!$B$15+1,'General Info and Liability'!$B$18/'General Info and Liability'!$B$10*$L11,""),"")</f>
        <v/>
      </c>
      <c r="L11" s="8"/>
      <c r="M11" s="31" t="str">
        <f>IFERROR(IF($H10+1&lt;'General Info and Liability'!$B$15+1,'General Info and Liability'!$D$14/'General Info and Liability'!$B$10*$L11,""),"")</f>
        <v/>
      </c>
      <c r="N11" s="32" t="str">
        <f>IFERROR(IF($H10+1&lt;'General Info and Liability'!$B$15+1,'General Info and Liability'!$D$15/'General Info and Liability'!$B$10*$L11,""),"")</f>
        <v/>
      </c>
      <c r="O11" s="8"/>
      <c r="P11" s="8"/>
      <c r="Q11" t="str">
        <f>IFERROR(IF($H11+1&gt;0,'General Info and Liability'!$D$16,""),"")</f>
        <v/>
      </c>
      <c r="R11" t="str">
        <f>IFERROR(IF($H11+1&gt;0,'General Info and Liability'!$B$16,""),"")</f>
        <v/>
      </c>
      <c r="S11" t="str">
        <f>IFERROR(IF($H10+1&lt;'General Info and Liability'!$B$15+1,'General Info and Liability'!$D$17,""),"")</f>
        <v/>
      </c>
      <c r="T11" t="str">
        <f>IFERROR(IF($H10+1&lt;'General Info and Liability'!$B$15+1,'General Info and Liability'!$D$18,""),"")</f>
        <v/>
      </c>
      <c r="U11" t="str">
        <f>IFERROR(IF($H10+1&lt;'General Info and Liability'!$B$15+1,'General Info and Liability'!$D$19,""),"")</f>
        <v/>
      </c>
      <c r="V11" t="str">
        <f>IFERROR(IF($H10+1&lt;'General Info and Liability'!$B$15+1,'General Info and Liability'!$B$14,""),"")</f>
        <v/>
      </c>
      <c r="W11" t="str">
        <f>IFERROR(IF($H10+1&lt;'General Info and Liability'!$B$15+1,'General Info and Liability'!$D$20,""),"")</f>
        <v/>
      </c>
    </row>
    <row r="12" spans="1:23" ht="17.25" customHeight="1">
      <c r="A12" s="52" t="s">
        <v>59</v>
      </c>
      <c r="B12" s="53"/>
      <c r="C12" s="43">
        <f>'General Info and Liability'!B34</f>
        <v>0</v>
      </c>
      <c r="D12" s="21" t="s">
        <v>47</v>
      </c>
      <c r="E12" s="22">
        <v>25000</v>
      </c>
      <c r="F12" s="47">
        <f t="shared" si="0"/>
        <v>0</v>
      </c>
      <c r="G12" s="34"/>
      <c r="H12" t="str">
        <f>IFERROR(IF(H11+1&lt;'General Info and Liability'!$B$15+1,'Property Schedule'!H11+1,""),"")</f>
        <v/>
      </c>
      <c r="J12" s="8"/>
      <c r="K12" s="7" t="str">
        <f>IFERROR(IF($H11+1&lt;'General Info and Liability'!$B$15+1,'General Info and Liability'!$B$18/'General Info and Liability'!$B$10*$L12,""),"")</f>
        <v/>
      </c>
      <c r="L12" s="8"/>
      <c r="M12" s="31" t="str">
        <f>IFERROR(IF($H11+1&lt;'General Info and Liability'!$B$15+1,'General Info and Liability'!$D$14/'General Info and Liability'!$B$10*$L12,""),"")</f>
        <v/>
      </c>
      <c r="N12" s="32" t="str">
        <f>IFERROR(IF($H11+1&lt;'General Info and Liability'!$B$15+1,'General Info and Liability'!$D$15/'General Info and Liability'!$B$10*$L12,""),"")</f>
        <v/>
      </c>
      <c r="O12" s="8"/>
      <c r="P12" s="8"/>
      <c r="Q12" t="str">
        <f>IFERROR(IF($H12+1&gt;0,'General Info and Liability'!$D$16,""),"")</f>
        <v/>
      </c>
      <c r="R12" t="str">
        <f>IFERROR(IF($H12+1&gt;0,'General Info and Liability'!$B$16,""),"")</f>
        <v/>
      </c>
      <c r="S12" t="str">
        <f>IFERROR(IF($H11+1&lt;'General Info and Liability'!$B$15+1,'General Info and Liability'!$D$17,""),"")</f>
        <v/>
      </c>
      <c r="T12" t="str">
        <f>IFERROR(IF($H11+1&lt;'General Info and Liability'!$B$15+1,'General Info and Liability'!$D$18,""),"")</f>
        <v/>
      </c>
      <c r="U12" t="str">
        <f>IFERROR(IF($H11+1&lt;'General Info and Liability'!$B$15+1,'General Info and Liability'!$D$19,""),"")</f>
        <v/>
      </c>
      <c r="V12" t="str">
        <f>IFERROR(IF($H11+1&lt;'General Info and Liability'!$B$15+1,'General Info and Liability'!$B$14,""),"")</f>
        <v/>
      </c>
      <c r="W12" t="str">
        <f>IFERROR(IF($H11+1&lt;'General Info and Liability'!$B$15+1,'General Info and Liability'!$D$20,""),"")</f>
        <v/>
      </c>
    </row>
    <row r="13" spans="1:23" ht="17.25" customHeight="1">
      <c r="A13" s="52" t="s">
        <v>60</v>
      </c>
      <c r="B13" s="53"/>
      <c r="C13" s="43">
        <f>'General Info and Liability'!B35</f>
        <v>0</v>
      </c>
      <c r="D13" s="21" t="s">
        <v>47</v>
      </c>
      <c r="E13" s="23">
        <v>25000</v>
      </c>
      <c r="F13" s="47">
        <f t="shared" si="0"/>
        <v>0</v>
      </c>
      <c r="G13" s="34"/>
      <c r="H13" t="str">
        <f>IFERROR(IF(H12+1&lt;'General Info and Liability'!$B$15+1,'Property Schedule'!H12+1,""),"")</f>
        <v/>
      </c>
      <c r="J13" s="8"/>
      <c r="K13" s="7" t="str">
        <f>IFERROR(IF($H12+1&lt;'General Info and Liability'!$B$15+1,'General Info and Liability'!$B$18/'General Info and Liability'!$B$10*$L13,""),"")</f>
        <v/>
      </c>
      <c r="L13" s="8"/>
      <c r="M13" s="31" t="str">
        <f>IFERROR(IF($H12+1&lt;'General Info and Liability'!$B$15+1,'General Info and Liability'!$D$14/'General Info and Liability'!$B$10*$L13,""),"")</f>
        <v/>
      </c>
      <c r="N13" s="32" t="str">
        <f>IFERROR(IF($H12+1&lt;'General Info and Liability'!$B$15+1,'General Info and Liability'!$D$15/'General Info and Liability'!$B$10*$L13,""),"")</f>
        <v/>
      </c>
      <c r="O13" s="8"/>
      <c r="P13" s="8"/>
      <c r="Q13" t="str">
        <f>IFERROR(IF($H13+1&gt;0,'General Info and Liability'!$D$16,""),"")</f>
        <v/>
      </c>
      <c r="R13" t="str">
        <f>IFERROR(IF($H13+1&gt;0,'General Info and Liability'!$B$16,""),"")</f>
        <v/>
      </c>
      <c r="S13" t="str">
        <f>IFERROR(IF($H12+1&lt;'General Info and Liability'!$B$15+1,'General Info and Liability'!$D$17,""),"")</f>
        <v/>
      </c>
      <c r="T13" t="str">
        <f>IFERROR(IF($H12+1&lt;'General Info and Liability'!$B$15+1,'General Info and Liability'!$D$18,""),"")</f>
        <v/>
      </c>
      <c r="U13" t="str">
        <f>IFERROR(IF($H12+1&lt;'General Info and Liability'!$B$15+1,'General Info and Liability'!$D$19,""),"")</f>
        <v/>
      </c>
      <c r="V13" t="str">
        <f>IFERROR(IF($H12+1&lt;'General Info and Liability'!$B$15+1,'General Info and Liability'!$B$14,""),"")</f>
        <v/>
      </c>
      <c r="W13" t="str">
        <f>IFERROR(IF($H12+1&lt;'General Info and Liability'!$B$15+1,'General Info and Liability'!$D$20,""),"")</f>
        <v/>
      </c>
    </row>
    <row r="14" spans="1:23" ht="17.25" customHeight="1">
      <c r="A14" s="52" t="s">
        <v>61</v>
      </c>
      <c r="B14" s="53"/>
      <c r="C14" s="43">
        <f>'General Info and Liability'!B36</f>
        <v>0</v>
      </c>
      <c r="D14" s="21" t="s">
        <v>49</v>
      </c>
      <c r="E14" s="22">
        <v>500</v>
      </c>
      <c r="F14" s="47">
        <f t="shared" si="0"/>
        <v>0</v>
      </c>
      <c r="G14" s="34"/>
      <c r="H14" t="str">
        <f>IFERROR(IF(H13+1&lt;'General Info and Liability'!$B$15+1,'Property Schedule'!H13+1,""),"")</f>
        <v/>
      </c>
      <c r="J14" s="8"/>
      <c r="K14" s="7" t="str">
        <f>IFERROR(IF($H13+1&lt;'General Info and Liability'!$B$15+1,'General Info and Liability'!$B$18/'General Info and Liability'!$B$10*$L14,""),"")</f>
        <v/>
      </c>
      <c r="L14" s="8"/>
      <c r="M14" s="31" t="str">
        <f>IFERROR(IF($H13+1&lt;'General Info and Liability'!$B$15+1,'General Info and Liability'!$D$14/'General Info and Liability'!$B$10*$L14,""),"")</f>
        <v/>
      </c>
      <c r="N14" s="32" t="str">
        <f>IFERROR(IF($H13+1&lt;'General Info and Liability'!$B$15+1,'General Info and Liability'!$D$15/'General Info and Liability'!$B$10*$L14,""),"")</f>
        <v/>
      </c>
      <c r="O14" s="8"/>
      <c r="P14" s="8"/>
      <c r="Q14" t="str">
        <f>IFERROR(IF($H14+1&gt;0,'General Info and Liability'!$D$16,""),"")</f>
        <v/>
      </c>
      <c r="R14" t="str">
        <f>IFERROR(IF($H14+1&gt;0,'General Info and Liability'!$B$16,""),"")</f>
        <v/>
      </c>
      <c r="S14" t="str">
        <f>IFERROR(IF($H13+1&lt;'General Info and Liability'!$B$15+1,'General Info and Liability'!$D$17,""),"")</f>
        <v/>
      </c>
      <c r="T14" t="str">
        <f>IFERROR(IF($H13+1&lt;'General Info and Liability'!$B$15+1,'General Info and Liability'!$D$18,""),"")</f>
        <v/>
      </c>
      <c r="U14" t="str">
        <f>IFERROR(IF($H13+1&lt;'General Info and Liability'!$B$15+1,'General Info and Liability'!$D$19,""),"")</f>
        <v/>
      </c>
      <c r="V14" t="str">
        <f>IFERROR(IF($H13+1&lt;'General Info and Liability'!$B$15+1,'General Info and Liability'!$B$14,""),"")</f>
        <v/>
      </c>
      <c r="W14" t="str">
        <f>IFERROR(IF($H13+1&lt;'General Info and Liability'!$B$15+1,'General Info and Liability'!$D$20,""),"")</f>
        <v/>
      </c>
    </row>
    <row r="15" spans="1:23" ht="17.25" customHeight="1">
      <c r="A15" s="52" t="s">
        <v>62</v>
      </c>
      <c r="B15" s="53"/>
      <c r="C15" s="43">
        <f>'General Info and Liability'!B37</f>
        <v>0</v>
      </c>
      <c r="D15" s="21" t="s">
        <v>47</v>
      </c>
      <c r="E15" s="22">
        <v>10000</v>
      </c>
      <c r="F15" s="47">
        <f t="shared" si="0"/>
        <v>0</v>
      </c>
      <c r="G15" s="34"/>
      <c r="H15" t="str">
        <f>IFERROR(IF(H14+1&lt;'General Info and Liability'!$B$15+1,'Property Schedule'!H14+1,""),"")</f>
        <v/>
      </c>
      <c r="J15" s="8"/>
      <c r="K15" s="7" t="str">
        <f>IFERROR(IF($H14+1&lt;'General Info and Liability'!$B$15+1,'General Info and Liability'!$B$18/'General Info and Liability'!$B$10*$L15,""),"")</f>
        <v/>
      </c>
      <c r="L15" s="8"/>
      <c r="M15" s="31" t="str">
        <f>IFERROR(IF($H14+1&lt;'General Info and Liability'!$B$15+1,'General Info and Liability'!$D$14/'General Info and Liability'!$B$10*$L15,""),"")</f>
        <v/>
      </c>
      <c r="N15" s="32" t="str">
        <f>IFERROR(IF($H14+1&lt;'General Info and Liability'!$B$15+1,'General Info and Liability'!$D$15/'General Info and Liability'!$B$10*$L15,""),"")</f>
        <v/>
      </c>
      <c r="O15" s="8"/>
      <c r="P15" s="8"/>
      <c r="Q15" t="str">
        <f>IFERROR(IF($H15+1&gt;0,'General Info and Liability'!$D$16,""),"")</f>
        <v/>
      </c>
      <c r="R15" t="str">
        <f>IFERROR(IF($H15+1&gt;0,'General Info and Liability'!$B$16,""),"")</f>
        <v/>
      </c>
      <c r="S15" t="str">
        <f>IFERROR(IF($H14+1&lt;'General Info and Liability'!$B$15+1,'General Info and Liability'!$D$17,""),"")</f>
        <v/>
      </c>
      <c r="T15" t="str">
        <f>IFERROR(IF($H14+1&lt;'General Info and Liability'!$B$15+1,'General Info and Liability'!$D$18,""),"")</f>
        <v/>
      </c>
      <c r="U15" t="str">
        <f>IFERROR(IF($H14+1&lt;'General Info and Liability'!$B$15+1,'General Info and Liability'!$D$19,""),"")</f>
        <v/>
      </c>
      <c r="V15" t="str">
        <f>IFERROR(IF($H14+1&lt;'General Info and Liability'!$B$15+1,'General Info and Liability'!$B$14,""),"")</f>
        <v/>
      </c>
      <c r="W15" t="str">
        <f>IFERROR(IF($H14+1&lt;'General Info and Liability'!$B$15+1,'General Info and Liability'!$D$20,""),"")</f>
        <v/>
      </c>
    </row>
    <row r="16" spans="1:23" ht="17.25" customHeight="1">
      <c r="A16" s="52" t="s">
        <v>63</v>
      </c>
      <c r="B16" s="53"/>
      <c r="C16" s="43">
        <f>'General Info and Liability'!B38</f>
        <v>0</v>
      </c>
      <c r="D16" s="21" t="s">
        <v>47</v>
      </c>
      <c r="E16" s="22">
        <v>5000</v>
      </c>
      <c r="F16" s="47">
        <f t="shared" si="0"/>
        <v>0</v>
      </c>
      <c r="G16" s="34"/>
      <c r="H16" t="str">
        <f>IFERROR(IF(H15+1&lt;'General Info and Liability'!$B$15+1,'Property Schedule'!H15+1,""),"")</f>
        <v/>
      </c>
      <c r="J16" s="8"/>
      <c r="K16" s="7" t="str">
        <f>IFERROR(IF($H15+1&lt;'General Info and Liability'!$B$15+1,'General Info and Liability'!$B$18/'General Info and Liability'!$B$10*$L16,""),"")</f>
        <v/>
      </c>
      <c r="L16" s="8"/>
      <c r="M16" s="31" t="str">
        <f>IFERROR(IF($H15+1&lt;'General Info and Liability'!$B$15+1,'General Info and Liability'!$D$14/'General Info and Liability'!$B$10*$L16,""),"")</f>
        <v/>
      </c>
      <c r="N16" s="32" t="str">
        <f>IFERROR(IF($H15+1&lt;'General Info and Liability'!$B$15+1,'General Info and Liability'!$D$15/'General Info and Liability'!$B$10*$L16,""),"")</f>
        <v/>
      </c>
      <c r="O16" s="8"/>
      <c r="P16" s="8"/>
      <c r="Q16" t="str">
        <f>IFERROR(IF($H16+1&gt;0,'General Info and Liability'!$D$16,""),"")</f>
        <v/>
      </c>
      <c r="R16" t="str">
        <f>IFERROR(IF($H16+1&gt;0,'General Info and Liability'!$B$16,""),"")</f>
        <v/>
      </c>
      <c r="S16" t="str">
        <f>IFERROR(IF($H15+1&lt;'General Info and Liability'!$B$15+1,'General Info and Liability'!$D$17,""),"")</f>
        <v/>
      </c>
      <c r="T16" t="str">
        <f>IFERROR(IF($H15+1&lt;'General Info and Liability'!$B$15+1,'General Info and Liability'!$D$18,""),"")</f>
        <v/>
      </c>
      <c r="U16" t="str">
        <f>IFERROR(IF($H15+1&lt;'General Info and Liability'!$B$15+1,'General Info and Liability'!$D$19,""),"")</f>
        <v/>
      </c>
      <c r="V16" t="str">
        <f>IFERROR(IF($H15+1&lt;'General Info and Liability'!$B$15+1,'General Info and Liability'!$B$14,""),"")</f>
        <v/>
      </c>
      <c r="W16" t="str">
        <f>IFERROR(IF($H15+1&lt;'General Info and Liability'!$B$15+1,'General Info and Liability'!$D$20,""),"")</f>
        <v/>
      </c>
    </row>
    <row r="17" spans="1:23" ht="17.25" customHeight="1">
      <c r="A17" s="52" t="s">
        <v>64</v>
      </c>
      <c r="B17" s="53"/>
      <c r="C17" s="43">
        <f>'General Info and Liability'!B39</f>
        <v>0</v>
      </c>
      <c r="D17" s="21" t="s">
        <v>47</v>
      </c>
      <c r="E17" s="22">
        <v>20000</v>
      </c>
      <c r="F17" s="47">
        <f t="shared" si="0"/>
        <v>0</v>
      </c>
      <c r="G17" s="34"/>
      <c r="H17" t="str">
        <f>IFERROR(IF(H16+1&lt;'General Info and Liability'!$B$15+1,'Property Schedule'!H16+1,""),"")</f>
        <v/>
      </c>
      <c r="J17" s="8"/>
      <c r="K17" s="7" t="str">
        <f>IFERROR(IF($H16+1&lt;'General Info and Liability'!$B$15+1,'General Info and Liability'!$B$18/'General Info and Liability'!$B$10*$L17,""),"")</f>
        <v/>
      </c>
      <c r="L17" s="8"/>
      <c r="M17" s="31" t="str">
        <f>IFERROR(IF($H16+1&lt;'General Info and Liability'!$B$15+1,'General Info and Liability'!$D$14/'General Info and Liability'!$B$10*$L17,""),"")</f>
        <v/>
      </c>
      <c r="N17" s="32" t="str">
        <f>IFERROR(IF($H16+1&lt;'General Info and Liability'!$B$15+1,'General Info and Liability'!$D$15/'General Info and Liability'!$B$10*$L17,""),"")</f>
        <v/>
      </c>
      <c r="O17" s="8"/>
      <c r="P17" s="8"/>
      <c r="Q17" t="str">
        <f>IFERROR(IF($H17+1&gt;0,'General Info and Liability'!$D$16,""),"")</f>
        <v/>
      </c>
      <c r="R17" t="str">
        <f>IFERROR(IF($H17+1&gt;0,'General Info and Liability'!$B$16,""),"")</f>
        <v/>
      </c>
      <c r="S17" t="str">
        <f>IFERROR(IF($H16+1&lt;'General Info and Liability'!$B$15+1,'General Info and Liability'!$D$17,""),"")</f>
        <v/>
      </c>
      <c r="T17" t="str">
        <f>IFERROR(IF($H16+1&lt;'General Info and Liability'!$B$15+1,'General Info and Liability'!$D$18,""),"")</f>
        <v/>
      </c>
      <c r="U17" t="str">
        <f>IFERROR(IF($H16+1&lt;'General Info and Liability'!$B$15+1,'General Info and Liability'!$D$19,""),"")</f>
        <v/>
      </c>
      <c r="V17" t="str">
        <f>IFERROR(IF($H16+1&lt;'General Info and Liability'!$B$15+1,'General Info and Liability'!$B$14,""),"")</f>
        <v/>
      </c>
      <c r="W17" t="str">
        <f>IFERROR(IF($H16+1&lt;'General Info and Liability'!$B$15+1,'General Info and Liability'!$D$20,""),"")</f>
        <v/>
      </c>
    </row>
    <row r="18" spans="1:23" ht="17.25" customHeight="1">
      <c r="A18" s="54" t="s">
        <v>65</v>
      </c>
      <c r="B18" s="55"/>
      <c r="C18" s="44">
        <f>'General Info and Liability'!B40</f>
        <v>0</v>
      </c>
      <c r="D18" s="24" t="s">
        <v>47</v>
      </c>
      <c r="E18" s="25">
        <v>15000</v>
      </c>
      <c r="F18" s="48">
        <f t="shared" si="0"/>
        <v>0</v>
      </c>
      <c r="G18" s="34"/>
      <c r="H18" t="str">
        <f>IFERROR(IF(H17+1&lt;'General Info and Liability'!$B$15+1,'Property Schedule'!H17+1,""),"")</f>
        <v/>
      </c>
      <c r="J18" s="8"/>
      <c r="K18" s="7" t="str">
        <f>IFERROR(IF($H17+1&lt;'General Info and Liability'!$B$15+1,'General Info and Liability'!$B$18/'General Info and Liability'!$B$10*$L18,""),"")</f>
        <v/>
      </c>
      <c r="L18" s="8"/>
      <c r="M18" s="31" t="str">
        <f>IFERROR(IF($H17+1&lt;'General Info and Liability'!$B$15+1,'General Info and Liability'!$D$14/'General Info and Liability'!$B$10*$L18,""),"")</f>
        <v/>
      </c>
      <c r="N18" s="32" t="str">
        <f>IFERROR(IF($H17+1&lt;'General Info and Liability'!$B$15+1,'General Info and Liability'!$D$15/'General Info and Liability'!$B$10*$L18,""),"")</f>
        <v/>
      </c>
      <c r="O18" s="8"/>
      <c r="P18" s="8"/>
      <c r="Q18" t="str">
        <f>IFERROR(IF($H18+1&gt;0,'General Info and Liability'!$D$16,""),"")</f>
        <v/>
      </c>
      <c r="R18" t="str">
        <f>IFERROR(IF($H18+1&gt;0,'General Info and Liability'!$B$16,""),"")</f>
        <v/>
      </c>
      <c r="S18" t="str">
        <f>IFERROR(IF($H17+1&lt;'General Info and Liability'!$B$15+1,'General Info and Liability'!$D$17,""),"")</f>
        <v/>
      </c>
      <c r="T18" t="str">
        <f>IFERROR(IF($H17+1&lt;'General Info and Liability'!$B$15+1,'General Info and Liability'!$D$18,""),"")</f>
        <v/>
      </c>
      <c r="U18" t="str">
        <f>IFERROR(IF($H17+1&lt;'General Info and Liability'!$B$15+1,'General Info and Liability'!$D$19,""),"")</f>
        <v/>
      </c>
      <c r="V18" t="str">
        <f>IFERROR(IF($H17+1&lt;'General Info and Liability'!$B$15+1,'General Info and Liability'!$B$14,""),"")</f>
        <v/>
      </c>
      <c r="W18" t="str">
        <f>IFERROR(IF($H17+1&lt;'General Info and Liability'!$B$15+1,'General Info and Liability'!$D$20,""),"")</f>
        <v/>
      </c>
    </row>
    <row r="19" spans="1:23" ht="17.25" customHeight="1">
      <c r="A19" s="50" t="s">
        <v>85</v>
      </c>
      <c r="B19" s="51"/>
      <c r="C19" s="42"/>
      <c r="D19" s="19"/>
      <c r="E19" s="26"/>
      <c r="F19" s="45">
        <v>50000</v>
      </c>
      <c r="G19" s="34"/>
      <c r="H19" t="str">
        <f>IFERROR(IF(H18+1&lt;'General Info and Liability'!$B$15+1,'Property Schedule'!H18+1,""),"")</f>
        <v/>
      </c>
      <c r="J19" s="8"/>
      <c r="K19" s="7" t="str">
        <f>IFERROR(IF($H18+1&lt;'General Info and Liability'!$B$15+1,'General Info and Liability'!$B$18/'General Info and Liability'!$B$10*$L19,""),"")</f>
        <v/>
      </c>
      <c r="L19" s="8"/>
      <c r="M19" s="31" t="str">
        <f>IFERROR(IF($H18+1&lt;'General Info and Liability'!$B$15+1,'General Info and Liability'!$D$14/'General Info and Liability'!$B$10*$L19,""),"")</f>
        <v/>
      </c>
      <c r="N19" s="32" t="str">
        <f>IFERROR(IF($H18+1&lt;'General Info and Liability'!$B$15+1,'General Info and Liability'!$D$15/'General Info and Liability'!$B$10*$L19,""),"")</f>
        <v/>
      </c>
      <c r="O19" s="8"/>
      <c r="P19" s="8"/>
      <c r="Q19" t="str">
        <f>IFERROR(IF($H19+1&gt;0,'General Info and Liability'!$D$16,""),"")</f>
        <v/>
      </c>
      <c r="R19" t="str">
        <f>IFERROR(IF($H19+1&gt;0,'General Info and Liability'!$B$16,""),"")</f>
        <v/>
      </c>
      <c r="S19" t="str">
        <f>IFERROR(IF($H18+1&lt;'General Info and Liability'!$B$15+1,'General Info and Liability'!$D$17,""),"")</f>
        <v/>
      </c>
      <c r="T19" t="str">
        <f>IFERROR(IF($H18+1&lt;'General Info and Liability'!$B$15+1,'General Info and Liability'!$D$18,""),"")</f>
        <v/>
      </c>
      <c r="U19" t="str">
        <f>IFERROR(IF($H18+1&lt;'General Info and Liability'!$B$15+1,'General Info and Liability'!$D$19,""),"")</f>
        <v/>
      </c>
      <c r="V19" t="str">
        <f>IFERROR(IF($H18+1&lt;'General Info and Liability'!$B$15+1,'General Info and Liability'!$B$14,""),"")</f>
        <v/>
      </c>
      <c r="W19" t="str">
        <f>IFERROR(IF($H18+1&lt;'General Info and Liability'!$B$15+1,'General Info and Liability'!$D$20,""),"")</f>
        <v/>
      </c>
    </row>
    <row r="20" spans="1:23" ht="17.25" customHeight="1">
      <c r="A20" s="52" t="s">
        <v>86</v>
      </c>
      <c r="B20" s="53"/>
      <c r="C20" s="43"/>
      <c r="D20" s="21"/>
      <c r="E20" s="27"/>
      <c r="F20" s="46">
        <v>15000</v>
      </c>
      <c r="G20" s="34"/>
      <c r="H20" t="str">
        <f>IFERROR(IF(H19+1&lt;'General Info and Liability'!$B$15+1,'Property Schedule'!H19+1,""),"")</f>
        <v/>
      </c>
      <c r="J20" s="8"/>
      <c r="K20" s="7" t="str">
        <f>IFERROR(IF($H19+1&lt;'General Info and Liability'!$B$15+1,'General Info and Liability'!$B$18/'General Info and Liability'!$B$10*$L20,""),"")</f>
        <v/>
      </c>
      <c r="L20" s="8"/>
      <c r="M20" s="31" t="str">
        <f>IFERROR(IF($H19+1&lt;'General Info and Liability'!$B$15+1,'General Info and Liability'!$D$14/'General Info and Liability'!$B$10*$L20,""),"")</f>
        <v/>
      </c>
      <c r="N20" s="32" t="str">
        <f>IFERROR(IF($H19+1&lt;'General Info and Liability'!$B$15+1,'General Info and Liability'!$D$15/'General Info and Liability'!$B$10*$L20,""),"")</f>
        <v/>
      </c>
      <c r="O20" s="8"/>
      <c r="P20" s="8"/>
      <c r="Q20" t="str">
        <f>IFERROR(IF($H20+1&gt;0,'General Info and Liability'!$D$16,""),"")</f>
        <v/>
      </c>
      <c r="R20" t="str">
        <f>IFERROR(IF($H20+1&gt;0,'General Info and Liability'!$B$16,""),"")</f>
        <v/>
      </c>
      <c r="S20" t="str">
        <f>IFERROR(IF($H19+1&lt;'General Info and Liability'!$B$15+1,'General Info and Liability'!$D$17,""),"")</f>
        <v/>
      </c>
      <c r="T20" t="str">
        <f>IFERROR(IF($H19+1&lt;'General Info and Liability'!$B$15+1,'General Info and Liability'!$D$18,""),"")</f>
        <v/>
      </c>
      <c r="U20" t="str">
        <f>IFERROR(IF($H19+1&lt;'General Info and Liability'!$B$15+1,'General Info and Liability'!$D$19,""),"")</f>
        <v/>
      </c>
      <c r="V20" t="str">
        <f>IFERROR(IF($H19+1&lt;'General Info and Liability'!$B$15+1,'General Info and Liability'!$B$14,""),"")</f>
        <v/>
      </c>
      <c r="W20" t="str">
        <f>IFERROR(IF($H19+1&lt;'General Info and Liability'!$B$15+1,'General Info and Liability'!$D$20,""),"")</f>
        <v/>
      </c>
    </row>
    <row r="21" spans="1:23" ht="17.25" customHeight="1">
      <c r="A21" s="52" t="s">
        <v>87</v>
      </c>
      <c r="B21" s="53"/>
      <c r="C21" s="43"/>
      <c r="D21" s="21"/>
      <c r="E21" s="27"/>
      <c r="F21" s="46">
        <v>10000</v>
      </c>
      <c r="G21" s="34"/>
      <c r="H21" t="str">
        <f>IFERROR(IF(H20+1&lt;'General Info and Liability'!$B$15+1,'Property Schedule'!H20+1,""),"")</f>
        <v/>
      </c>
      <c r="J21" s="8"/>
      <c r="K21" s="7" t="str">
        <f>IFERROR(IF($H20+1&lt;'General Info and Liability'!$B$15+1,'General Info and Liability'!$B$18/'General Info and Liability'!$B$10*$L21,""),"")</f>
        <v/>
      </c>
      <c r="L21" s="8"/>
      <c r="M21" s="31" t="str">
        <f>IFERROR(IF($H20+1&lt;'General Info and Liability'!$B$15+1,'General Info and Liability'!$D$14/'General Info and Liability'!$B$10*$L21,""),"")</f>
        <v/>
      </c>
      <c r="N21" s="32" t="str">
        <f>IFERROR(IF($H20+1&lt;'General Info and Liability'!$B$15+1,'General Info and Liability'!$D$15/'General Info and Liability'!$B$10*$L21,""),"")</f>
        <v/>
      </c>
      <c r="O21" s="8"/>
      <c r="P21" s="8"/>
      <c r="Q21" t="str">
        <f>IFERROR(IF($H21+1&gt;0,'General Info and Liability'!$D$16,""),"")</f>
        <v/>
      </c>
      <c r="R21" t="str">
        <f>IFERROR(IF($H21+1&gt;0,'General Info and Liability'!$B$16,""),"")</f>
        <v/>
      </c>
      <c r="S21" t="str">
        <f>IFERROR(IF($H20+1&lt;'General Info and Liability'!$B$15+1,'General Info and Liability'!$D$17,""),"")</f>
        <v/>
      </c>
      <c r="T21" t="str">
        <f>IFERROR(IF($H20+1&lt;'General Info and Liability'!$B$15+1,'General Info and Liability'!$D$18,""),"")</f>
        <v/>
      </c>
      <c r="U21" t="str">
        <f>IFERROR(IF($H20+1&lt;'General Info and Liability'!$B$15+1,'General Info and Liability'!$D$19,""),"")</f>
        <v/>
      </c>
      <c r="V21" t="str">
        <f>IFERROR(IF($H20+1&lt;'General Info and Liability'!$B$15+1,'General Info and Liability'!$B$14,""),"")</f>
        <v/>
      </c>
      <c r="W21" t="str">
        <f>IFERROR(IF($H20+1&lt;'General Info and Liability'!$B$15+1,'General Info and Liability'!$D$20,""),"")</f>
        <v/>
      </c>
    </row>
    <row r="22" spans="1:23" ht="17.25" customHeight="1">
      <c r="A22" s="52" t="s">
        <v>88</v>
      </c>
      <c r="B22" s="53"/>
      <c r="C22" s="43"/>
      <c r="D22" s="21"/>
      <c r="E22" s="27"/>
      <c r="F22" s="46">
        <v>15000</v>
      </c>
      <c r="G22" s="34"/>
      <c r="H22" t="str">
        <f>IFERROR(IF(H21+1&lt;'General Info and Liability'!$B$15+1,'Property Schedule'!H21+1,""),"")</f>
        <v/>
      </c>
      <c r="J22" s="8"/>
      <c r="K22" s="7" t="str">
        <f>IFERROR(IF($H21+1&lt;'General Info and Liability'!$B$15+1,'General Info and Liability'!$B$18/'General Info and Liability'!$B$10*$L22,""),"")</f>
        <v/>
      </c>
      <c r="L22" s="8"/>
      <c r="M22" s="31" t="str">
        <f>IFERROR(IF($H21+1&lt;'General Info and Liability'!$B$15+1,'General Info and Liability'!$D$14/'General Info and Liability'!$B$10*$L22,""),"")</f>
        <v/>
      </c>
      <c r="N22" s="32" t="str">
        <f>IFERROR(IF($H21+1&lt;'General Info and Liability'!$B$15+1,'General Info and Liability'!$D$15/'General Info and Liability'!$B$10*$L22,""),"")</f>
        <v/>
      </c>
      <c r="O22" s="8"/>
      <c r="P22" s="8"/>
      <c r="Q22" t="str">
        <f>IFERROR(IF($H22+1&gt;0,'General Info and Liability'!$D$16,""),"")</f>
        <v/>
      </c>
      <c r="R22" t="str">
        <f>IFERROR(IF($H22+1&gt;0,'General Info and Liability'!$B$16,""),"")</f>
        <v/>
      </c>
      <c r="S22" t="str">
        <f>IFERROR(IF($H21+1&lt;'General Info and Liability'!$B$15+1,'General Info and Liability'!$D$17,""),"")</f>
        <v/>
      </c>
      <c r="T22" t="str">
        <f>IFERROR(IF($H21+1&lt;'General Info and Liability'!$B$15+1,'General Info and Liability'!$D$18,""),"")</f>
        <v/>
      </c>
      <c r="U22" t="str">
        <f>IFERROR(IF($H21+1&lt;'General Info and Liability'!$B$15+1,'General Info and Liability'!$D$19,""),"")</f>
        <v/>
      </c>
      <c r="V22" t="str">
        <f>IFERROR(IF($H21+1&lt;'General Info and Liability'!$B$15+1,'General Info and Liability'!$B$14,""),"")</f>
        <v/>
      </c>
      <c r="W22" t="str">
        <f>IFERROR(IF($H21+1&lt;'General Info and Liability'!$B$15+1,'General Info and Liability'!$D$20,""),"")</f>
        <v/>
      </c>
    </row>
    <row r="23" spans="1:23" ht="17.25" customHeight="1">
      <c r="A23" s="52" t="s">
        <v>89</v>
      </c>
      <c r="B23" s="53"/>
      <c r="C23" s="43"/>
      <c r="D23" s="21"/>
      <c r="E23" s="27"/>
      <c r="F23" s="46">
        <v>5000</v>
      </c>
      <c r="G23" s="34"/>
      <c r="H23" t="str">
        <f>IFERROR(IF(H22+1&lt;'General Info and Liability'!$B$15+1,'Property Schedule'!H22+1,""),"")</f>
        <v/>
      </c>
      <c r="J23" s="8"/>
      <c r="K23" s="7" t="str">
        <f>IFERROR(IF($H22+1&lt;'General Info and Liability'!$B$15+1,'General Info and Liability'!$B$18/'General Info and Liability'!$B$10*$L23,""),"")</f>
        <v/>
      </c>
      <c r="L23" s="8"/>
      <c r="M23" s="31" t="str">
        <f>IFERROR(IF($H22+1&lt;'General Info and Liability'!$B$15+1,'General Info and Liability'!$D$14/'General Info and Liability'!$B$10*$L23,""),"")</f>
        <v/>
      </c>
      <c r="N23" s="32" t="str">
        <f>IFERROR(IF($H22+1&lt;'General Info and Liability'!$B$15+1,'General Info and Liability'!$D$15/'General Info and Liability'!$B$10*$L23,""),"")</f>
        <v/>
      </c>
      <c r="O23" s="8"/>
      <c r="P23" s="8"/>
      <c r="Q23" t="str">
        <f>IFERROR(IF($H23+1&gt;0,'General Info and Liability'!$D$16,""),"")</f>
        <v/>
      </c>
      <c r="R23" t="str">
        <f>IFERROR(IF($H23+1&gt;0,'General Info and Liability'!$B$16,""),"")</f>
        <v/>
      </c>
      <c r="S23" t="str">
        <f>IFERROR(IF($H22+1&lt;'General Info and Liability'!$B$15+1,'General Info and Liability'!$D$17,""),"")</f>
        <v/>
      </c>
      <c r="T23" t="str">
        <f>IFERROR(IF($H22+1&lt;'General Info and Liability'!$B$15+1,'General Info and Liability'!$D$18,""),"")</f>
        <v/>
      </c>
      <c r="U23" t="str">
        <f>IFERROR(IF($H22+1&lt;'General Info and Liability'!$B$15+1,'General Info and Liability'!$D$19,""),"")</f>
        <v/>
      </c>
      <c r="V23" t="str">
        <f>IFERROR(IF($H22+1&lt;'General Info and Liability'!$B$15+1,'General Info and Liability'!$B$14,""),"")</f>
        <v/>
      </c>
      <c r="W23" t="str">
        <f>IFERROR(IF($H22+1&lt;'General Info and Liability'!$B$15+1,'General Info and Liability'!$D$20,""),"")</f>
        <v/>
      </c>
    </row>
    <row r="24" spans="1:23" ht="17.25" customHeight="1">
      <c r="A24" s="52" t="s">
        <v>90</v>
      </c>
      <c r="B24" s="53"/>
      <c r="C24" s="43"/>
      <c r="D24" s="21"/>
      <c r="E24" s="27"/>
      <c r="F24" s="46">
        <v>5000</v>
      </c>
      <c r="G24" s="34"/>
      <c r="H24" t="str">
        <f>IFERROR(IF(H23+1&lt;'General Info and Liability'!$B$15+1,'Property Schedule'!H23+1,""),"")</f>
        <v/>
      </c>
      <c r="J24" s="8"/>
      <c r="K24" s="7" t="str">
        <f>IFERROR(IF($H23+1&lt;'General Info and Liability'!$B$15+1,'General Info and Liability'!$B$18/'General Info and Liability'!$B$10*$L24,""),"")</f>
        <v/>
      </c>
      <c r="L24" s="8"/>
      <c r="M24" s="31" t="str">
        <f>IFERROR(IF($H23+1&lt;'General Info and Liability'!$B$15+1,'General Info and Liability'!$D$14/'General Info and Liability'!$B$10*$L24,""),"")</f>
        <v/>
      </c>
      <c r="N24" s="32" t="str">
        <f>IFERROR(IF($H23+1&lt;'General Info and Liability'!$B$15+1,'General Info and Liability'!$D$15/'General Info and Liability'!$B$10*$L24,""),"")</f>
        <v/>
      </c>
      <c r="O24" s="8"/>
      <c r="P24" s="8"/>
      <c r="Q24" t="str">
        <f>IFERROR(IF($H24+1&gt;0,'General Info and Liability'!$D$16,""),"")</f>
        <v/>
      </c>
      <c r="R24" t="str">
        <f>IFERROR(IF($H24+1&gt;0,'General Info and Liability'!$B$16,""),"")</f>
        <v/>
      </c>
      <c r="S24" t="str">
        <f>IFERROR(IF($H23+1&lt;'General Info and Liability'!$B$15+1,'General Info and Liability'!$D$17,""),"")</f>
        <v/>
      </c>
      <c r="T24" t="str">
        <f>IFERROR(IF($H23+1&lt;'General Info and Liability'!$B$15+1,'General Info and Liability'!$D$18,""),"")</f>
        <v/>
      </c>
      <c r="U24" t="str">
        <f>IFERROR(IF($H23+1&lt;'General Info and Liability'!$B$15+1,'General Info and Liability'!$D$19,""),"")</f>
        <v/>
      </c>
      <c r="V24" t="str">
        <f>IFERROR(IF($H23+1&lt;'General Info and Liability'!$B$15+1,'General Info and Liability'!$B$14,""),"")</f>
        <v/>
      </c>
      <c r="W24" t="str">
        <f>IFERROR(IF($H23+1&lt;'General Info and Liability'!$B$15+1,'General Info and Liability'!$D$20,""),"")</f>
        <v/>
      </c>
    </row>
    <row r="25" spans="1:23" ht="17.25" customHeight="1">
      <c r="A25" s="52" t="s">
        <v>91</v>
      </c>
      <c r="B25" s="53"/>
      <c r="C25" s="43"/>
      <c r="D25" s="21"/>
      <c r="E25" s="27"/>
      <c r="F25" s="46">
        <v>25000</v>
      </c>
      <c r="G25" s="34"/>
      <c r="H25" t="str">
        <f>IFERROR(IF(H24+1&lt;'General Info and Liability'!$B$15+1,'Property Schedule'!H24+1,""),"")</f>
        <v/>
      </c>
      <c r="J25" s="8"/>
      <c r="K25" s="7" t="str">
        <f>IFERROR(IF($H24+1&lt;'General Info and Liability'!$B$15+1,'General Info and Liability'!$B$18/'General Info and Liability'!$B$10*$L25,""),"")</f>
        <v/>
      </c>
      <c r="L25" s="8"/>
      <c r="M25" s="31" t="str">
        <f>IFERROR(IF($H24+1&lt;'General Info and Liability'!$B$15+1,'General Info and Liability'!$D$14/'General Info and Liability'!$B$10*$L25,""),"")</f>
        <v/>
      </c>
      <c r="N25" s="32" t="str">
        <f>IFERROR(IF($H24+1&lt;'General Info and Liability'!$B$15+1,'General Info and Liability'!$D$15/'General Info and Liability'!$B$10*$L25,""),"")</f>
        <v/>
      </c>
      <c r="O25" s="8"/>
      <c r="P25" s="8"/>
      <c r="Q25" t="str">
        <f>IFERROR(IF($H25+1&gt;0,'General Info and Liability'!$D$16,""),"")</f>
        <v/>
      </c>
      <c r="R25" t="str">
        <f>IFERROR(IF($H25+1&gt;0,'General Info and Liability'!$B$16,""),"")</f>
        <v/>
      </c>
      <c r="S25" t="str">
        <f>IFERROR(IF($H24+1&lt;'General Info and Liability'!$B$15+1,'General Info and Liability'!$D$17,""),"")</f>
        <v/>
      </c>
      <c r="T25" t="str">
        <f>IFERROR(IF($H24+1&lt;'General Info and Liability'!$B$15+1,'General Info and Liability'!$D$18,""),"")</f>
        <v/>
      </c>
      <c r="U25" t="str">
        <f>IFERROR(IF($H24+1&lt;'General Info and Liability'!$B$15+1,'General Info and Liability'!$D$19,""),"")</f>
        <v/>
      </c>
      <c r="V25" t="str">
        <f>IFERROR(IF($H24+1&lt;'General Info and Liability'!$B$15+1,'General Info and Liability'!$B$14,""),"")</f>
        <v/>
      </c>
      <c r="W25" t="str">
        <f>IFERROR(IF($H24+1&lt;'General Info and Liability'!$B$15+1,'General Info and Liability'!$D$20,""),"")</f>
        <v/>
      </c>
    </row>
    <row r="26" spans="1:23" ht="17.25" customHeight="1">
      <c r="A26" s="52" t="s">
        <v>92</v>
      </c>
      <c r="B26" s="53"/>
      <c r="C26" s="43"/>
      <c r="D26" s="21"/>
      <c r="E26" s="27"/>
      <c r="F26" s="46"/>
      <c r="G26" s="34"/>
      <c r="H26" t="str">
        <f>IFERROR(IF(H25+1&lt;'General Info and Liability'!$B$15+1,'Property Schedule'!H25+1,""),"")</f>
        <v/>
      </c>
      <c r="J26" s="8"/>
      <c r="K26" s="7" t="str">
        <f>IFERROR(IF($H25+1&lt;'General Info and Liability'!$B$15+1,'General Info and Liability'!$B$18/'General Info and Liability'!$B$10*$L26,""),"")</f>
        <v/>
      </c>
      <c r="L26" s="8"/>
      <c r="M26" s="31" t="str">
        <f>IFERROR(IF($H25+1&lt;'General Info and Liability'!$B$15+1,'General Info and Liability'!$D$14/'General Info and Liability'!$B$10*$L26,""),"")</f>
        <v/>
      </c>
      <c r="N26" s="32" t="str">
        <f>IFERROR(IF($H25+1&lt;'General Info and Liability'!$B$15+1,'General Info and Liability'!$D$15/'General Info and Liability'!$B$10*$L26,""),"")</f>
        <v/>
      </c>
      <c r="O26" s="8"/>
      <c r="P26" s="8"/>
      <c r="Q26" t="str">
        <f>IFERROR(IF($H26+1&gt;0,'General Info and Liability'!$D$16,""),"")</f>
        <v/>
      </c>
      <c r="R26" t="str">
        <f>IFERROR(IF($H26+1&gt;0,'General Info and Liability'!$B$16,""),"")</f>
        <v/>
      </c>
      <c r="S26" t="str">
        <f>IFERROR(IF($H25+1&lt;'General Info and Liability'!$B$15+1,'General Info and Liability'!$D$17,""),"")</f>
        <v/>
      </c>
      <c r="T26" t="str">
        <f>IFERROR(IF($H25+1&lt;'General Info and Liability'!$B$15+1,'General Info and Liability'!$D$18,""),"")</f>
        <v/>
      </c>
      <c r="U26" t="str">
        <f>IFERROR(IF($H25+1&lt;'General Info and Liability'!$B$15+1,'General Info and Liability'!$D$19,""),"")</f>
        <v/>
      </c>
      <c r="V26" t="str">
        <f>IFERROR(IF($H25+1&lt;'General Info and Liability'!$B$15+1,'General Info and Liability'!$B$14,""),"")</f>
        <v/>
      </c>
      <c r="W26" t="str">
        <f>IFERROR(IF($H25+1&lt;'General Info and Liability'!$B$15+1,'General Info and Liability'!$D$20,""),"")</f>
        <v/>
      </c>
    </row>
    <row r="27" spans="1:23" ht="17.25" customHeight="1">
      <c r="A27" s="52" t="s">
        <v>93</v>
      </c>
      <c r="B27" s="53"/>
      <c r="C27" s="43"/>
      <c r="D27" s="21"/>
      <c r="E27" s="27"/>
      <c r="F27" s="46"/>
      <c r="G27" s="34"/>
      <c r="H27" t="str">
        <f>IFERROR(IF(H26+1&lt;'General Info and Liability'!$B$15+1,'Property Schedule'!H26+1,""),"")</f>
        <v/>
      </c>
      <c r="J27" s="8"/>
      <c r="K27" s="7" t="str">
        <f>IFERROR(IF($H26+1&lt;'General Info and Liability'!$B$15+1,'General Info and Liability'!$B$18/'General Info and Liability'!$B$10*$L27,""),"")</f>
        <v/>
      </c>
      <c r="L27" s="8"/>
      <c r="M27" s="31" t="str">
        <f>IFERROR(IF($H26+1&lt;'General Info and Liability'!$B$15+1,'General Info and Liability'!$D$14/'General Info and Liability'!$B$10*$L27,""),"")</f>
        <v/>
      </c>
      <c r="N27" s="32" t="str">
        <f>IFERROR(IF($H26+1&lt;'General Info and Liability'!$B$15+1,'General Info and Liability'!$D$15/'General Info and Liability'!$B$10*$L27,""),"")</f>
        <v/>
      </c>
      <c r="O27" s="8"/>
      <c r="P27" s="8"/>
      <c r="Q27" t="str">
        <f>IFERROR(IF($H27+1&gt;0,'General Info and Liability'!$D$16,""),"")</f>
        <v/>
      </c>
      <c r="R27" t="str">
        <f>IFERROR(IF($H27+1&gt;0,'General Info and Liability'!$B$16,""),"")</f>
        <v/>
      </c>
      <c r="S27" t="str">
        <f>IFERROR(IF($H26+1&lt;'General Info and Liability'!$B$15+1,'General Info and Liability'!$D$17,""),"")</f>
        <v/>
      </c>
      <c r="T27" t="str">
        <f>IFERROR(IF($H26+1&lt;'General Info and Liability'!$B$15+1,'General Info and Liability'!$D$18,""),"")</f>
        <v/>
      </c>
      <c r="U27" t="str">
        <f>IFERROR(IF($H26+1&lt;'General Info and Liability'!$B$15+1,'General Info and Liability'!$D$19,""),"")</f>
        <v/>
      </c>
      <c r="V27" t="str">
        <f>IFERROR(IF($H26+1&lt;'General Info and Liability'!$B$15+1,'General Info and Liability'!$B$14,""),"")</f>
        <v/>
      </c>
      <c r="W27" t="str">
        <f>IFERROR(IF($H26+1&lt;'General Info and Liability'!$B$15+1,'General Info and Liability'!$D$20,""),"")</f>
        <v/>
      </c>
    </row>
    <row r="28" spans="1:23" ht="17.25" customHeight="1">
      <c r="A28" s="52" t="s">
        <v>94</v>
      </c>
      <c r="B28" s="53"/>
      <c r="C28" s="43"/>
      <c r="D28" s="21"/>
      <c r="E28" s="27"/>
      <c r="F28" s="46">
        <v>5000</v>
      </c>
      <c r="G28" s="34"/>
      <c r="H28" t="str">
        <f>IFERROR(IF(H27+1&lt;'General Info and Liability'!$B$15+1,'Property Schedule'!H27+1,""),"")</f>
        <v/>
      </c>
      <c r="J28" s="8"/>
      <c r="K28" s="7" t="str">
        <f>IFERROR(IF($H27+1&lt;'General Info and Liability'!$B$15+1,'General Info and Liability'!$B$18/'General Info and Liability'!$B$10*$L28,""),"")</f>
        <v/>
      </c>
      <c r="L28" s="8"/>
      <c r="M28" s="31" t="str">
        <f>IFERROR(IF($H27+1&lt;'General Info and Liability'!$B$15+1,'General Info and Liability'!$D$14/'General Info and Liability'!$B$10*$L28,""),"")</f>
        <v/>
      </c>
      <c r="N28" s="32" t="str">
        <f>IFERROR(IF($H27+1&lt;'General Info and Liability'!$B$15+1,'General Info and Liability'!$D$15/'General Info and Liability'!$B$10*$L28,""),"")</f>
        <v/>
      </c>
      <c r="O28" s="8"/>
      <c r="P28" s="8"/>
      <c r="Q28" t="str">
        <f>IFERROR(IF($H28+1&gt;0,'General Info and Liability'!$D$16,""),"")</f>
        <v/>
      </c>
      <c r="R28" t="str">
        <f>IFERROR(IF($H28+1&gt;0,'General Info and Liability'!$B$16,""),"")</f>
        <v/>
      </c>
      <c r="S28" t="str">
        <f>IFERROR(IF($H27+1&lt;'General Info and Liability'!$B$15+1,'General Info and Liability'!$D$17,""),"")</f>
        <v/>
      </c>
      <c r="T28" t="str">
        <f>IFERROR(IF($H27+1&lt;'General Info and Liability'!$B$15+1,'General Info and Liability'!$D$18,""),"")</f>
        <v/>
      </c>
      <c r="U28" t="str">
        <f>IFERROR(IF($H27+1&lt;'General Info and Liability'!$B$15+1,'General Info and Liability'!$D$19,""),"")</f>
        <v/>
      </c>
      <c r="V28" t="str">
        <f>IFERROR(IF($H27+1&lt;'General Info and Liability'!$B$15+1,'General Info and Liability'!$B$14,""),"")</f>
        <v/>
      </c>
      <c r="W28" t="str">
        <f>IFERROR(IF($H27+1&lt;'General Info and Liability'!$B$15+1,'General Info and Liability'!$D$20,""),"")</f>
        <v/>
      </c>
    </row>
    <row r="29" spans="1:23" ht="17.25" customHeight="1">
      <c r="A29" s="52" t="s">
        <v>95</v>
      </c>
      <c r="B29" s="53"/>
      <c r="C29" s="43"/>
      <c r="D29" s="21"/>
      <c r="E29" s="27"/>
      <c r="F29" s="46"/>
      <c r="G29" s="34"/>
      <c r="H29" t="str">
        <f>IFERROR(IF(H28+1&lt;'General Info and Liability'!$B$15+1,'Property Schedule'!H28+1,""),"")</f>
        <v/>
      </c>
      <c r="J29" s="8"/>
      <c r="K29" s="7" t="str">
        <f>IFERROR(IF($H28+1&lt;'General Info and Liability'!$B$15+1,'General Info and Liability'!$B$18/'General Info and Liability'!$B$10*$L29,""),"")</f>
        <v/>
      </c>
      <c r="L29" s="8"/>
      <c r="M29" s="31" t="str">
        <f>IFERROR(IF($H28+1&lt;'General Info and Liability'!$B$15+1,'General Info and Liability'!$D$14/'General Info and Liability'!$B$10*$L29,""),"")</f>
        <v/>
      </c>
      <c r="N29" s="32" t="str">
        <f>IFERROR(IF($H28+1&lt;'General Info and Liability'!$B$15+1,'General Info and Liability'!$D$15/'General Info and Liability'!$B$10*$L29,""),"")</f>
        <v/>
      </c>
      <c r="O29" s="8"/>
      <c r="P29" s="8"/>
      <c r="Q29" t="str">
        <f>IFERROR(IF($H29+1&gt;0,'General Info and Liability'!$D$16,""),"")</f>
        <v/>
      </c>
      <c r="R29" t="str">
        <f>IFERROR(IF($H29+1&gt;0,'General Info and Liability'!$B$16,""),"")</f>
        <v/>
      </c>
      <c r="S29" t="str">
        <f>IFERROR(IF($H28+1&lt;'General Info and Liability'!$B$15+1,'General Info and Liability'!$D$17,""),"")</f>
        <v/>
      </c>
      <c r="T29" t="str">
        <f>IFERROR(IF($H28+1&lt;'General Info and Liability'!$B$15+1,'General Info and Liability'!$D$18,""),"")</f>
        <v/>
      </c>
      <c r="U29" t="str">
        <f>IFERROR(IF($H28+1&lt;'General Info and Liability'!$B$15+1,'General Info and Liability'!$D$19,""),"")</f>
        <v/>
      </c>
      <c r="V29" t="str">
        <f>IFERROR(IF($H28+1&lt;'General Info and Liability'!$B$15+1,'General Info and Liability'!$B$14,""),"")</f>
        <v/>
      </c>
      <c r="W29" t="str">
        <f>IFERROR(IF($H28+1&lt;'General Info and Liability'!$B$15+1,'General Info and Liability'!$D$20,""),"")</f>
        <v/>
      </c>
    </row>
    <row r="30" spans="1:23" ht="17.25" customHeight="1">
      <c r="A30" s="52" t="s">
        <v>96</v>
      </c>
      <c r="B30" s="53"/>
      <c r="C30" s="43"/>
      <c r="D30" s="21"/>
      <c r="E30" s="27"/>
      <c r="F30" s="46"/>
      <c r="G30" s="34"/>
      <c r="H30" t="str">
        <f>IFERROR(IF(H29+1&lt;'General Info and Liability'!$B$15+1,'Property Schedule'!H29+1,""),"")</f>
        <v/>
      </c>
      <c r="J30" s="8"/>
      <c r="K30" s="7" t="str">
        <f>IFERROR(IF($H29+1&lt;'General Info and Liability'!$B$15+1,'General Info and Liability'!$B$18/'General Info and Liability'!$B$10*$L30,""),"")</f>
        <v/>
      </c>
      <c r="L30" s="8"/>
      <c r="M30" s="31" t="str">
        <f>IFERROR(IF($H29+1&lt;'General Info and Liability'!$B$15+1,'General Info and Liability'!$D$14/'General Info and Liability'!$B$10*$L30,""),"")</f>
        <v/>
      </c>
      <c r="N30" s="32" t="str">
        <f>IFERROR(IF($H29+1&lt;'General Info and Liability'!$B$15+1,'General Info and Liability'!$D$15/'General Info and Liability'!$B$10*$L30,""),"")</f>
        <v/>
      </c>
      <c r="O30" s="8"/>
      <c r="P30" s="8"/>
      <c r="Q30" t="str">
        <f>IFERROR(IF($H30+1&gt;0,'General Info and Liability'!$D$16,""),"")</f>
        <v/>
      </c>
      <c r="R30" t="str">
        <f>IFERROR(IF($H30+1&gt;0,'General Info and Liability'!$B$16,""),"")</f>
        <v/>
      </c>
      <c r="S30" t="str">
        <f>IFERROR(IF($H29+1&lt;'General Info and Liability'!$B$15+1,'General Info and Liability'!$D$17,""),"")</f>
        <v/>
      </c>
      <c r="T30" t="str">
        <f>IFERROR(IF($H29+1&lt;'General Info and Liability'!$B$15+1,'General Info and Liability'!$D$18,""),"")</f>
        <v/>
      </c>
      <c r="U30" t="str">
        <f>IFERROR(IF($H29+1&lt;'General Info and Liability'!$B$15+1,'General Info and Liability'!$D$19,""),"")</f>
        <v/>
      </c>
      <c r="V30" t="str">
        <f>IFERROR(IF($H29+1&lt;'General Info and Liability'!$B$15+1,'General Info and Liability'!$B$14,""),"")</f>
        <v/>
      </c>
      <c r="W30" t="str">
        <f>IFERROR(IF($H29+1&lt;'General Info and Liability'!$B$15+1,'General Info and Liability'!$D$20,""),"")</f>
        <v/>
      </c>
    </row>
    <row r="31" spans="1:23" ht="17.25" customHeight="1">
      <c r="A31" s="52" t="s">
        <v>97</v>
      </c>
      <c r="B31" s="53"/>
      <c r="C31" s="43"/>
      <c r="D31" s="21"/>
      <c r="E31" s="27"/>
      <c r="F31" s="46"/>
      <c r="G31" s="34"/>
      <c r="H31" t="str">
        <f>IFERROR(IF(H30+1&lt;'General Info and Liability'!$B$15+1,'Property Schedule'!H30+1,""),"")</f>
        <v/>
      </c>
      <c r="J31" s="8"/>
      <c r="K31" s="7" t="str">
        <f>IFERROR(IF($H30+1&lt;'General Info and Liability'!$B$15+1,'General Info and Liability'!$B$18/'General Info and Liability'!$B$10*$L31,""),"")</f>
        <v/>
      </c>
      <c r="L31" s="8"/>
      <c r="M31" s="31" t="str">
        <f>IFERROR(IF($H30+1&lt;'General Info and Liability'!$B$15+1,'General Info and Liability'!$D$14/'General Info and Liability'!$B$10*$L31,""),"")</f>
        <v/>
      </c>
      <c r="N31" s="32" t="str">
        <f>IFERROR(IF($H30+1&lt;'General Info and Liability'!$B$15+1,'General Info and Liability'!$D$15/'General Info and Liability'!$B$10*$L31,""),"")</f>
        <v/>
      </c>
      <c r="O31" s="8"/>
      <c r="P31" s="8"/>
      <c r="Q31" t="str">
        <f>IFERROR(IF($H31+1&gt;0,'General Info and Liability'!$D$16,""),"")</f>
        <v/>
      </c>
      <c r="R31" t="str">
        <f>IFERROR(IF($H31+1&gt;0,'General Info and Liability'!$B$16,""),"")</f>
        <v/>
      </c>
      <c r="S31" t="str">
        <f>IFERROR(IF($H30+1&lt;'General Info and Liability'!$B$15+1,'General Info and Liability'!$D$17,""),"")</f>
        <v/>
      </c>
      <c r="T31" t="str">
        <f>IFERROR(IF($H30+1&lt;'General Info and Liability'!$B$15+1,'General Info and Liability'!$D$18,""),"")</f>
        <v/>
      </c>
      <c r="U31" t="str">
        <f>IFERROR(IF($H30+1&lt;'General Info and Liability'!$B$15+1,'General Info and Liability'!$D$19,""),"")</f>
        <v/>
      </c>
      <c r="V31" t="str">
        <f>IFERROR(IF($H30+1&lt;'General Info and Liability'!$B$15+1,'General Info and Liability'!$B$14,""),"")</f>
        <v/>
      </c>
      <c r="W31" t="str">
        <f>IFERROR(IF($H30+1&lt;'General Info and Liability'!$B$15+1,'General Info and Liability'!$D$20,""),"")</f>
        <v/>
      </c>
    </row>
    <row r="32" spans="1:23" ht="17.25" customHeight="1">
      <c r="A32" s="52" t="s">
        <v>98</v>
      </c>
      <c r="B32" s="53"/>
      <c r="C32" s="43"/>
      <c r="D32" s="21"/>
      <c r="E32" s="27"/>
      <c r="F32" s="46"/>
      <c r="G32" s="34"/>
      <c r="H32" t="str">
        <f>IFERROR(IF(H31+1&lt;'General Info and Liability'!$B$15+1,'Property Schedule'!H31+1,""),"")</f>
        <v/>
      </c>
      <c r="J32" s="8"/>
      <c r="K32" s="7" t="str">
        <f>IFERROR(IF($H31+1&lt;'General Info and Liability'!$B$15+1,'General Info and Liability'!$B$18/'General Info and Liability'!$B$10*$L32,""),"")</f>
        <v/>
      </c>
      <c r="L32" s="8"/>
      <c r="M32" s="31" t="str">
        <f>IFERROR(IF($H31+1&lt;'General Info and Liability'!$B$15+1,'General Info and Liability'!$D$14/'General Info and Liability'!$B$10*$L32,""),"")</f>
        <v/>
      </c>
      <c r="N32" s="32" t="str">
        <f>IFERROR(IF($H31+1&lt;'General Info and Liability'!$B$15+1,'General Info and Liability'!$D$15/'General Info and Liability'!$B$10*$L32,""),"")</f>
        <v/>
      </c>
      <c r="O32" s="8"/>
      <c r="P32" s="8"/>
      <c r="Q32" t="str">
        <f>IFERROR(IF($H32+1&gt;0,'General Info and Liability'!$D$16,""),"")</f>
        <v/>
      </c>
      <c r="R32" t="str">
        <f>IFERROR(IF($H32+1&gt;0,'General Info and Liability'!$B$16,""),"")</f>
        <v/>
      </c>
      <c r="S32" t="str">
        <f>IFERROR(IF($H31+1&lt;'General Info and Liability'!$B$15+1,'General Info and Liability'!$D$17,""),"")</f>
        <v/>
      </c>
      <c r="T32" t="str">
        <f>IFERROR(IF($H31+1&lt;'General Info and Liability'!$B$15+1,'General Info and Liability'!$D$18,""),"")</f>
        <v/>
      </c>
      <c r="U32" t="str">
        <f>IFERROR(IF($H31+1&lt;'General Info and Liability'!$B$15+1,'General Info and Liability'!$D$19,""),"")</f>
        <v/>
      </c>
      <c r="V32" t="str">
        <f>IFERROR(IF($H31+1&lt;'General Info and Liability'!$B$15+1,'General Info and Liability'!$B$14,""),"")</f>
        <v/>
      </c>
      <c r="W32" t="str">
        <f>IFERROR(IF($H31+1&lt;'General Info and Liability'!$B$15+1,'General Info and Liability'!$D$20,""),"")</f>
        <v/>
      </c>
    </row>
    <row r="33" spans="1:23" ht="17.25" customHeight="1">
      <c r="A33" s="52" t="s">
        <v>67</v>
      </c>
      <c r="B33" s="53"/>
      <c r="C33" s="43" t="s">
        <v>203</v>
      </c>
      <c r="D33" s="21"/>
      <c r="E33" s="27"/>
      <c r="F33" s="46">
        <v>10000</v>
      </c>
      <c r="G33" s="34"/>
      <c r="H33" t="str">
        <f>IFERROR(IF(H32+1&lt;'General Info and Liability'!$B$15+1,'Property Schedule'!H32+1,""),"")</f>
        <v/>
      </c>
      <c r="J33" s="8"/>
      <c r="K33" s="7" t="str">
        <f>IFERROR(IF($H32+1&lt;'General Info and Liability'!$B$15+1,'General Info and Liability'!$B$18/'General Info and Liability'!$B$10*$L33,""),"")</f>
        <v/>
      </c>
      <c r="L33" s="8"/>
      <c r="M33" s="31" t="str">
        <f>IFERROR(IF($H32+1&lt;'General Info and Liability'!$B$15+1,'General Info and Liability'!$D$14/'General Info and Liability'!$B$10*$L33,""),"")</f>
        <v/>
      </c>
      <c r="N33" s="32" t="str">
        <f>IFERROR(IF($H32+1&lt;'General Info and Liability'!$B$15+1,'General Info and Liability'!$D$15/'General Info and Liability'!$B$10*$L33,""),"")</f>
        <v/>
      </c>
      <c r="O33" s="8"/>
      <c r="P33" s="8"/>
      <c r="Q33" t="str">
        <f>IFERROR(IF($H33+1&gt;0,'General Info and Liability'!$D$16,""),"")</f>
        <v/>
      </c>
      <c r="R33" t="str">
        <f>IFERROR(IF($H33+1&gt;0,'General Info and Liability'!$B$16,""),"")</f>
        <v/>
      </c>
      <c r="S33" t="str">
        <f>IFERROR(IF($H32+1&lt;'General Info and Liability'!$B$15+1,'General Info and Liability'!$D$17,""),"")</f>
        <v/>
      </c>
      <c r="T33" t="str">
        <f>IFERROR(IF($H32+1&lt;'General Info and Liability'!$B$15+1,'General Info and Liability'!$D$18,""),"")</f>
        <v/>
      </c>
      <c r="U33" t="str">
        <f>IFERROR(IF($H32+1&lt;'General Info and Liability'!$B$15+1,'General Info and Liability'!$D$19,""),"")</f>
        <v/>
      </c>
      <c r="V33" t="str">
        <f>IFERROR(IF($H32+1&lt;'General Info and Liability'!$B$15+1,'General Info and Liability'!$B$14,""),"")</f>
        <v/>
      </c>
      <c r="W33" t="str">
        <f>IFERROR(IF($H32+1&lt;'General Info and Liability'!$B$15+1,'General Info and Liability'!$D$20,""),"")</f>
        <v/>
      </c>
    </row>
    <row r="34" spans="1:23" ht="17.25" customHeight="1">
      <c r="A34" s="52" t="s">
        <v>67</v>
      </c>
      <c r="B34" s="53"/>
      <c r="C34" s="43"/>
      <c r="D34" s="21"/>
      <c r="E34" s="27"/>
      <c r="F34" s="46"/>
      <c r="G34" s="34"/>
      <c r="H34" t="str">
        <f>IFERROR(IF(H33+1&lt;'General Info and Liability'!$B$15+1,'Property Schedule'!H33+1,""),"")</f>
        <v/>
      </c>
      <c r="J34" s="8"/>
      <c r="K34" s="7" t="str">
        <f>IFERROR(IF($H33+1&lt;'General Info and Liability'!$B$15+1,'General Info and Liability'!$B$18/'General Info and Liability'!$B$10*$L34,""),"")</f>
        <v/>
      </c>
      <c r="L34" s="8"/>
      <c r="M34" s="31" t="str">
        <f>IFERROR(IF($H33+1&lt;'General Info and Liability'!$B$15+1,'General Info and Liability'!$D$14/'General Info and Liability'!$B$10*$L34,""),"")</f>
        <v/>
      </c>
      <c r="N34" s="32" t="str">
        <f>IFERROR(IF($H33+1&lt;'General Info and Liability'!$B$15+1,'General Info and Liability'!$D$15/'General Info and Liability'!$B$10*$L34,""),"")</f>
        <v/>
      </c>
      <c r="O34" s="8"/>
      <c r="P34" s="8"/>
      <c r="Q34" t="str">
        <f>IFERROR(IF($H34+1&gt;0,'General Info and Liability'!$D$16,""),"")</f>
        <v/>
      </c>
      <c r="R34" t="str">
        <f>IFERROR(IF($H34+1&gt;0,'General Info and Liability'!$B$16,""),"")</f>
        <v/>
      </c>
      <c r="S34" t="str">
        <f>IFERROR(IF($H33+1&lt;'General Info and Liability'!$B$15+1,'General Info and Liability'!$D$17,""),"")</f>
        <v/>
      </c>
      <c r="T34" t="str">
        <f>IFERROR(IF($H33+1&lt;'General Info and Liability'!$B$15+1,'General Info and Liability'!$D$18,""),"")</f>
        <v/>
      </c>
      <c r="U34" t="str">
        <f>IFERROR(IF($H33+1&lt;'General Info and Liability'!$B$15+1,'General Info and Liability'!$D$19,""),"")</f>
        <v/>
      </c>
      <c r="V34" t="str">
        <f>IFERROR(IF($H33+1&lt;'General Info and Liability'!$B$15+1,'General Info and Liability'!$B$14,""),"")</f>
        <v/>
      </c>
      <c r="W34" t="str">
        <f>IFERROR(IF($H33+1&lt;'General Info and Liability'!$B$15+1,'General Info and Liability'!$D$20,""),"")</f>
        <v/>
      </c>
    </row>
    <row r="35" spans="1:23" ht="17.25" customHeight="1">
      <c r="A35" s="52" t="s">
        <v>67</v>
      </c>
      <c r="B35" s="53"/>
      <c r="C35" s="43"/>
      <c r="D35" s="21"/>
      <c r="E35" s="27"/>
      <c r="F35" s="46"/>
      <c r="G35" s="34"/>
      <c r="H35" t="str">
        <f>IFERROR(IF(H34+1&lt;'General Info and Liability'!$B$15+1,'Property Schedule'!H34+1,""),"")</f>
        <v/>
      </c>
      <c r="J35" s="8"/>
      <c r="K35" s="7" t="str">
        <f>IFERROR(IF($H34+1&lt;'General Info and Liability'!$B$15+1,'General Info and Liability'!$B$18/'General Info and Liability'!$B$10*$L35,""),"")</f>
        <v/>
      </c>
      <c r="L35" s="8"/>
      <c r="M35" s="31" t="str">
        <f>IFERROR(IF($H34+1&lt;'General Info and Liability'!$B$15+1,'General Info and Liability'!$D$14/'General Info and Liability'!$B$10*$L35,""),"")</f>
        <v/>
      </c>
      <c r="N35" s="32" t="str">
        <f>IFERROR(IF($H34+1&lt;'General Info and Liability'!$B$15+1,'General Info and Liability'!$D$15/'General Info and Liability'!$B$10*$L35,""),"")</f>
        <v/>
      </c>
      <c r="O35" s="8"/>
      <c r="P35" s="8"/>
      <c r="Q35" t="str">
        <f>IFERROR(IF($H35+1&gt;0,'General Info and Liability'!$D$16,""),"")</f>
        <v/>
      </c>
      <c r="R35" t="str">
        <f>IFERROR(IF($H35+1&gt;0,'General Info and Liability'!$B$16,""),"")</f>
        <v/>
      </c>
      <c r="S35" t="str">
        <f>IFERROR(IF($H34+1&lt;'General Info and Liability'!$B$15+1,'General Info and Liability'!$D$17,""),"")</f>
        <v/>
      </c>
      <c r="T35" t="str">
        <f>IFERROR(IF($H34+1&lt;'General Info and Liability'!$B$15+1,'General Info and Liability'!$D$18,""),"")</f>
        <v/>
      </c>
      <c r="U35" t="str">
        <f>IFERROR(IF($H34+1&lt;'General Info and Liability'!$B$15+1,'General Info and Liability'!$D$19,""),"")</f>
        <v/>
      </c>
      <c r="V35" t="str">
        <f>IFERROR(IF($H34+1&lt;'General Info and Liability'!$B$15+1,'General Info and Liability'!$B$14,""),"")</f>
        <v/>
      </c>
      <c r="W35" t="str">
        <f>IFERROR(IF($H34+1&lt;'General Info and Liability'!$B$15+1,'General Info and Liability'!$D$20,""),"")</f>
        <v/>
      </c>
    </row>
    <row r="36" spans="1:23" ht="17.25" customHeight="1">
      <c r="A36" s="52" t="s">
        <v>67</v>
      </c>
      <c r="B36" s="53"/>
      <c r="C36" s="43"/>
      <c r="D36" s="21"/>
      <c r="E36" s="27"/>
      <c r="F36" s="46"/>
      <c r="G36" s="34"/>
      <c r="H36" t="str">
        <f>IFERROR(IF(H35+1&lt;'General Info and Liability'!$B$15+1,'Property Schedule'!H35+1,""),"")</f>
        <v/>
      </c>
      <c r="J36" s="8"/>
      <c r="K36" s="7" t="str">
        <f>IFERROR(IF($H35+1&lt;'General Info and Liability'!$B$15+1,'General Info and Liability'!$B$18/'General Info and Liability'!$B$10*$L36,""),"")</f>
        <v/>
      </c>
      <c r="L36" s="8"/>
      <c r="M36" s="31" t="str">
        <f>IFERROR(IF($H35+1&lt;'General Info and Liability'!$B$15+1,'General Info and Liability'!$D$14/'General Info and Liability'!$B$10*$L36,""),"")</f>
        <v/>
      </c>
      <c r="N36" s="32" t="str">
        <f>IFERROR(IF($H35+1&lt;'General Info and Liability'!$B$15+1,'General Info and Liability'!$D$15/'General Info and Liability'!$B$10*$L36,""),"")</f>
        <v/>
      </c>
      <c r="O36" s="8"/>
      <c r="P36" s="8"/>
      <c r="Q36" t="str">
        <f>IFERROR(IF($H36+1&gt;0,'General Info and Liability'!$D$16,""),"")</f>
        <v/>
      </c>
      <c r="R36" t="str">
        <f>IFERROR(IF($H36+1&gt;0,'General Info and Liability'!$B$16,""),"")</f>
        <v/>
      </c>
      <c r="S36" t="str">
        <f>IFERROR(IF($H35+1&lt;'General Info and Liability'!$B$15+1,'General Info and Liability'!$D$17,""),"")</f>
        <v/>
      </c>
      <c r="T36" t="str">
        <f>IFERROR(IF($H35+1&lt;'General Info and Liability'!$B$15+1,'General Info and Liability'!$D$18,""),"")</f>
        <v/>
      </c>
      <c r="U36" t="str">
        <f>IFERROR(IF($H35+1&lt;'General Info and Liability'!$B$15+1,'General Info and Liability'!$D$19,""),"")</f>
        <v/>
      </c>
      <c r="V36" t="str">
        <f>IFERROR(IF($H35+1&lt;'General Info and Liability'!$B$15+1,'General Info and Liability'!$B$14,""),"")</f>
        <v/>
      </c>
      <c r="W36" t="str">
        <f>IFERROR(IF($H35+1&lt;'General Info and Liability'!$B$15+1,'General Info and Liability'!$D$20,""),"")</f>
        <v/>
      </c>
    </row>
    <row r="37" spans="1:23" ht="17.25" customHeight="1">
      <c r="A37" s="54" t="s">
        <v>67</v>
      </c>
      <c r="B37" s="55"/>
      <c r="C37" s="44"/>
      <c r="D37" s="24"/>
      <c r="E37" s="28"/>
      <c r="F37" s="49"/>
      <c r="G37" s="34"/>
      <c r="H37" t="str">
        <f>IFERROR(IF(H36+1&lt;'General Info and Liability'!$B$15+1,'Property Schedule'!H36+1,""),"")</f>
        <v/>
      </c>
      <c r="J37" s="8"/>
      <c r="K37" s="7" t="str">
        <f>IFERROR(IF($H36+1&lt;'General Info and Liability'!$B$15+1,'General Info and Liability'!$B$18/'General Info and Liability'!$B$10*$L37,""),"")</f>
        <v/>
      </c>
      <c r="L37" s="8"/>
      <c r="M37" s="31" t="str">
        <f>IFERROR(IF($H36+1&lt;'General Info and Liability'!$B$15+1,'General Info and Liability'!$D$14/'General Info and Liability'!$B$10*$L37,""),"")</f>
        <v/>
      </c>
      <c r="N37" s="32" t="str">
        <f>IFERROR(IF($H36+1&lt;'General Info and Liability'!$B$15+1,'General Info and Liability'!$D$15/'General Info and Liability'!$B$10*$L37,""),"")</f>
        <v/>
      </c>
      <c r="O37" s="8"/>
      <c r="P37" s="8"/>
      <c r="Q37" t="str">
        <f>IFERROR(IF($H37+1&gt;0,'General Info and Liability'!$D$16,""),"")</f>
        <v/>
      </c>
      <c r="R37" t="str">
        <f>IFERROR(IF($H37+1&gt;0,'General Info and Liability'!$B$16,""),"")</f>
        <v/>
      </c>
      <c r="S37" t="str">
        <f>IFERROR(IF($H36+1&lt;'General Info and Liability'!$B$15+1,'General Info and Liability'!$D$17,""),"")</f>
        <v/>
      </c>
      <c r="T37" t="str">
        <f>IFERROR(IF($H36+1&lt;'General Info and Liability'!$B$15+1,'General Info and Liability'!$D$18,""),"")</f>
        <v/>
      </c>
      <c r="U37" t="str">
        <f>IFERROR(IF($H36+1&lt;'General Info and Liability'!$B$15+1,'General Info and Liability'!$D$19,""),"")</f>
        <v/>
      </c>
      <c r="V37" t="str">
        <f>IFERROR(IF($H36+1&lt;'General Info and Liability'!$B$15+1,'General Info and Liability'!$B$14,""),"")</f>
        <v/>
      </c>
      <c r="W37" t="str">
        <f>IFERROR(IF($H36+1&lt;'General Info and Liability'!$B$15+1,'General Info and Liability'!$D$20,""),"")</f>
        <v/>
      </c>
    </row>
    <row r="38" spans="1:23" ht="17.25" customHeight="1">
      <c r="A38" s="39" t="s">
        <v>188</v>
      </c>
      <c r="B38" s="39"/>
      <c r="C38" s="39"/>
      <c r="D38" s="39"/>
      <c r="E38" s="39"/>
      <c r="F38" s="40">
        <f>SUM(F2:F37)</f>
        <v>140000</v>
      </c>
      <c r="G38" s="34"/>
      <c r="H38" t="str">
        <f>IFERROR(IF(H37+1&lt;'General Info and Liability'!$B$15+1,'Property Schedule'!H37+1,""),"")</f>
        <v/>
      </c>
      <c r="J38" s="8"/>
      <c r="K38" s="7" t="str">
        <f>IFERROR(IF($H37+1&lt;'General Info and Liability'!$B$15+1,'General Info and Liability'!$B$18/'General Info and Liability'!$B$10*$L38,""),"")</f>
        <v/>
      </c>
      <c r="L38" s="8"/>
      <c r="M38" s="31" t="str">
        <f>IFERROR(IF($H37+1&lt;'General Info and Liability'!$B$15+1,'General Info and Liability'!$D$14/'General Info and Liability'!$B$10*$L38,""),"")</f>
        <v/>
      </c>
      <c r="N38" s="32" t="str">
        <f>IFERROR(IF($H37+1&lt;'General Info and Liability'!$B$15+1,'General Info and Liability'!$D$15/'General Info and Liability'!$B$10*$L38,""),"")</f>
        <v/>
      </c>
      <c r="O38" s="8"/>
      <c r="P38" s="8"/>
      <c r="Q38" t="str">
        <f>IFERROR(IF($H38+1&gt;0,'General Info and Liability'!$D$16,""),"")</f>
        <v/>
      </c>
      <c r="R38" t="str">
        <f>IFERROR(IF($H38+1&gt;0,'General Info and Liability'!$B$16,""),"")</f>
        <v/>
      </c>
      <c r="S38" t="str">
        <f>IFERROR(IF($H37+1&lt;'General Info and Liability'!$B$15+1,'General Info and Liability'!$D$17,""),"")</f>
        <v/>
      </c>
      <c r="T38" t="str">
        <f>IFERROR(IF($H37+1&lt;'General Info and Liability'!$B$15+1,'General Info and Liability'!$D$18,""),"")</f>
        <v/>
      </c>
      <c r="U38" t="str">
        <f>IFERROR(IF($H37+1&lt;'General Info and Liability'!$B$15+1,'General Info and Liability'!$D$19,""),"")</f>
        <v/>
      </c>
      <c r="V38" t="str">
        <f>IFERROR(IF($H37+1&lt;'General Info and Liability'!$B$15+1,'General Info and Liability'!$B$14,""),"")</f>
        <v/>
      </c>
      <c r="W38" t="str">
        <f>IFERROR(IF($H37+1&lt;'General Info and Liability'!$B$15+1,'General Info and Liability'!$D$20,""),"")</f>
        <v/>
      </c>
    </row>
    <row r="39" spans="1:23" ht="17.25" customHeight="1">
      <c r="A39" s="39" t="s">
        <v>190</v>
      </c>
      <c r="B39" s="39"/>
      <c r="C39" s="39"/>
      <c r="D39" s="39"/>
      <c r="E39" s="39"/>
      <c r="F39" s="59">
        <v>10000</v>
      </c>
      <c r="G39" s="34"/>
      <c r="H39" t="str">
        <f>IFERROR(IF(H38+1&lt;'General Info and Liability'!$B$15+1,'Property Schedule'!H38+1,""),"")</f>
        <v/>
      </c>
      <c r="J39" s="8"/>
      <c r="K39" s="7" t="str">
        <f>IFERROR(IF($H38+1&lt;'General Info and Liability'!$B$15+1,'General Info and Liability'!$B$18/'General Info and Liability'!$B$10*$L39,""),"")</f>
        <v/>
      </c>
      <c r="L39" s="8"/>
      <c r="M39" s="31" t="str">
        <f>IFERROR(IF($H38+1&lt;'General Info and Liability'!$B$15+1,'General Info and Liability'!$D$14/'General Info and Liability'!$B$10*$L39,""),"")</f>
        <v/>
      </c>
      <c r="N39" s="32" t="str">
        <f>IFERROR(IF($H38+1&lt;'General Info and Liability'!$B$15+1,'General Info and Liability'!$D$15/'General Info and Liability'!$B$10*$L39,""),"")</f>
        <v/>
      </c>
      <c r="O39" s="8"/>
      <c r="P39" s="8"/>
      <c r="Q39" t="str">
        <f>IFERROR(IF($H39+1&gt;0,'General Info and Liability'!$D$16,""),"")</f>
        <v/>
      </c>
      <c r="R39" t="str">
        <f>IFERROR(IF($H39+1&gt;0,'General Info and Liability'!$B$16,""),"")</f>
        <v/>
      </c>
      <c r="S39" t="str">
        <f>IFERROR(IF($H38+1&lt;'General Info and Liability'!$B$15+1,'General Info and Liability'!$D$17,""),"")</f>
        <v/>
      </c>
      <c r="T39" t="str">
        <f>IFERROR(IF($H38+1&lt;'General Info and Liability'!$B$15+1,'General Info and Liability'!$D$18,""),"")</f>
        <v/>
      </c>
      <c r="U39" t="str">
        <f>IFERROR(IF($H38+1&lt;'General Info and Liability'!$B$15+1,'General Info and Liability'!$D$19,""),"")</f>
        <v/>
      </c>
      <c r="V39" t="str">
        <f>IFERROR(IF($H38+1&lt;'General Info and Liability'!$B$15+1,'General Info and Liability'!$B$14,""),"")</f>
        <v/>
      </c>
      <c r="W39" t="str">
        <f>IFERROR(IF($H38+1&lt;'General Info and Liability'!$B$15+1,'General Info and Liability'!$D$20,""),"")</f>
        <v/>
      </c>
    </row>
    <row r="40" spans="1:23" ht="17.25" customHeight="1">
      <c r="A40" s="37" t="s">
        <v>187</v>
      </c>
      <c r="B40" s="37"/>
      <c r="C40" s="37"/>
      <c r="D40" s="37"/>
      <c r="E40" s="37"/>
      <c r="F40" s="38">
        <f>'General Info and Liability'!B20</f>
        <v>10000</v>
      </c>
      <c r="G40" s="34"/>
      <c r="H40" t="str">
        <f>IFERROR(IF(H39+1&lt;'General Info and Liability'!$B$15+1,'Property Schedule'!H39+1,""),"")</f>
        <v/>
      </c>
      <c r="J40" s="8"/>
      <c r="K40" s="7" t="str">
        <f>IFERROR(IF($H39+1&lt;'General Info and Liability'!$B$15+1,'General Info and Liability'!$B$18/'General Info and Liability'!$B$10*$L40,""),"")</f>
        <v/>
      </c>
      <c r="L40" s="8"/>
      <c r="M40" s="31" t="str">
        <f>IFERROR(IF($H39+1&lt;'General Info and Liability'!$B$15+1,'General Info and Liability'!$D$14/'General Info and Liability'!$B$10*$L40,""),"")</f>
        <v/>
      </c>
      <c r="N40" s="32" t="str">
        <f>IFERROR(IF($H39+1&lt;'General Info and Liability'!$B$15+1,'General Info and Liability'!$D$15/'General Info and Liability'!$B$10*$L40,""),"")</f>
        <v/>
      </c>
      <c r="O40" s="8"/>
      <c r="P40" s="8"/>
      <c r="Q40" t="str">
        <f>IFERROR(IF($H40+1&gt;0,'General Info and Liability'!$D$16,""),"")</f>
        <v/>
      </c>
      <c r="R40" t="str">
        <f>IFERROR(IF($H40+1&gt;0,'General Info and Liability'!$B$16,""),"")</f>
        <v/>
      </c>
      <c r="S40" t="str">
        <f>IFERROR(IF($H39+1&lt;'General Info and Liability'!$B$15+1,'General Info and Liability'!$D$17,""),"")</f>
        <v/>
      </c>
      <c r="T40" t="str">
        <f>IFERROR(IF($H39+1&lt;'General Info and Liability'!$B$15+1,'General Info and Liability'!$D$18,""),"")</f>
        <v/>
      </c>
      <c r="U40" t="str">
        <f>IFERROR(IF($H39+1&lt;'General Info and Liability'!$B$15+1,'General Info and Liability'!$D$19,""),"")</f>
        <v/>
      </c>
      <c r="V40" t="str">
        <f>IFERROR(IF($H39+1&lt;'General Info and Liability'!$B$15+1,'General Info and Liability'!$B$14,""),"")</f>
        <v/>
      </c>
      <c r="W40" t="str">
        <f>IFERROR(IF($H39+1&lt;'General Info and Liability'!$B$15+1,'General Info and Liability'!$D$20,""),"")</f>
        <v/>
      </c>
    </row>
    <row r="41" spans="1:23" ht="17.25" customHeight="1">
      <c r="A41" s="34"/>
      <c r="B41" s="35"/>
      <c r="C41" s="34"/>
      <c r="D41" s="34"/>
      <c r="E41" s="35"/>
      <c r="F41" s="34"/>
      <c r="G41" s="34"/>
      <c r="H41" t="str">
        <f>IFERROR(IF(H40+1&lt;'General Info and Liability'!$B$15+1,'Property Schedule'!H40+1,""),"")</f>
        <v/>
      </c>
      <c r="J41" s="8"/>
      <c r="K41" s="7" t="str">
        <f>IFERROR(IF($H40+1&lt;'General Info and Liability'!$B$15+1,'General Info and Liability'!$B$18/'General Info and Liability'!$B$10*$L41,""),"")</f>
        <v/>
      </c>
      <c r="L41" s="8"/>
      <c r="M41" s="31" t="str">
        <f>IFERROR(IF($H40+1&lt;'General Info and Liability'!$B$15+1,'General Info and Liability'!$D$14/'General Info and Liability'!$B$10*$L41,""),"")</f>
        <v/>
      </c>
      <c r="N41" s="32" t="str">
        <f>IFERROR(IF($H40+1&lt;'General Info and Liability'!$B$15+1,'General Info and Liability'!$D$15/'General Info and Liability'!$B$10*$L41,""),"")</f>
        <v/>
      </c>
      <c r="O41" s="8"/>
      <c r="P41" s="8"/>
      <c r="Q41" t="str">
        <f>IFERROR(IF($H41+1&gt;0,'General Info and Liability'!$D$16,""),"")</f>
        <v/>
      </c>
      <c r="R41" t="str">
        <f>IFERROR(IF($H41+1&gt;0,'General Info and Liability'!$B$16,""),"")</f>
        <v/>
      </c>
      <c r="S41" t="str">
        <f>IFERROR(IF($H40+1&lt;'General Info and Liability'!$B$15+1,'General Info and Liability'!$D$17,""),"")</f>
        <v/>
      </c>
      <c r="T41" t="str">
        <f>IFERROR(IF($H40+1&lt;'General Info and Liability'!$B$15+1,'General Info and Liability'!$D$18,""),"")</f>
        <v/>
      </c>
      <c r="U41" t="str">
        <f>IFERROR(IF($H40+1&lt;'General Info and Liability'!$B$15+1,'General Info and Liability'!$D$19,""),"")</f>
        <v/>
      </c>
      <c r="V41" t="str">
        <f>IFERROR(IF($H40+1&lt;'General Info and Liability'!$B$15+1,'General Info and Liability'!$B$14,""),"")</f>
        <v/>
      </c>
      <c r="W41" t="str">
        <f>IFERROR(IF($H40+1&lt;'General Info and Liability'!$B$15+1,'General Info and Liability'!$D$20,""),"")</f>
        <v/>
      </c>
    </row>
    <row r="42" spans="1:23" ht="17.25" customHeight="1">
      <c r="H42" t="str">
        <f>IFERROR(IF(H41+1&lt;'General Info and Liability'!$B$15+1,'Property Schedule'!H41+1,""),"")</f>
        <v/>
      </c>
      <c r="J42" s="8"/>
      <c r="K42" s="7" t="str">
        <f>IFERROR(IF($H41+1&lt;'General Info and Liability'!$B$15+1,'General Info and Liability'!$B$18/'General Info and Liability'!$B$10*$L42,""),"")</f>
        <v/>
      </c>
      <c r="L42" s="8"/>
      <c r="M42" s="31" t="str">
        <f>IFERROR(IF($H41+1&lt;'General Info and Liability'!$B$15+1,'General Info and Liability'!$D$14/'General Info and Liability'!$B$10*$L42,""),"")</f>
        <v/>
      </c>
      <c r="N42" s="32" t="str">
        <f>IFERROR(IF($H41+1&lt;'General Info and Liability'!$B$15+1,'General Info and Liability'!$D$15/'General Info and Liability'!$B$10*$L42,""),"")</f>
        <v/>
      </c>
      <c r="O42" s="8"/>
      <c r="P42" s="8"/>
      <c r="Q42" t="str">
        <f>IFERROR(IF($H42+1&gt;0,'General Info and Liability'!$D$16,""),"")</f>
        <v/>
      </c>
      <c r="R42" t="str">
        <f>IFERROR(IF($H42+1&gt;0,'General Info and Liability'!$B$16,""),"")</f>
        <v/>
      </c>
      <c r="S42" t="str">
        <f>IFERROR(IF($H41+1&lt;'General Info and Liability'!$B$15+1,'General Info and Liability'!$D$17,""),"")</f>
        <v/>
      </c>
      <c r="T42" t="str">
        <f>IFERROR(IF($H41+1&lt;'General Info and Liability'!$B$15+1,'General Info and Liability'!$D$18,""),"")</f>
        <v/>
      </c>
      <c r="U42" t="str">
        <f>IFERROR(IF($H41+1&lt;'General Info and Liability'!$B$15+1,'General Info and Liability'!$D$19,""),"")</f>
        <v/>
      </c>
      <c r="V42" t="str">
        <f>IFERROR(IF($H41+1&lt;'General Info and Liability'!$B$15+1,'General Info and Liability'!$B$14,""),"")</f>
        <v/>
      </c>
      <c r="W42" t="str">
        <f>IFERROR(IF($H41+1&lt;'General Info and Liability'!$B$15+1,'General Info and Liability'!$D$20,""),"")</f>
        <v/>
      </c>
    </row>
    <row r="43" spans="1:23" ht="17.25" customHeight="1">
      <c r="H43" t="str">
        <f>IFERROR(IF(H42+1&lt;'General Info and Liability'!$B$15+1,'Property Schedule'!H42+1,""),"")</f>
        <v/>
      </c>
      <c r="J43" s="8"/>
      <c r="K43" s="7" t="str">
        <f>IFERROR(IF($H42+1&lt;'General Info and Liability'!$B$15+1,'General Info and Liability'!$B$18/'General Info and Liability'!$B$10*$L43,""),"")</f>
        <v/>
      </c>
      <c r="L43" s="8"/>
      <c r="M43" s="31" t="str">
        <f>IFERROR(IF($H42+1&lt;'General Info and Liability'!$B$15+1,'General Info and Liability'!$D$14/'General Info and Liability'!$B$10*$L43,""),"")</f>
        <v/>
      </c>
      <c r="N43" s="32" t="str">
        <f>IFERROR(IF($H42+1&lt;'General Info and Liability'!$B$15+1,'General Info and Liability'!$D$15/'General Info and Liability'!$B$10*$L43,""),"")</f>
        <v/>
      </c>
      <c r="O43" s="8"/>
      <c r="P43" s="8"/>
      <c r="Q43" t="str">
        <f>IFERROR(IF($H43+1&gt;0,'General Info and Liability'!$D$16,""),"")</f>
        <v/>
      </c>
      <c r="R43" t="str">
        <f>IFERROR(IF($H43+1&gt;0,'General Info and Liability'!$B$16,""),"")</f>
        <v/>
      </c>
      <c r="S43" t="str">
        <f>IFERROR(IF($H42+1&lt;'General Info and Liability'!$B$15+1,'General Info and Liability'!$D$17,""),"")</f>
        <v/>
      </c>
      <c r="T43" t="str">
        <f>IFERROR(IF($H42+1&lt;'General Info and Liability'!$B$15+1,'General Info and Liability'!$D$18,""),"")</f>
        <v/>
      </c>
      <c r="U43" t="str">
        <f>IFERROR(IF($H42+1&lt;'General Info and Liability'!$B$15+1,'General Info and Liability'!$D$19,""),"")</f>
        <v/>
      </c>
      <c r="V43" t="str">
        <f>IFERROR(IF($H42+1&lt;'General Info and Liability'!$B$15+1,'General Info and Liability'!$B$14,""),"")</f>
        <v/>
      </c>
      <c r="W43" t="str">
        <f>IFERROR(IF($H42+1&lt;'General Info and Liability'!$B$15+1,'General Info and Liability'!$D$20,""),"")</f>
        <v/>
      </c>
    </row>
    <row r="44" spans="1:23" ht="17.25" customHeight="1">
      <c r="H44" t="str">
        <f>IFERROR(IF(H43+1&lt;'General Info and Liability'!$B$15+1,'Property Schedule'!H43+1,""),"")</f>
        <v/>
      </c>
      <c r="J44" s="8"/>
      <c r="K44" s="7" t="str">
        <f>IFERROR(IF($H43+1&lt;'General Info and Liability'!$B$15+1,'General Info and Liability'!$B$18/'General Info and Liability'!$B$10*$L44,""),"")</f>
        <v/>
      </c>
      <c r="L44" s="8"/>
      <c r="M44" s="31" t="str">
        <f>IFERROR(IF($H43+1&lt;'General Info and Liability'!$B$15+1,'General Info and Liability'!$D$14/'General Info and Liability'!$B$10*$L44,""),"")</f>
        <v/>
      </c>
      <c r="N44" s="32" t="str">
        <f>IFERROR(IF($H43+1&lt;'General Info and Liability'!$B$15+1,'General Info and Liability'!$D$15/'General Info and Liability'!$B$10*$L44,""),"")</f>
        <v/>
      </c>
      <c r="O44" s="8"/>
      <c r="P44" s="8"/>
      <c r="Q44" t="str">
        <f>IFERROR(IF($H44+1&gt;0,'General Info and Liability'!$D$16,""),"")</f>
        <v/>
      </c>
      <c r="R44" t="str">
        <f>IFERROR(IF($H44+1&gt;0,'General Info and Liability'!$B$16,""),"")</f>
        <v/>
      </c>
      <c r="S44" t="str">
        <f>IFERROR(IF($H43+1&lt;'General Info and Liability'!$B$15+1,'General Info and Liability'!$D$17,""),"")</f>
        <v/>
      </c>
      <c r="T44" t="str">
        <f>IFERROR(IF($H43+1&lt;'General Info and Liability'!$B$15+1,'General Info and Liability'!$D$18,""),"")</f>
        <v/>
      </c>
      <c r="U44" t="str">
        <f>IFERROR(IF($H43+1&lt;'General Info and Liability'!$B$15+1,'General Info and Liability'!$D$19,""),"")</f>
        <v/>
      </c>
      <c r="V44" t="str">
        <f>IFERROR(IF($H43+1&lt;'General Info and Liability'!$B$15+1,'General Info and Liability'!$B$14,""),"")</f>
        <v/>
      </c>
      <c r="W44" t="str">
        <f>IFERROR(IF($H43+1&lt;'General Info and Liability'!$B$15+1,'General Info and Liability'!$D$20,""),"")</f>
        <v/>
      </c>
    </row>
    <row r="45" spans="1:23" ht="17.25" customHeight="1">
      <c r="H45" t="str">
        <f>IFERROR(IF(H44+1&lt;'General Info and Liability'!$B$15+1,'Property Schedule'!H44+1,""),"")</f>
        <v/>
      </c>
      <c r="J45" s="8"/>
      <c r="K45" s="7" t="str">
        <f>IFERROR(IF($H44+1&lt;'General Info and Liability'!$B$15+1,'General Info and Liability'!$B$18/'General Info and Liability'!$B$10*$L45,""),"")</f>
        <v/>
      </c>
      <c r="L45" s="8"/>
      <c r="M45" s="31" t="str">
        <f>IFERROR(IF($H44+1&lt;'General Info and Liability'!$B$15+1,'General Info and Liability'!$D$14/'General Info and Liability'!$B$10*$L45,""),"")</f>
        <v/>
      </c>
      <c r="N45" s="32" t="str">
        <f>IFERROR(IF($H44+1&lt;'General Info and Liability'!$B$15+1,'General Info and Liability'!$D$15/'General Info and Liability'!$B$10*$L45,""),"")</f>
        <v/>
      </c>
      <c r="O45" s="8"/>
      <c r="P45" s="8"/>
      <c r="Q45" t="str">
        <f>IFERROR(IF($H45+1&gt;0,'General Info and Liability'!$D$16,""),"")</f>
        <v/>
      </c>
      <c r="R45" t="str">
        <f>IFERROR(IF($H45+1&gt;0,'General Info and Liability'!$B$16,""),"")</f>
        <v/>
      </c>
      <c r="S45" t="str">
        <f>IFERROR(IF($H44+1&lt;'General Info and Liability'!$B$15+1,'General Info and Liability'!$D$17,""),"")</f>
        <v/>
      </c>
      <c r="T45" t="str">
        <f>IFERROR(IF($H44+1&lt;'General Info and Liability'!$B$15+1,'General Info and Liability'!$D$18,""),"")</f>
        <v/>
      </c>
      <c r="U45" t="str">
        <f>IFERROR(IF($H44+1&lt;'General Info and Liability'!$B$15+1,'General Info and Liability'!$D$19,""),"")</f>
        <v/>
      </c>
      <c r="V45" t="str">
        <f>IFERROR(IF($H44+1&lt;'General Info and Liability'!$B$15+1,'General Info and Liability'!$B$14,""),"")</f>
        <v/>
      </c>
      <c r="W45" t="str">
        <f>IFERROR(IF($H44+1&lt;'General Info and Liability'!$B$15+1,'General Info and Liability'!$D$20,""),"")</f>
        <v/>
      </c>
    </row>
    <row r="46" spans="1:23" ht="17.25" customHeight="1">
      <c r="H46" t="str">
        <f>IFERROR(IF(H45+1&lt;'General Info and Liability'!$B$15+1,'Property Schedule'!H45+1,""),"")</f>
        <v/>
      </c>
      <c r="J46" s="8"/>
      <c r="K46" s="7" t="str">
        <f>IFERROR(IF($H45+1&lt;'General Info and Liability'!$B$15+1,'General Info and Liability'!$B$18/'General Info and Liability'!$B$10*$L46,""),"")</f>
        <v/>
      </c>
      <c r="L46" s="8"/>
      <c r="M46" s="31" t="str">
        <f>IFERROR(IF($H45+1&lt;'General Info and Liability'!$B$15+1,'General Info and Liability'!$D$14/'General Info and Liability'!$B$10*$L46,""),"")</f>
        <v/>
      </c>
      <c r="N46" s="32" t="str">
        <f>IFERROR(IF($H45+1&lt;'General Info and Liability'!$B$15+1,'General Info and Liability'!$D$15/'General Info and Liability'!$B$10*$L46,""),"")</f>
        <v/>
      </c>
      <c r="O46" s="8"/>
      <c r="P46" s="8"/>
      <c r="Q46" t="str">
        <f>IFERROR(IF($H46+1&gt;0,'General Info and Liability'!$D$16,""),"")</f>
        <v/>
      </c>
      <c r="R46" t="str">
        <f>IFERROR(IF($H46+1&gt;0,'General Info and Liability'!$B$16,""),"")</f>
        <v/>
      </c>
      <c r="S46" t="str">
        <f>IFERROR(IF($H45+1&lt;'General Info and Liability'!$B$15+1,'General Info and Liability'!$D$17,""),"")</f>
        <v/>
      </c>
      <c r="T46" t="str">
        <f>IFERROR(IF($H45+1&lt;'General Info and Liability'!$B$15+1,'General Info and Liability'!$D$18,""),"")</f>
        <v/>
      </c>
      <c r="U46" t="str">
        <f>IFERROR(IF($H45+1&lt;'General Info and Liability'!$B$15+1,'General Info and Liability'!$D$19,""),"")</f>
        <v/>
      </c>
      <c r="V46" t="str">
        <f>IFERROR(IF($H45+1&lt;'General Info and Liability'!$B$15+1,'General Info and Liability'!$B$14,""),"")</f>
        <v/>
      </c>
      <c r="W46" t="str">
        <f>IFERROR(IF($H45+1&lt;'General Info and Liability'!$B$15+1,'General Info and Liability'!$D$20,""),"")</f>
        <v/>
      </c>
    </row>
    <row r="47" spans="1:23" ht="17.25" customHeight="1">
      <c r="H47" t="str">
        <f>IFERROR(IF(H46+1&lt;'General Info and Liability'!$B$15+1,'Property Schedule'!H46+1,""),"")</f>
        <v/>
      </c>
      <c r="J47" s="8"/>
      <c r="K47" s="7" t="str">
        <f>IFERROR(IF($H46+1&lt;'General Info and Liability'!$B$15+1,'General Info and Liability'!$B$18/'General Info and Liability'!$B$10*$L47,""),"")</f>
        <v/>
      </c>
      <c r="L47" s="8"/>
      <c r="M47" s="31" t="str">
        <f>IFERROR(IF($H46+1&lt;'General Info and Liability'!$B$15+1,'General Info and Liability'!$D$14/'General Info and Liability'!$B$10*$L47,""),"")</f>
        <v/>
      </c>
      <c r="N47" s="32" t="str">
        <f>IFERROR(IF($H46+1&lt;'General Info and Liability'!$B$15+1,'General Info and Liability'!$D$15/'General Info and Liability'!$B$10*$L47,""),"")</f>
        <v/>
      </c>
      <c r="O47" s="8"/>
      <c r="P47" s="8"/>
      <c r="Q47" t="str">
        <f>IFERROR(IF($H47+1&gt;0,'General Info and Liability'!$D$16,""),"")</f>
        <v/>
      </c>
      <c r="R47" t="str">
        <f>IFERROR(IF($H47+1&gt;0,'General Info and Liability'!$B$16,""),"")</f>
        <v/>
      </c>
      <c r="S47" t="str">
        <f>IFERROR(IF($H46+1&lt;'General Info and Liability'!$B$15+1,'General Info and Liability'!$D$17,""),"")</f>
        <v/>
      </c>
      <c r="T47" t="str">
        <f>IFERROR(IF($H46+1&lt;'General Info and Liability'!$B$15+1,'General Info and Liability'!$D$18,""),"")</f>
        <v/>
      </c>
      <c r="U47" t="str">
        <f>IFERROR(IF($H46+1&lt;'General Info and Liability'!$B$15+1,'General Info and Liability'!$D$19,""),"")</f>
        <v/>
      </c>
      <c r="V47" t="str">
        <f>IFERROR(IF($H46+1&lt;'General Info and Liability'!$B$15+1,'General Info and Liability'!$B$14,""),"")</f>
        <v/>
      </c>
      <c r="W47" t="str">
        <f>IFERROR(IF($H46+1&lt;'General Info and Liability'!$B$15+1,'General Info and Liability'!$D$20,""),"")</f>
        <v/>
      </c>
    </row>
    <row r="48" spans="1:23" ht="17.25" customHeight="1">
      <c r="H48" t="str">
        <f>IFERROR(IF(H47+1&lt;'General Info and Liability'!$B$15+1,'Property Schedule'!H47+1,""),"")</f>
        <v/>
      </c>
      <c r="J48" s="8"/>
      <c r="K48" s="7" t="str">
        <f>IFERROR(IF($H47+1&lt;'General Info and Liability'!$B$15+1,'General Info and Liability'!$B$18/'General Info and Liability'!$B$10*$L48,""),"")</f>
        <v/>
      </c>
      <c r="L48" s="8"/>
      <c r="M48" s="31" t="str">
        <f>IFERROR(IF($H47+1&lt;'General Info and Liability'!$B$15+1,'General Info and Liability'!$D$14/'General Info and Liability'!$B$10*$L48,""),"")</f>
        <v/>
      </c>
      <c r="N48" s="32" t="str">
        <f>IFERROR(IF($H47+1&lt;'General Info and Liability'!$B$15+1,'General Info and Liability'!$D$15/'General Info and Liability'!$B$10*$L48,""),"")</f>
        <v/>
      </c>
      <c r="O48" s="8"/>
      <c r="P48" s="8"/>
      <c r="Q48" t="str">
        <f>IFERROR(IF($H48+1&gt;0,'General Info and Liability'!$D$16,""),"")</f>
        <v/>
      </c>
      <c r="R48" t="str">
        <f>IFERROR(IF($H48+1&gt;0,'General Info and Liability'!$B$16,""),"")</f>
        <v/>
      </c>
      <c r="S48" t="str">
        <f>IFERROR(IF($H47+1&lt;'General Info and Liability'!$B$15+1,'General Info and Liability'!$D$17,""),"")</f>
        <v/>
      </c>
      <c r="T48" t="str">
        <f>IFERROR(IF($H47+1&lt;'General Info and Liability'!$B$15+1,'General Info and Liability'!$D$18,""),"")</f>
        <v/>
      </c>
      <c r="U48" t="str">
        <f>IFERROR(IF($H47+1&lt;'General Info and Liability'!$B$15+1,'General Info and Liability'!$D$19,""),"")</f>
        <v/>
      </c>
      <c r="V48" t="str">
        <f>IFERROR(IF($H47+1&lt;'General Info and Liability'!$B$15+1,'General Info and Liability'!$B$14,""),"")</f>
        <v/>
      </c>
      <c r="W48" t="str">
        <f>IFERROR(IF($H47+1&lt;'General Info and Liability'!$B$15+1,'General Info and Liability'!$D$20,""),"")</f>
        <v/>
      </c>
    </row>
    <row r="49" spans="8:23" ht="17.25" customHeight="1">
      <c r="H49" t="str">
        <f>IFERROR(IF(H48+1&lt;'General Info and Liability'!$B$15+1,'Property Schedule'!H48+1,""),"")</f>
        <v/>
      </c>
      <c r="J49" s="8"/>
      <c r="K49" s="7" t="str">
        <f>IFERROR(IF($H48+1&lt;'General Info and Liability'!$B$15+1,'General Info and Liability'!$B$18/'General Info and Liability'!$B$10*$L49,""),"")</f>
        <v/>
      </c>
      <c r="L49" s="8"/>
      <c r="M49" s="31" t="str">
        <f>IFERROR(IF($H48+1&lt;'General Info and Liability'!$B$15+1,'General Info and Liability'!$D$14/'General Info and Liability'!$B$10*$L49,""),"")</f>
        <v/>
      </c>
      <c r="N49" s="32" t="str">
        <f>IFERROR(IF($H48+1&lt;'General Info and Liability'!$B$15+1,'General Info and Liability'!$D$15/'General Info and Liability'!$B$10*$L49,""),"")</f>
        <v/>
      </c>
      <c r="O49" s="8"/>
      <c r="P49" s="8"/>
      <c r="Q49" t="str">
        <f>IFERROR(IF($H49+1&gt;0,'General Info and Liability'!$D$16,""),"")</f>
        <v/>
      </c>
      <c r="R49" t="str">
        <f>IFERROR(IF($H49+1&gt;0,'General Info and Liability'!$B$16,""),"")</f>
        <v/>
      </c>
      <c r="S49" t="str">
        <f>IFERROR(IF($H48+1&lt;'General Info and Liability'!$B$15+1,'General Info and Liability'!$D$17,""),"")</f>
        <v/>
      </c>
      <c r="T49" t="str">
        <f>IFERROR(IF($H48+1&lt;'General Info and Liability'!$B$15+1,'General Info and Liability'!$D$18,""),"")</f>
        <v/>
      </c>
      <c r="U49" t="str">
        <f>IFERROR(IF($H48+1&lt;'General Info and Liability'!$B$15+1,'General Info and Liability'!$D$19,""),"")</f>
        <v/>
      </c>
      <c r="V49" t="str">
        <f>IFERROR(IF($H48+1&lt;'General Info and Liability'!$B$15+1,'General Info and Liability'!$B$14,""),"")</f>
        <v/>
      </c>
      <c r="W49" t="str">
        <f>IFERROR(IF($H48+1&lt;'General Info and Liability'!$B$15+1,'General Info and Liability'!$D$20,""),"")</f>
        <v/>
      </c>
    </row>
    <row r="50" spans="8:23" ht="17.25" customHeight="1">
      <c r="H50" t="str">
        <f>IFERROR(IF(H49+1&lt;'General Info and Liability'!$B$15+1,'Property Schedule'!H49+1,""),"")</f>
        <v/>
      </c>
      <c r="J50" s="8"/>
      <c r="K50" s="7" t="str">
        <f>IFERROR(IF($H49+1&lt;'General Info and Liability'!$B$15+1,'General Info and Liability'!$B$18/'General Info and Liability'!$B$10*$L50,""),"")</f>
        <v/>
      </c>
      <c r="L50" s="8"/>
      <c r="M50" s="31" t="str">
        <f>IFERROR(IF($H49+1&lt;'General Info and Liability'!$B$15+1,'General Info and Liability'!$D$14/'General Info and Liability'!$B$10*$L50,""),"")</f>
        <v/>
      </c>
      <c r="N50" s="32" t="str">
        <f>IFERROR(IF($H49+1&lt;'General Info and Liability'!$B$15+1,'General Info and Liability'!$D$15/'General Info and Liability'!$B$10*$L50,""),"")</f>
        <v/>
      </c>
      <c r="O50" s="8"/>
      <c r="P50" s="8"/>
      <c r="Q50" t="str">
        <f>IFERROR(IF($H50+1&gt;0,'General Info and Liability'!$D$16,""),"")</f>
        <v/>
      </c>
      <c r="R50" t="str">
        <f>IFERROR(IF($H50+1&gt;0,'General Info and Liability'!$B$16,""),"")</f>
        <v/>
      </c>
      <c r="S50" t="str">
        <f>IFERROR(IF($H49+1&lt;'General Info and Liability'!$B$15+1,'General Info and Liability'!$D$17,""),"")</f>
        <v/>
      </c>
      <c r="T50" t="str">
        <f>IFERROR(IF($H49+1&lt;'General Info and Liability'!$B$15+1,'General Info and Liability'!$D$18,""),"")</f>
        <v/>
      </c>
      <c r="U50" t="str">
        <f>IFERROR(IF($H49+1&lt;'General Info and Liability'!$B$15+1,'General Info and Liability'!$D$19,""),"")</f>
        <v/>
      </c>
      <c r="V50" t="str">
        <f>IFERROR(IF($H49+1&lt;'General Info and Liability'!$B$15+1,'General Info and Liability'!$B$14,""),"")</f>
        <v/>
      </c>
      <c r="W50" t="str">
        <f>IFERROR(IF($H49+1&lt;'General Info and Liability'!$B$15+1,'General Info and Liability'!$D$20,""),"")</f>
        <v/>
      </c>
    </row>
    <row r="51" spans="8:23" ht="17.25" customHeight="1">
      <c r="H51" t="str">
        <f>IFERROR(IF(H50+1&lt;'General Info and Liability'!$B$15+1,'Property Schedule'!H50+1,""),"")</f>
        <v/>
      </c>
      <c r="J51" s="8"/>
      <c r="K51" s="7" t="str">
        <f>IFERROR(IF($H50+1&lt;'General Info and Liability'!$B$15+1,'General Info and Liability'!$B$18/'General Info and Liability'!$B$10*$L51,""),"")</f>
        <v/>
      </c>
      <c r="L51" s="8"/>
      <c r="M51" s="31" t="str">
        <f>IFERROR(IF($H50+1&lt;'General Info and Liability'!$B$15+1,'General Info and Liability'!$D$14/'General Info and Liability'!$B$10*$L51,""),"")</f>
        <v/>
      </c>
      <c r="N51" s="32" t="str">
        <f>IFERROR(IF($H50+1&lt;'General Info and Liability'!$B$15+1,'General Info and Liability'!$D$15/'General Info and Liability'!$B$10*$L51,""),"")</f>
        <v/>
      </c>
      <c r="O51" s="8"/>
      <c r="P51" s="8"/>
      <c r="Q51" t="str">
        <f>IFERROR(IF($H51+1&gt;0,'General Info and Liability'!$D$16,""),"")</f>
        <v/>
      </c>
      <c r="R51" t="str">
        <f>IFERROR(IF($H51+1&gt;0,'General Info and Liability'!$B$16,""),"")</f>
        <v/>
      </c>
      <c r="S51" t="str">
        <f>IFERROR(IF($H50+1&lt;'General Info and Liability'!$B$15+1,'General Info and Liability'!$D$17,""),"")</f>
        <v/>
      </c>
      <c r="T51" t="str">
        <f>IFERROR(IF($H50+1&lt;'General Info and Liability'!$B$15+1,'General Info and Liability'!$D$18,""),"")</f>
        <v/>
      </c>
      <c r="U51" t="str">
        <f>IFERROR(IF($H50+1&lt;'General Info and Liability'!$B$15+1,'General Info and Liability'!$D$19,""),"")</f>
        <v/>
      </c>
      <c r="V51" t="str">
        <f>IFERROR(IF($H50+1&lt;'General Info and Liability'!$B$15+1,'General Info and Liability'!$B$14,""),"")</f>
        <v/>
      </c>
      <c r="W51" t="str">
        <f>IFERROR(IF($H50+1&lt;'General Info and Liability'!$B$15+1,'General Info and Liability'!$D$20,""),"")</f>
        <v/>
      </c>
    </row>
    <row r="52" spans="8:23" ht="17.25" customHeight="1">
      <c r="H52" t="str">
        <f>IFERROR(IF(H51+1&lt;'General Info and Liability'!$B$15+1,'Property Schedule'!H51+1,""),"")</f>
        <v/>
      </c>
      <c r="J52" s="8"/>
      <c r="K52" s="7" t="str">
        <f>IFERROR(IF($H51+1&lt;'General Info and Liability'!$B$15+1,'General Info and Liability'!$B$18/'General Info and Liability'!$B$10*$L52,""),"")</f>
        <v/>
      </c>
      <c r="L52" s="8"/>
      <c r="M52" s="31" t="str">
        <f>IFERROR(IF($H51+1&lt;'General Info and Liability'!$B$15+1,'General Info and Liability'!$D$14/'General Info and Liability'!$B$10*$L52,""),"")</f>
        <v/>
      </c>
      <c r="N52" s="32" t="str">
        <f>IFERROR(IF($H51+1&lt;'General Info and Liability'!$B$15+1,'General Info and Liability'!$D$15/'General Info and Liability'!$B$10*$L52,""),"")</f>
        <v/>
      </c>
      <c r="O52" s="8"/>
      <c r="P52" s="8"/>
      <c r="Q52" t="str">
        <f>IFERROR(IF($H52+1&gt;0,'General Info and Liability'!$D$16,""),"")</f>
        <v/>
      </c>
      <c r="R52" t="str">
        <f>IFERROR(IF($H52+1&gt;0,'General Info and Liability'!$B$16,""),"")</f>
        <v/>
      </c>
      <c r="S52" t="str">
        <f>IFERROR(IF($H51+1&lt;'General Info and Liability'!$B$15+1,'General Info and Liability'!$D$17,""),"")</f>
        <v/>
      </c>
      <c r="T52" t="str">
        <f>IFERROR(IF($H51+1&lt;'General Info and Liability'!$B$15+1,'General Info and Liability'!$D$18,""),"")</f>
        <v/>
      </c>
      <c r="U52" t="str">
        <f>IFERROR(IF($H51+1&lt;'General Info and Liability'!$B$15+1,'General Info and Liability'!$D$19,""),"")</f>
        <v/>
      </c>
      <c r="V52" t="str">
        <f>IFERROR(IF($H51+1&lt;'General Info and Liability'!$B$15+1,'General Info and Liability'!$B$14,""),"")</f>
        <v/>
      </c>
      <c r="W52" t="str">
        <f>IFERROR(IF($H51+1&lt;'General Info and Liability'!$B$15+1,'General Info and Liability'!$D$20,""),"")</f>
        <v/>
      </c>
    </row>
    <row r="53" spans="8:23" ht="17.25" customHeight="1">
      <c r="H53" t="str">
        <f>IFERROR(IF(H52+1&lt;'General Info and Liability'!$B$15+1,'Property Schedule'!H52+1,""),"")</f>
        <v/>
      </c>
      <c r="J53" s="8"/>
      <c r="K53" s="7" t="str">
        <f>IFERROR(IF($H52+1&lt;'General Info and Liability'!$B$15+1,'General Info and Liability'!$B$18/'General Info and Liability'!$B$10*$L53,""),"")</f>
        <v/>
      </c>
      <c r="L53" s="8"/>
      <c r="M53" s="31" t="str">
        <f>IFERROR(IF($H52+1&lt;'General Info and Liability'!$B$15+1,'General Info and Liability'!$D$14/'General Info and Liability'!$B$10*$L53,""),"")</f>
        <v/>
      </c>
      <c r="N53" s="32" t="str">
        <f>IFERROR(IF($H52+1&lt;'General Info and Liability'!$B$15+1,'General Info and Liability'!$D$15/'General Info and Liability'!$B$10*$L53,""),"")</f>
        <v/>
      </c>
      <c r="O53" s="8"/>
      <c r="P53" s="8"/>
      <c r="Q53" t="str">
        <f>IFERROR(IF($H53+1&gt;0,'General Info and Liability'!$D$16,""),"")</f>
        <v/>
      </c>
      <c r="R53" t="str">
        <f>IFERROR(IF($H53+1&gt;0,'General Info and Liability'!$B$16,""),"")</f>
        <v/>
      </c>
      <c r="S53" t="str">
        <f>IFERROR(IF($H52+1&lt;'General Info and Liability'!$B$15+1,'General Info and Liability'!$D$17,""),"")</f>
        <v/>
      </c>
      <c r="T53" t="str">
        <f>IFERROR(IF($H52+1&lt;'General Info and Liability'!$B$15+1,'General Info and Liability'!$D$18,""),"")</f>
        <v/>
      </c>
      <c r="U53" t="str">
        <f>IFERROR(IF($H52+1&lt;'General Info and Liability'!$B$15+1,'General Info and Liability'!$D$19,""),"")</f>
        <v/>
      </c>
      <c r="V53" t="str">
        <f>IFERROR(IF($H52+1&lt;'General Info and Liability'!$B$15+1,'General Info and Liability'!$B$14,""),"")</f>
        <v/>
      </c>
      <c r="W53" t="str">
        <f>IFERROR(IF($H52+1&lt;'General Info and Liability'!$B$15+1,'General Info and Liability'!$D$20,""),"")</f>
        <v/>
      </c>
    </row>
    <row r="54" spans="8:23" ht="17.25" customHeight="1">
      <c r="H54" t="str">
        <f>IFERROR(IF(H53+1&lt;'General Info and Liability'!$B$15+1,'Property Schedule'!H53+1,""),"")</f>
        <v/>
      </c>
      <c r="J54" s="8"/>
      <c r="K54" s="7" t="str">
        <f>IFERROR(IF($H53+1&lt;'General Info and Liability'!$B$15+1,'General Info and Liability'!$B$18/'General Info and Liability'!$B$10*$L54,""),"")</f>
        <v/>
      </c>
      <c r="L54" s="8"/>
      <c r="M54" s="31" t="str">
        <f>IFERROR(IF($H53+1&lt;'General Info and Liability'!$B$15+1,'General Info and Liability'!$D$14/'General Info and Liability'!$B$10*$L54,""),"")</f>
        <v/>
      </c>
      <c r="N54" s="32" t="str">
        <f>IFERROR(IF($H53+1&lt;'General Info and Liability'!$B$15+1,'General Info and Liability'!$D$15/'General Info and Liability'!$B$10*$L54,""),"")</f>
        <v/>
      </c>
      <c r="O54" s="8"/>
      <c r="P54" s="8"/>
      <c r="Q54" t="str">
        <f>IFERROR(IF($H54+1&gt;0,'General Info and Liability'!$D$16,""),"")</f>
        <v/>
      </c>
      <c r="R54" t="str">
        <f>IFERROR(IF($H54+1&gt;0,'General Info and Liability'!$B$16,""),"")</f>
        <v/>
      </c>
      <c r="S54" t="str">
        <f>IFERROR(IF($H53+1&lt;'General Info and Liability'!$B$15+1,'General Info and Liability'!$D$17,""),"")</f>
        <v/>
      </c>
      <c r="T54" t="str">
        <f>IFERROR(IF($H53+1&lt;'General Info and Liability'!$B$15+1,'General Info and Liability'!$D$18,""),"")</f>
        <v/>
      </c>
      <c r="U54" t="str">
        <f>IFERROR(IF($H53+1&lt;'General Info and Liability'!$B$15+1,'General Info and Liability'!$D$19,""),"")</f>
        <v/>
      </c>
      <c r="V54" t="str">
        <f>IFERROR(IF($H53+1&lt;'General Info and Liability'!$B$15+1,'General Info and Liability'!$B$14,""),"")</f>
        <v/>
      </c>
      <c r="W54" t="str">
        <f>IFERROR(IF($H53+1&lt;'General Info and Liability'!$B$15+1,'General Info and Liability'!$D$20,""),"")</f>
        <v/>
      </c>
    </row>
    <row r="55" spans="8:23" ht="17.25" customHeight="1">
      <c r="H55" t="str">
        <f>IFERROR(IF(H54+1&lt;'General Info and Liability'!$B$15+1,'Property Schedule'!H54+1,""),"")</f>
        <v/>
      </c>
      <c r="J55" s="8"/>
      <c r="K55" s="7" t="str">
        <f>IFERROR(IF($H54+1&lt;'General Info and Liability'!$B$15+1,'General Info and Liability'!$B$18/'General Info and Liability'!$B$10*$L55,""),"")</f>
        <v/>
      </c>
      <c r="L55" s="8"/>
      <c r="M55" s="31" t="str">
        <f>IFERROR(IF($H54+1&lt;'General Info and Liability'!$B$15+1,'General Info and Liability'!$D$14/'General Info and Liability'!$B$10*$L55,""),"")</f>
        <v/>
      </c>
      <c r="N55" s="32" t="str">
        <f>IFERROR(IF($H54+1&lt;'General Info and Liability'!$B$15+1,'General Info and Liability'!$D$15/'General Info and Liability'!$B$10*$L55,""),"")</f>
        <v/>
      </c>
      <c r="O55" s="8"/>
      <c r="P55" s="8"/>
      <c r="Q55" t="str">
        <f>IFERROR(IF($H55+1&gt;0,'General Info and Liability'!$D$16,""),"")</f>
        <v/>
      </c>
      <c r="R55" t="str">
        <f>IFERROR(IF($H55+1&gt;0,'General Info and Liability'!$B$16,""),"")</f>
        <v/>
      </c>
      <c r="S55" t="str">
        <f>IFERROR(IF($H54+1&lt;'General Info and Liability'!$B$15+1,'General Info and Liability'!$D$17,""),"")</f>
        <v/>
      </c>
      <c r="T55" t="str">
        <f>IFERROR(IF($H54+1&lt;'General Info and Liability'!$B$15+1,'General Info and Liability'!$D$18,""),"")</f>
        <v/>
      </c>
      <c r="U55" t="str">
        <f>IFERROR(IF($H54+1&lt;'General Info and Liability'!$B$15+1,'General Info and Liability'!$D$19,""),"")</f>
        <v/>
      </c>
      <c r="V55" t="str">
        <f>IFERROR(IF($H54+1&lt;'General Info and Liability'!$B$15+1,'General Info and Liability'!$B$14,""),"")</f>
        <v/>
      </c>
      <c r="W55" t="str">
        <f>IFERROR(IF($H54+1&lt;'General Info and Liability'!$B$15+1,'General Info and Liability'!$D$20,""),"")</f>
        <v/>
      </c>
    </row>
    <row r="56" spans="8:23" ht="17.25" customHeight="1">
      <c r="H56" t="str">
        <f>IFERROR(IF(H55+1&lt;'General Info and Liability'!$B$15+1,'Property Schedule'!H55+1,""),"")</f>
        <v/>
      </c>
      <c r="J56" s="8"/>
      <c r="K56" s="7" t="str">
        <f>IFERROR(IF($H55+1&lt;'General Info and Liability'!$B$15+1,'General Info and Liability'!$B$18/'General Info and Liability'!$B$10*$L56,""),"")</f>
        <v/>
      </c>
      <c r="L56" s="8"/>
      <c r="M56" s="31" t="str">
        <f>IFERROR(IF($H55+1&lt;'General Info and Liability'!$B$15+1,'General Info and Liability'!$D$14/'General Info and Liability'!$B$10*$L56,""),"")</f>
        <v/>
      </c>
      <c r="N56" s="32" t="str">
        <f>IFERROR(IF($H55+1&lt;'General Info and Liability'!$B$15+1,'General Info and Liability'!$D$15/'General Info and Liability'!$B$10*$L56,""),"")</f>
        <v/>
      </c>
      <c r="O56" s="8"/>
      <c r="P56" s="8"/>
      <c r="Q56" t="str">
        <f>IFERROR(IF($H56+1&gt;0,'General Info and Liability'!$D$16,""),"")</f>
        <v/>
      </c>
      <c r="R56" t="str">
        <f>IFERROR(IF($H56+1&gt;0,'General Info and Liability'!$B$16,""),"")</f>
        <v/>
      </c>
      <c r="S56" t="str">
        <f>IFERROR(IF($H55+1&lt;'General Info and Liability'!$B$15+1,'General Info and Liability'!$D$17,""),"")</f>
        <v/>
      </c>
      <c r="T56" t="str">
        <f>IFERROR(IF($H55+1&lt;'General Info and Liability'!$B$15+1,'General Info and Liability'!$D$18,""),"")</f>
        <v/>
      </c>
      <c r="U56" t="str">
        <f>IFERROR(IF($H55+1&lt;'General Info and Liability'!$B$15+1,'General Info and Liability'!$D$19,""),"")</f>
        <v/>
      </c>
      <c r="V56" t="str">
        <f>IFERROR(IF($H55+1&lt;'General Info and Liability'!$B$15+1,'General Info and Liability'!$B$14,""),"")</f>
        <v/>
      </c>
      <c r="W56" t="str">
        <f>IFERROR(IF($H55+1&lt;'General Info and Liability'!$B$15+1,'General Info and Liability'!$D$20,""),"")</f>
        <v/>
      </c>
    </row>
    <row r="57" spans="8:23" ht="17.25" customHeight="1">
      <c r="H57" t="str">
        <f>IFERROR(IF(H56+1&lt;'General Info and Liability'!$B$15+1,'Property Schedule'!H56+1,""),"")</f>
        <v/>
      </c>
      <c r="J57" s="8"/>
      <c r="K57" s="7" t="str">
        <f>IFERROR(IF($H56+1&lt;'General Info and Liability'!$B$15+1,'General Info and Liability'!$B$18/'General Info and Liability'!$B$10*$L57,""),"")</f>
        <v/>
      </c>
      <c r="L57" s="8"/>
      <c r="M57" s="31" t="str">
        <f>IFERROR(IF($H56+1&lt;'General Info and Liability'!$B$15+1,'General Info and Liability'!$D$14/'General Info and Liability'!$B$10*$L57,""),"")</f>
        <v/>
      </c>
      <c r="N57" s="32" t="str">
        <f>IFERROR(IF($H56+1&lt;'General Info and Liability'!$B$15+1,'General Info and Liability'!$D$15/'General Info and Liability'!$B$10*$L57,""),"")</f>
        <v/>
      </c>
      <c r="O57" s="8"/>
      <c r="P57" s="8"/>
      <c r="Q57" t="str">
        <f>IFERROR(IF($H57+1&gt;0,'General Info and Liability'!$D$16,""),"")</f>
        <v/>
      </c>
      <c r="R57" t="str">
        <f>IFERROR(IF($H57+1&gt;0,'General Info and Liability'!$B$16,""),"")</f>
        <v/>
      </c>
      <c r="S57" t="str">
        <f>IFERROR(IF($H56+1&lt;'General Info and Liability'!$B$15+1,'General Info and Liability'!$D$17,""),"")</f>
        <v/>
      </c>
      <c r="T57" t="str">
        <f>IFERROR(IF($H56+1&lt;'General Info and Liability'!$B$15+1,'General Info and Liability'!$D$18,""),"")</f>
        <v/>
      </c>
      <c r="U57" t="str">
        <f>IFERROR(IF($H56+1&lt;'General Info and Liability'!$B$15+1,'General Info and Liability'!$D$19,""),"")</f>
        <v/>
      </c>
      <c r="V57" t="str">
        <f>IFERROR(IF($H56+1&lt;'General Info and Liability'!$B$15+1,'General Info and Liability'!$B$14,""),"")</f>
        <v/>
      </c>
      <c r="W57" t="str">
        <f>IFERROR(IF($H56+1&lt;'General Info and Liability'!$B$15+1,'General Info and Liability'!$D$20,""),"")</f>
        <v/>
      </c>
    </row>
    <row r="58" spans="8:23" ht="17.25" customHeight="1">
      <c r="H58" t="str">
        <f>IFERROR(IF(H57+1&lt;'General Info and Liability'!$B$15+1,'Property Schedule'!H57+1,""),"")</f>
        <v/>
      </c>
      <c r="J58" s="8"/>
      <c r="K58" s="7" t="str">
        <f>IFERROR(IF($H57+1&lt;'General Info and Liability'!$B$15+1,'General Info and Liability'!$B$18/'General Info and Liability'!$B$10*$L58,""),"")</f>
        <v/>
      </c>
      <c r="L58" s="8"/>
      <c r="M58" s="31" t="str">
        <f>IFERROR(IF($H57+1&lt;'General Info and Liability'!$B$15+1,'General Info and Liability'!$D$14/'General Info and Liability'!$B$10*$L58,""),"")</f>
        <v/>
      </c>
      <c r="N58" s="32" t="str">
        <f>IFERROR(IF($H57+1&lt;'General Info and Liability'!$B$15+1,'General Info and Liability'!$D$15/'General Info and Liability'!$B$10*$L58,""),"")</f>
        <v/>
      </c>
      <c r="O58" s="8"/>
      <c r="P58" s="8"/>
      <c r="Q58" t="str">
        <f>IFERROR(IF($H58+1&gt;0,'General Info and Liability'!$D$16,""),"")</f>
        <v/>
      </c>
      <c r="R58" t="str">
        <f>IFERROR(IF($H58+1&gt;0,'General Info and Liability'!$B$16,""),"")</f>
        <v/>
      </c>
      <c r="S58" t="str">
        <f>IFERROR(IF($H57+1&lt;'General Info and Liability'!$B$15+1,'General Info and Liability'!$D$17,""),"")</f>
        <v/>
      </c>
      <c r="T58" t="str">
        <f>IFERROR(IF($H57+1&lt;'General Info and Liability'!$B$15+1,'General Info and Liability'!$D$18,""),"")</f>
        <v/>
      </c>
      <c r="U58" t="str">
        <f>IFERROR(IF($H57+1&lt;'General Info and Liability'!$B$15+1,'General Info and Liability'!$D$19,""),"")</f>
        <v/>
      </c>
      <c r="V58" t="str">
        <f>IFERROR(IF($H57+1&lt;'General Info and Liability'!$B$15+1,'General Info and Liability'!$B$14,""),"")</f>
        <v/>
      </c>
      <c r="W58" t="str">
        <f>IFERROR(IF($H57+1&lt;'General Info and Liability'!$B$15+1,'General Info and Liability'!$D$20,""),"")</f>
        <v/>
      </c>
    </row>
    <row r="59" spans="8:23" ht="17.25" customHeight="1">
      <c r="H59" t="str">
        <f>IFERROR(IF(H58+1&lt;'General Info and Liability'!$B$15+1,'Property Schedule'!H58+1,""),"")</f>
        <v/>
      </c>
      <c r="J59" s="8"/>
      <c r="K59" s="7" t="str">
        <f>IFERROR(IF($H58+1&lt;'General Info and Liability'!$B$15+1,'General Info and Liability'!$B$18/'General Info and Liability'!$B$10*$L59,""),"")</f>
        <v/>
      </c>
      <c r="L59" s="8"/>
      <c r="M59" s="31" t="str">
        <f>IFERROR(IF($H58+1&lt;'General Info and Liability'!$B$15+1,'General Info and Liability'!$D$14/'General Info and Liability'!$B$10*$L59,""),"")</f>
        <v/>
      </c>
      <c r="N59" s="32" t="str">
        <f>IFERROR(IF($H58+1&lt;'General Info and Liability'!$B$15+1,'General Info and Liability'!$D$15/'General Info and Liability'!$B$10*$L59,""),"")</f>
        <v/>
      </c>
      <c r="O59" s="8"/>
      <c r="P59" s="8"/>
      <c r="Q59" t="str">
        <f>IFERROR(IF($H59+1&gt;0,'General Info and Liability'!$D$16,""),"")</f>
        <v/>
      </c>
      <c r="R59" t="str">
        <f>IFERROR(IF($H59+1&gt;0,'General Info and Liability'!$B$16,""),"")</f>
        <v/>
      </c>
      <c r="S59" t="str">
        <f>IFERROR(IF($H58+1&lt;'General Info and Liability'!$B$15+1,'General Info and Liability'!$D$17,""),"")</f>
        <v/>
      </c>
      <c r="T59" t="str">
        <f>IFERROR(IF($H58+1&lt;'General Info and Liability'!$B$15+1,'General Info and Liability'!$D$18,""),"")</f>
        <v/>
      </c>
      <c r="U59" t="str">
        <f>IFERROR(IF($H58+1&lt;'General Info and Liability'!$B$15+1,'General Info and Liability'!$D$19,""),"")</f>
        <v/>
      </c>
      <c r="V59" t="str">
        <f>IFERROR(IF($H58+1&lt;'General Info and Liability'!$B$15+1,'General Info and Liability'!$B$14,""),"")</f>
        <v/>
      </c>
      <c r="W59" t="str">
        <f>IFERROR(IF($H58+1&lt;'General Info and Liability'!$B$15+1,'General Info and Liability'!$D$20,""),"")</f>
        <v/>
      </c>
    </row>
    <row r="60" spans="8:23" ht="17.25" customHeight="1">
      <c r="H60" t="str">
        <f>IFERROR(IF(H59+1&lt;'General Info and Liability'!$B$15+1,'Property Schedule'!H59+1,""),"")</f>
        <v/>
      </c>
      <c r="J60" s="8"/>
      <c r="K60" s="7" t="str">
        <f>IFERROR(IF($H59+1&lt;'General Info and Liability'!$B$15+1,'General Info and Liability'!$B$18/'General Info and Liability'!$B$10*$L60,""),"")</f>
        <v/>
      </c>
      <c r="L60" s="8"/>
      <c r="M60" s="31" t="str">
        <f>IFERROR(IF($H59+1&lt;'General Info and Liability'!$B$15+1,'General Info and Liability'!$D$14/'General Info and Liability'!$B$10*$L60,""),"")</f>
        <v/>
      </c>
      <c r="N60" s="32" t="str">
        <f>IFERROR(IF($H59+1&lt;'General Info and Liability'!$B$15+1,'General Info and Liability'!$D$15/'General Info and Liability'!$B$10*$L60,""),"")</f>
        <v/>
      </c>
      <c r="O60" s="8"/>
      <c r="P60" s="8"/>
      <c r="Q60" t="str">
        <f>IFERROR(IF($H60+1&gt;0,'General Info and Liability'!$D$16,""),"")</f>
        <v/>
      </c>
      <c r="R60" t="str">
        <f>IFERROR(IF($H60+1&gt;0,'General Info and Liability'!$B$16,""),"")</f>
        <v/>
      </c>
      <c r="S60" t="str">
        <f>IFERROR(IF($H59+1&lt;'General Info and Liability'!$B$15+1,'General Info and Liability'!$D$17,""),"")</f>
        <v/>
      </c>
      <c r="T60" t="str">
        <f>IFERROR(IF($H59+1&lt;'General Info and Liability'!$B$15+1,'General Info and Liability'!$D$18,""),"")</f>
        <v/>
      </c>
      <c r="U60" t="str">
        <f>IFERROR(IF($H59+1&lt;'General Info and Liability'!$B$15+1,'General Info and Liability'!$D$19,""),"")</f>
        <v/>
      </c>
      <c r="V60" t="str">
        <f>IFERROR(IF($H59+1&lt;'General Info and Liability'!$B$15+1,'General Info and Liability'!$B$14,""),"")</f>
        <v/>
      </c>
      <c r="W60" t="str">
        <f>IFERROR(IF($H59+1&lt;'General Info and Liability'!$B$15+1,'General Info and Liability'!$D$20,""),"")</f>
        <v/>
      </c>
    </row>
    <row r="61" spans="8:23" ht="17.25" customHeight="1">
      <c r="H61" t="str">
        <f>IFERROR(IF(H60+1&lt;'General Info and Liability'!$B$15+1,'Property Schedule'!H60+1,""),"")</f>
        <v/>
      </c>
      <c r="J61" s="8"/>
      <c r="K61" s="7" t="str">
        <f>IFERROR(IF($H60+1&lt;'General Info and Liability'!$B$15+1,'General Info and Liability'!$B$18/'General Info and Liability'!$B$10*$L61,""),"")</f>
        <v/>
      </c>
      <c r="L61" s="8"/>
      <c r="M61" s="31" t="str">
        <f>IFERROR(IF($H60+1&lt;'General Info and Liability'!$B$15+1,'General Info and Liability'!$D$14/'General Info and Liability'!$B$10*$L61,""),"")</f>
        <v/>
      </c>
      <c r="N61" s="32" t="str">
        <f>IFERROR(IF($H60+1&lt;'General Info and Liability'!$B$15+1,'General Info and Liability'!$D$15/'General Info and Liability'!$B$10*$L61,""),"")</f>
        <v/>
      </c>
      <c r="O61" s="8"/>
      <c r="P61" s="8"/>
      <c r="Q61" t="str">
        <f>IFERROR(IF($H61+1&gt;0,'General Info and Liability'!$D$16,""),"")</f>
        <v/>
      </c>
      <c r="R61" t="str">
        <f>IFERROR(IF($H61+1&gt;0,'General Info and Liability'!$B$16,""),"")</f>
        <v/>
      </c>
      <c r="S61" t="str">
        <f>IFERROR(IF($H60+1&lt;'General Info and Liability'!$B$15+1,'General Info and Liability'!$D$17,""),"")</f>
        <v/>
      </c>
      <c r="T61" t="str">
        <f>IFERROR(IF($H60+1&lt;'General Info and Liability'!$B$15+1,'General Info and Liability'!$D$18,""),"")</f>
        <v/>
      </c>
      <c r="U61" t="str">
        <f>IFERROR(IF($H60+1&lt;'General Info and Liability'!$B$15+1,'General Info and Liability'!$D$19,""),"")</f>
        <v/>
      </c>
      <c r="V61" t="str">
        <f>IFERROR(IF($H60+1&lt;'General Info and Liability'!$B$15+1,'General Info and Liability'!$B$14,""),"")</f>
        <v/>
      </c>
      <c r="W61" t="str">
        <f>IFERROR(IF($H60+1&lt;'General Info and Liability'!$B$15+1,'General Info and Liability'!$D$20,""),"")</f>
        <v/>
      </c>
    </row>
    <row r="62" spans="8:23" ht="17.25" customHeight="1">
      <c r="H62" t="str">
        <f>IFERROR(IF(H61+1&lt;'General Info and Liability'!$B$15+1,'Property Schedule'!H61+1,""),"")</f>
        <v/>
      </c>
      <c r="J62" s="8"/>
      <c r="K62" s="7" t="str">
        <f>IFERROR(IF($H61+1&lt;'General Info and Liability'!$B$15+1,'General Info and Liability'!$B$18/'General Info and Liability'!$B$10*$L62,""),"")</f>
        <v/>
      </c>
      <c r="L62" s="8"/>
      <c r="M62" s="31" t="str">
        <f>IFERROR(IF($H61+1&lt;'General Info and Liability'!$B$15+1,'General Info and Liability'!$D$14/'General Info and Liability'!$B$10*$L62,""),"")</f>
        <v/>
      </c>
      <c r="N62" s="32" t="str">
        <f>IFERROR(IF($H61+1&lt;'General Info and Liability'!$B$15+1,'General Info and Liability'!$D$15/'General Info and Liability'!$B$10*$L62,""),"")</f>
        <v/>
      </c>
      <c r="O62" s="8"/>
      <c r="P62" s="8"/>
      <c r="Q62" t="str">
        <f>IFERROR(IF($H62+1&gt;0,'General Info and Liability'!$D$16,""),"")</f>
        <v/>
      </c>
      <c r="R62" t="str">
        <f>IFERROR(IF($H62+1&gt;0,'General Info and Liability'!$B$16,""),"")</f>
        <v/>
      </c>
      <c r="S62" t="str">
        <f>IFERROR(IF($H61+1&lt;'General Info and Liability'!$B$15+1,'General Info and Liability'!$D$17,""),"")</f>
        <v/>
      </c>
      <c r="T62" t="str">
        <f>IFERROR(IF($H61+1&lt;'General Info and Liability'!$B$15+1,'General Info and Liability'!$D$18,""),"")</f>
        <v/>
      </c>
      <c r="U62" t="str">
        <f>IFERROR(IF($H61+1&lt;'General Info and Liability'!$B$15+1,'General Info and Liability'!$D$19,""),"")</f>
        <v/>
      </c>
      <c r="V62" t="str">
        <f>IFERROR(IF($H61+1&lt;'General Info and Liability'!$B$15+1,'General Info and Liability'!$B$14,""),"")</f>
        <v/>
      </c>
      <c r="W62" t="str">
        <f>IFERROR(IF($H61+1&lt;'General Info and Liability'!$B$15+1,'General Info and Liability'!$D$20,""),"")</f>
        <v/>
      </c>
    </row>
    <row r="63" spans="8:23" ht="17.25" customHeight="1">
      <c r="H63" t="str">
        <f>IFERROR(IF(H62+1&lt;'General Info and Liability'!$B$15+1,'Property Schedule'!H62+1,""),"")</f>
        <v/>
      </c>
      <c r="J63" s="8"/>
      <c r="K63" s="7" t="str">
        <f>IFERROR(IF($H62+1&lt;'General Info and Liability'!$B$15+1,'General Info and Liability'!$B$18/'General Info and Liability'!$B$10*$L63,""),"")</f>
        <v/>
      </c>
      <c r="L63" s="8"/>
      <c r="M63" s="31" t="str">
        <f>IFERROR(IF($H62+1&lt;'General Info and Liability'!$B$15+1,'General Info and Liability'!$D$14/'General Info and Liability'!$B$10*$L63,""),"")</f>
        <v/>
      </c>
      <c r="N63" s="32" t="str">
        <f>IFERROR(IF($H62+1&lt;'General Info and Liability'!$B$15+1,'General Info and Liability'!$D$15/'General Info and Liability'!$B$10*$L63,""),"")</f>
        <v/>
      </c>
      <c r="O63" s="8"/>
      <c r="P63" s="8"/>
      <c r="Q63" t="str">
        <f>IFERROR(IF($H63+1&gt;0,'General Info and Liability'!$D$16,""),"")</f>
        <v/>
      </c>
      <c r="R63" t="str">
        <f>IFERROR(IF($H63+1&gt;0,'General Info and Liability'!$B$16,""),"")</f>
        <v/>
      </c>
      <c r="S63" t="str">
        <f>IFERROR(IF($H62+1&lt;'General Info and Liability'!$B$15+1,'General Info and Liability'!$D$17,""),"")</f>
        <v/>
      </c>
      <c r="T63" t="str">
        <f>IFERROR(IF($H62+1&lt;'General Info and Liability'!$B$15+1,'General Info and Liability'!$D$18,""),"")</f>
        <v/>
      </c>
      <c r="U63" t="str">
        <f>IFERROR(IF($H62+1&lt;'General Info and Liability'!$B$15+1,'General Info and Liability'!$D$19,""),"")</f>
        <v/>
      </c>
      <c r="V63" t="str">
        <f>IFERROR(IF($H62+1&lt;'General Info and Liability'!$B$15+1,'General Info and Liability'!$B$14,""),"")</f>
        <v/>
      </c>
      <c r="W63" t="str">
        <f>IFERROR(IF($H62+1&lt;'General Info and Liability'!$B$15+1,'General Info and Liability'!$D$20,""),"")</f>
        <v/>
      </c>
    </row>
    <row r="64" spans="8:23" ht="17.25" customHeight="1">
      <c r="H64" t="str">
        <f>IFERROR(IF(H63+1&lt;'General Info and Liability'!$B$15+1,'Property Schedule'!H63+1,""),"")</f>
        <v/>
      </c>
      <c r="J64" s="8"/>
      <c r="K64" s="7" t="str">
        <f>IFERROR(IF($H63+1&lt;'General Info and Liability'!$B$15+1,'General Info and Liability'!$B$18/'General Info and Liability'!$B$10*$L64,""),"")</f>
        <v/>
      </c>
      <c r="L64" s="8"/>
      <c r="M64" s="31" t="str">
        <f>IFERROR(IF($H63+1&lt;'General Info and Liability'!$B$15+1,'General Info and Liability'!$D$14/'General Info and Liability'!$B$10*$L64,""),"")</f>
        <v/>
      </c>
      <c r="N64" s="32" t="str">
        <f>IFERROR(IF($H63+1&lt;'General Info and Liability'!$B$15+1,'General Info and Liability'!$D$15/'General Info and Liability'!$B$10*$L64,""),"")</f>
        <v/>
      </c>
      <c r="O64" s="8"/>
      <c r="P64" s="8"/>
      <c r="Q64" t="str">
        <f>IFERROR(IF($H64+1&gt;0,'General Info and Liability'!$D$16,""),"")</f>
        <v/>
      </c>
      <c r="R64" t="str">
        <f>IFERROR(IF($H64+1&gt;0,'General Info and Liability'!$B$16,""),"")</f>
        <v/>
      </c>
      <c r="S64" t="str">
        <f>IFERROR(IF($H63+1&lt;'General Info and Liability'!$B$15+1,'General Info and Liability'!$D$17,""),"")</f>
        <v/>
      </c>
      <c r="T64" t="str">
        <f>IFERROR(IF($H63+1&lt;'General Info and Liability'!$B$15+1,'General Info and Liability'!$D$18,""),"")</f>
        <v/>
      </c>
      <c r="U64" t="str">
        <f>IFERROR(IF($H63+1&lt;'General Info and Liability'!$B$15+1,'General Info and Liability'!$D$19,""),"")</f>
        <v/>
      </c>
      <c r="V64" t="str">
        <f>IFERROR(IF($H63+1&lt;'General Info and Liability'!$B$15+1,'General Info and Liability'!$B$14,""),"")</f>
        <v/>
      </c>
      <c r="W64" t="str">
        <f>IFERROR(IF($H63+1&lt;'General Info and Liability'!$B$15+1,'General Info and Liability'!$D$20,""),"")</f>
        <v/>
      </c>
    </row>
    <row r="65" spans="8:23" ht="17.25" customHeight="1">
      <c r="H65" t="str">
        <f>IFERROR(IF(H64+1&lt;'General Info and Liability'!$B$15+1,'Property Schedule'!H64+1,""),"")</f>
        <v/>
      </c>
      <c r="J65" s="8"/>
      <c r="K65" s="7" t="str">
        <f>IFERROR(IF($H64+1&lt;'General Info and Liability'!$B$15+1,'General Info and Liability'!$B$18/'General Info and Liability'!$B$10*$L65,""),"")</f>
        <v/>
      </c>
      <c r="L65" s="8"/>
      <c r="M65" s="31" t="str">
        <f>IFERROR(IF($H64+1&lt;'General Info and Liability'!$B$15+1,'General Info and Liability'!$D$14/'General Info and Liability'!$B$10*$L65,""),"")</f>
        <v/>
      </c>
      <c r="N65" s="32" t="str">
        <f>IFERROR(IF($H64+1&lt;'General Info and Liability'!$B$15+1,'General Info and Liability'!$D$15/'General Info and Liability'!$B$10*$L65,""),"")</f>
        <v/>
      </c>
      <c r="O65" s="8"/>
      <c r="P65" s="8"/>
      <c r="Q65" t="str">
        <f>IFERROR(IF($H65+1&gt;0,'General Info and Liability'!$D$16,""),"")</f>
        <v/>
      </c>
      <c r="R65" t="str">
        <f>IFERROR(IF($H65+1&gt;0,'General Info and Liability'!$B$16,""),"")</f>
        <v/>
      </c>
      <c r="S65" t="str">
        <f>IFERROR(IF($H64+1&lt;'General Info and Liability'!$B$15+1,'General Info and Liability'!$D$17,""),"")</f>
        <v/>
      </c>
      <c r="T65" t="str">
        <f>IFERROR(IF($H64+1&lt;'General Info and Liability'!$B$15+1,'General Info and Liability'!$D$18,""),"")</f>
        <v/>
      </c>
      <c r="U65" t="str">
        <f>IFERROR(IF($H64+1&lt;'General Info and Liability'!$B$15+1,'General Info and Liability'!$D$19,""),"")</f>
        <v/>
      </c>
      <c r="V65" t="str">
        <f>IFERROR(IF($H64+1&lt;'General Info and Liability'!$B$15+1,'General Info and Liability'!$B$14,""),"")</f>
        <v/>
      </c>
      <c r="W65" t="str">
        <f>IFERROR(IF($H64+1&lt;'General Info and Liability'!$B$15+1,'General Info and Liability'!$D$20,""),"")</f>
        <v/>
      </c>
    </row>
    <row r="66" spans="8:23" ht="17.25" customHeight="1">
      <c r="H66" t="str">
        <f>IFERROR(IF(H65+1&lt;'General Info and Liability'!$B$15+1,'Property Schedule'!H65+1,""),"")</f>
        <v/>
      </c>
      <c r="J66" s="8"/>
      <c r="K66" s="7" t="str">
        <f>IFERROR(IF($H65+1&lt;'General Info and Liability'!$B$15+1,'General Info and Liability'!$B$18/'General Info and Liability'!$B$10*$L66,""),"")</f>
        <v/>
      </c>
      <c r="L66" s="8"/>
      <c r="M66" s="31" t="str">
        <f>IFERROR(IF($H65+1&lt;'General Info and Liability'!$B$15+1,'General Info and Liability'!$D$14/'General Info and Liability'!$B$10*$L66,""),"")</f>
        <v/>
      </c>
      <c r="N66" s="32" t="str">
        <f>IFERROR(IF($H65+1&lt;'General Info and Liability'!$B$15+1,'General Info and Liability'!$D$15/'General Info and Liability'!$B$10*$L66,""),"")</f>
        <v/>
      </c>
      <c r="O66" s="8"/>
      <c r="P66" s="8"/>
      <c r="Q66" t="str">
        <f>IFERROR(IF($H66+1&gt;0,'General Info and Liability'!$D$16,""),"")</f>
        <v/>
      </c>
      <c r="R66" t="str">
        <f>IFERROR(IF($H66+1&gt;0,'General Info and Liability'!$B$16,""),"")</f>
        <v/>
      </c>
      <c r="S66" t="str">
        <f>IFERROR(IF($H65+1&lt;'General Info and Liability'!$B$15+1,'General Info and Liability'!$D$17,""),"")</f>
        <v/>
      </c>
      <c r="T66" t="str">
        <f>IFERROR(IF($H65+1&lt;'General Info and Liability'!$B$15+1,'General Info and Liability'!$D$18,""),"")</f>
        <v/>
      </c>
      <c r="U66" t="str">
        <f>IFERROR(IF($H65+1&lt;'General Info and Liability'!$B$15+1,'General Info and Liability'!$D$19,""),"")</f>
        <v/>
      </c>
      <c r="V66" t="str">
        <f>IFERROR(IF($H65+1&lt;'General Info and Liability'!$B$15+1,'General Info and Liability'!$B$14,""),"")</f>
        <v/>
      </c>
      <c r="W66" t="str">
        <f>IFERROR(IF($H65+1&lt;'General Info and Liability'!$B$15+1,'General Info and Liability'!$D$20,""),"")</f>
        <v/>
      </c>
    </row>
    <row r="67" spans="8:23" ht="17.25" customHeight="1">
      <c r="H67" t="str">
        <f>IFERROR(IF(H66+1&lt;'General Info and Liability'!$B$15+1,'Property Schedule'!H66+1,""),"")</f>
        <v/>
      </c>
      <c r="J67" s="8"/>
      <c r="K67" s="7" t="str">
        <f>IFERROR(IF($H66+1&lt;'General Info and Liability'!$B$15+1,'General Info and Liability'!$B$18/'General Info and Liability'!$B$10*$L67,""),"")</f>
        <v/>
      </c>
      <c r="L67" s="8"/>
      <c r="M67" s="31" t="str">
        <f>IFERROR(IF($H66+1&lt;'General Info and Liability'!$B$15+1,'General Info and Liability'!$D$14/'General Info and Liability'!$B$10*$L67,""),"")</f>
        <v/>
      </c>
      <c r="N67" s="32" t="str">
        <f>IFERROR(IF($H66+1&lt;'General Info and Liability'!$B$15+1,'General Info and Liability'!$D$15/'General Info and Liability'!$B$10*$L67,""),"")</f>
        <v/>
      </c>
      <c r="O67" s="8"/>
      <c r="P67" s="8"/>
      <c r="Q67" t="str">
        <f>IFERROR(IF($H67+1&gt;0,'General Info and Liability'!$D$16,""),"")</f>
        <v/>
      </c>
      <c r="R67" t="str">
        <f>IFERROR(IF($H67+1&gt;0,'General Info and Liability'!$B$16,""),"")</f>
        <v/>
      </c>
      <c r="S67" t="str">
        <f>IFERROR(IF($H66+1&lt;'General Info and Liability'!$B$15+1,'General Info and Liability'!$D$17,""),"")</f>
        <v/>
      </c>
      <c r="T67" t="str">
        <f>IFERROR(IF($H66+1&lt;'General Info and Liability'!$B$15+1,'General Info and Liability'!$D$18,""),"")</f>
        <v/>
      </c>
      <c r="U67" t="str">
        <f>IFERROR(IF($H66+1&lt;'General Info and Liability'!$B$15+1,'General Info and Liability'!$D$19,""),"")</f>
        <v/>
      </c>
      <c r="V67" t="str">
        <f>IFERROR(IF($H66+1&lt;'General Info and Liability'!$B$15+1,'General Info and Liability'!$B$14,""),"")</f>
        <v/>
      </c>
      <c r="W67" t="str">
        <f>IFERROR(IF($H66+1&lt;'General Info and Liability'!$B$15+1,'General Info and Liability'!$D$20,""),"")</f>
        <v/>
      </c>
    </row>
    <row r="68" spans="8:23" ht="17.25" customHeight="1">
      <c r="H68" t="str">
        <f>IFERROR(IF(H67+1&lt;'General Info and Liability'!$B$15+1,'Property Schedule'!H67+1,""),"")</f>
        <v/>
      </c>
      <c r="J68" s="8"/>
      <c r="K68" s="7" t="str">
        <f>IFERROR(IF($H67+1&lt;'General Info and Liability'!$B$15+1,'General Info and Liability'!$B$18/'General Info and Liability'!$B$10*$L68,""),"")</f>
        <v/>
      </c>
      <c r="L68" s="8"/>
      <c r="M68" s="31" t="str">
        <f>IFERROR(IF($H67+1&lt;'General Info and Liability'!$B$15+1,'General Info and Liability'!$D$14/'General Info and Liability'!$B$10*$L68,""),"")</f>
        <v/>
      </c>
      <c r="N68" s="32" t="str">
        <f>IFERROR(IF($H67+1&lt;'General Info and Liability'!$B$15+1,'General Info and Liability'!$D$15/'General Info and Liability'!$B$10*$L68,""),"")</f>
        <v/>
      </c>
      <c r="O68" s="8"/>
      <c r="P68" s="8"/>
      <c r="Q68" t="str">
        <f>IFERROR(IF($H68+1&gt;0,'General Info and Liability'!$D$16,""),"")</f>
        <v/>
      </c>
      <c r="R68" t="str">
        <f>IFERROR(IF($H68+1&gt;0,'General Info and Liability'!$B$16,""),"")</f>
        <v/>
      </c>
      <c r="S68" t="str">
        <f>IFERROR(IF($H67+1&lt;'General Info and Liability'!$B$15+1,'General Info and Liability'!$D$17,""),"")</f>
        <v/>
      </c>
      <c r="T68" t="str">
        <f>IFERROR(IF($H67+1&lt;'General Info and Liability'!$B$15+1,'General Info and Liability'!$D$18,""),"")</f>
        <v/>
      </c>
      <c r="U68" t="str">
        <f>IFERROR(IF($H67+1&lt;'General Info and Liability'!$B$15+1,'General Info and Liability'!$D$19,""),"")</f>
        <v/>
      </c>
      <c r="V68" t="str">
        <f>IFERROR(IF($H67+1&lt;'General Info and Liability'!$B$15+1,'General Info and Liability'!$B$14,""),"")</f>
        <v/>
      </c>
      <c r="W68" t="str">
        <f>IFERROR(IF($H67+1&lt;'General Info and Liability'!$B$15+1,'General Info and Liability'!$D$20,""),"")</f>
        <v/>
      </c>
    </row>
    <row r="69" spans="8:23" ht="17.25" customHeight="1">
      <c r="H69" t="str">
        <f>IFERROR(IF(H68+1&lt;'General Info and Liability'!$B$15+1,'Property Schedule'!H68+1,""),"")</f>
        <v/>
      </c>
      <c r="J69" s="8"/>
      <c r="K69" s="7" t="str">
        <f>IFERROR(IF($H68+1&lt;'General Info and Liability'!$B$15+1,'General Info and Liability'!$B$18/'General Info and Liability'!$B$10*$L69,""),"")</f>
        <v/>
      </c>
      <c r="L69" s="8"/>
      <c r="M69" s="31" t="str">
        <f>IFERROR(IF($H68+1&lt;'General Info and Liability'!$B$15+1,'General Info and Liability'!$D$14/'General Info and Liability'!$B$10*$L69,""),"")</f>
        <v/>
      </c>
      <c r="N69" s="32" t="str">
        <f>IFERROR(IF($H68+1&lt;'General Info and Liability'!$B$15+1,'General Info and Liability'!$D$15/'General Info and Liability'!$B$10*$L69,""),"")</f>
        <v/>
      </c>
      <c r="O69" s="8"/>
      <c r="P69" s="8"/>
      <c r="Q69" t="str">
        <f>IFERROR(IF($H69+1&gt;0,'General Info and Liability'!$D$16,""),"")</f>
        <v/>
      </c>
      <c r="R69" t="str">
        <f>IFERROR(IF($H69+1&gt;0,'General Info and Liability'!$B$16,""),"")</f>
        <v/>
      </c>
      <c r="S69" t="str">
        <f>IFERROR(IF($H68+1&lt;'General Info and Liability'!$B$15+1,'General Info and Liability'!$D$17,""),"")</f>
        <v/>
      </c>
      <c r="T69" t="str">
        <f>IFERROR(IF($H68+1&lt;'General Info and Liability'!$B$15+1,'General Info and Liability'!$D$18,""),"")</f>
        <v/>
      </c>
      <c r="U69" t="str">
        <f>IFERROR(IF($H68+1&lt;'General Info and Liability'!$B$15+1,'General Info and Liability'!$D$19,""),"")</f>
        <v/>
      </c>
      <c r="V69" t="str">
        <f>IFERROR(IF($H68+1&lt;'General Info and Liability'!$B$15+1,'General Info and Liability'!$B$14,""),"")</f>
        <v/>
      </c>
      <c r="W69" t="str">
        <f>IFERROR(IF($H68+1&lt;'General Info and Liability'!$B$15+1,'General Info and Liability'!$D$20,""),"")</f>
        <v/>
      </c>
    </row>
    <row r="70" spans="8:23" ht="17.25" customHeight="1">
      <c r="H70" t="str">
        <f>IFERROR(IF(H69+1&lt;'General Info and Liability'!$B$15+1,'Property Schedule'!H69+1,""),"")</f>
        <v/>
      </c>
      <c r="J70" s="8"/>
      <c r="K70" s="7" t="str">
        <f>IFERROR(IF($H69+1&lt;'General Info and Liability'!$B$15+1,'General Info and Liability'!$B$18/'General Info and Liability'!$B$10*$L70,""),"")</f>
        <v/>
      </c>
      <c r="L70" s="8"/>
      <c r="M70" s="31" t="str">
        <f>IFERROR(IF($H69+1&lt;'General Info and Liability'!$B$15+1,'General Info and Liability'!$D$14/'General Info and Liability'!$B$10*$L70,""),"")</f>
        <v/>
      </c>
      <c r="N70" s="32" t="str">
        <f>IFERROR(IF($H69+1&lt;'General Info and Liability'!$B$15+1,'General Info and Liability'!$D$15/'General Info and Liability'!$B$10*$L70,""),"")</f>
        <v/>
      </c>
      <c r="O70" s="8"/>
      <c r="P70" s="8"/>
      <c r="Q70" t="str">
        <f>IFERROR(IF($H70+1&gt;0,'General Info and Liability'!$D$16,""),"")</f>
        <v/>
      </c>
      <c r="R70" t="str">
        <f>IFERROR(IF($H70+1&gt;0,'General Info and Liability'!$B$16,""),"")</f>
        <v/>
      </c>
      <c r="S70" t="str">
        <f>IFERROR(IF($H69+1&lt;'General Info and Liability'!$B$15+1,'General Info and Liability'!$D$17,""),"")</f>
        <v/>
      </c>
      <c r="T70" t="str">
        <f>IFERROR(IF($H69+1&lt;'General Info and Liability'!$B$15+1,'General Info and Liability'!$D$18,""),"")</f>
        <v/>
      </c>
      <c r="U70" t="str">
        <f>IFERROR(IF($H69+1&lt;'General Info and Liability'!$B$15+1,'General Info and Liability'!$D$19,""),"")</f>
        <v/>
      </c>
      <c r="V70" t="str">
        <f>IFERROR(IF($H69+1&lt;'General Info and Liability'!$B$15+1,'General Info and Liability'!$B$14,""),"")</f>
        <v/>
      </c>
      <c r="W70" t="str">
        <f>IFERROR(IF($H69+1&lt;'General Info and Liability'!$B$15+1,'General Info and Liability'!$D$20,""),"")</f>
        <v/>
      </c>
    </row>
    <row r="71" spans="8:23" ht="17.25" customHeight="1">
      <c r="H71" t="str">
        <f>IFERROR(IF(H70+1&lt;'General Info and Liability'!$B$15+1,'Property Schedule'!H70+1,""),"")</f>
        <v/>
      </c>
      <c r="J71" s="8"/>
      <c r="K71" s="7" t="str">
        <f>IFERROR(IF($H70+1&lt;'General Info and Liability'!$B$15+1,'General Info and Liability'!$B$18/'General Info and Liability'!$B$10*$L71,""),"")</f>
        <v/>
      </c>
      <c r="L71" s="8"/>
      <c r="M71" s="31" t="str">
        <f>IFERROR(IF($H70+1&lt;'General Info and Liability'!$B$15+1,'General Info and Liability'!$D$14/'General Info and Liability'!$B$10*$L71,""),"")</f>
        <v/>
      </c>
      <c r="N71" s="32" t="str">
        <f>IFERROR(IF($H70+1&lt;'General Info and Liability'!$B$15+1,'General Info and Liability'!$D$15/'General Info and Liability'!$B$10*$L71,""),"")</f>
        <v/>
      </c>
      <c r="O71" s="8"/>
      <c r="P71" s="8"/>
      <c r="Q71" t="str">
        <f>IFERROR(IF($H71+1&gt;0,'General Info and Liability'!$D$16,""),"")</f>
        <v/>
      </c>
      <c r="R71" t="str">
        <f>IFERROR(IF($H71+1&gt;0,'General Info and Liability'!$B$16,""),"")</f>
        <v/>
      </c>
      <c r="S71" t="str">
        <f>IFERROR(IF($H70+1&lt;'General Info and Liability'!$B$15+1,'General Info and Liability'!$D$17,""),"")</f>
        <v/>
      </c>
      <c r="T71" t="str">
        <f>IFERROR(IF($H70+1&lt;'General Info and Liability'!$B$15+1,'General Info and Liability'!$D$18,""),"")</f>
        <v/>
      </c>
      <c r="U71" t="str">
        <f>IFERROR(IF($H70+1&lt;'General Info and Liability'!$B$15+1,'General Info and Liability'!$D$19,""),"")</f>
        <v/>
      </c>
      <c r="V71" t="str">
        <f>IFERROR(IF($H70+1&lt;'General Info and Liability'!$B$15+1,'General Info and Liability'!$B$14,""),"")</f>
        <v/>
      </c>
      <c r="W71" t="str">
        <f>IFERROR(IF($H70+1&lt;'General Info and Liability'!$B$15+1,'General Info and Liability'!$D$20,""),"")</f>
        <v/>
      </c>
    </row>
    <row r="72" spans="8:23" ht="17.25" customHeight="1">
      <c r="H72" t="str">
        <f>IFERROR(IF(H71+1&lt;'General Info and Liability'!$B$15+1,'Property Schedule'!H71+1,""),"")</f>
        <v/>
      </c>
      <c r="J72" s="8"/>
      <c r="K72" s="7" t="str">
        <f>IFERROR(IF($H71+1&lt;'General Info and Liability'!$B$15+1,'General Info and Liability'!$B$18/'General Info and Liability'!$B$10*$L72,""),"")</f>
        <v/>
      </c>
      <c r="L72" s="8"/>
      <c r="M72" s="31" t="str">
        <f>IFERROR(IF($H71+1&lt;'General Info and Liability'!$B$15+1,'General Info and Liability'!$D$14/'General Info and Liability'!$B$10*$L72,""),"")</f>
        <v/>
      </c>
      <c r="N72" s="32" t="str">
        <f>IFERROR(IF($H71+1&lt;'General Info and Liability'!$B$15+1,'General Info and Liability'!$D$15/'General Info and Liability'!$B$10*$L72,""),"")</f>
        <v/>
      </c>
      <c r="O72" s="8"/>
      <c r="P72" s="8"/>
      <c r="Q72" t="str">
        <f>IFERROR(IF($H72+1&gt;0,'General Info and Liability'!$D$16,""),"")</f>
        <v/>
      </c>
      <c r="R72" t="str">
        <f>IFERROR(IF($H72+1&gt;0,'General Info and Liability'!$B$16,""),"")</f>
        <v/>
      </c>
      <c r="S72" t="str">
        <f>IFERROR(IF($H71+1&lt;'General Info and Liability'!$B$15+1,'General Info and Liability'!$D$17,""),"")</f>
        <v/>
      </c>
      <c r="T72" t="str">
        <f>IFERROR(IF($H71+1&lt;'General Info and Liability'!$B$15+1,'General Info and Liability'!$D$18,""),"")</f>
        <v/>
      </c>
      <c r="U72" t="str">
        <f>IFERROR(IF($H71+1&lt;'General Info and Liability'!$B$15+1,'General Info and Liability'!$D$19,""),"")</f>
        <v/>
      </c>
      <c r="V72" t="str">
        <f>IFERROR(IF($H71+1&lt;'General Info and Liability'!$B$15+1,'General Info and Liability'!$B$14,""),"")</f>
        <v/>
      </c>
      <c r="W72" t="str">
        <f>IFERROR(IF($H71+1&lt;'General Info and Liability'!$B$15+1,'General Info and Liability'!$D$20,""),"")</f>
        <v/>
      </c>
    </row>
    <row r="73" spans="8:23" ht="17.25" customHeight="1">
      <c r="H73" t="str">
        <f>IFERROR(IF(H72+1&lt;'General Info and Liability'!$B$15+1,'Property Schedule'!H72+1,""),"")</f>
        <v/>
      </c>
      <c r="J73" s="8"/>
      <c r="K73" s="7" t="str">
        <f>IFERROR(IF($H72+1&lt;'General Info and Liability'!$B$15+1,'General Info and Liability'!$B$18/'General Info and Liability'!$B$10*$L73,""),"")</f>
        <v/>
      </c>
      <c r="L73" s="8"/>
      <c r="M73" s="31" t="str">
        <f>IFERROR(IF($H72+1&lt;'General Info and Liability'!$B$15+1,'General Info and Liability'!$D$14/'General Info and Liability'!$B$10*$L73,""),"")</f>
        <v/>
      </c>
      <c r="N73" s="32" t="str">
        <f>IFERROR(IF($H72+1&lt;'General Info and Liability'!$B$15+1,'General Info and Liability'!$D$15/'General Info and Liability'!$B$10*$L73,""),"")</f>
        <v/>
      </c>
      <c r="O73" s="8"/>
      <c r="P73" s="8"/>
      <c r="Q73" t="str">
        <f>IFERROR(IF($H73+1&gt;0,'General Info and Liability'!$D$16,""),"")</f>
        <v/>
      </c>
      <c r="R73" t="str">
        <f>IFERROR(IF($H73+1&gt;0,'General Info and Liability'!$B$16,""),"")</f>
        <v/>
      </c>
      <c r="S73" t="str">
        <f>IFERROR(IF($H72+1&lt;'General Info and Liability'!$B$15+1,'General Info and Liability'!$D$17,""),"")</f>
        <v/>
      </c>
      <c r="T73" t="str">
        <f>IFERROR(IF($H72+1&lt;'General Info and Liability'!$B$15+1,'General Info and Liability'!$D$18,""),"")</f>
        <v/>
      </c>
      <c r="U73" t="str">
        <f>IFERROR(IF($H72+1&lt;'General Info and Liability'!$B$15+1,'General Info and Liability'!$D$19,""),"")</f>
        <v/>
      </c>
      <c r="V73" t="str">
        <f>IFERROR(IF($H72+1&lt;'General Info and Liability'!$B$15+1,'General Info and Liability'!$B$14,""),"")</f>
        <v/>
      </c>
      <c r="W73" t="str">
        <f>IFERROR(IF($H72+1&lt;'General Info and Liability'!$B$15+1,'General Info and Liability'!$D$20,""),"")</f>
        <v/>
      </c>
    </row>
    <row r="74" spans="8:23" ht="17.25" customHeight="1">
      <c r="H74" t="str">
        <f>IFERROR(IF(H73+1&lt;'General Info and Liability'!$B$15+1,'Property Schedule'!H73+1,""),"")</f>
        <v/>
      </c>
      <c r="J74" s="8"/>
      <c r="K74" s="7" t="str">
        <f>IFERROR(IF($H73+1&lt;'General Info and Liability'!$B$15+1,'General Info and Liability'!$B$18/'General Info and Liability'!$B$10*$L74,""),"")</f>
        <v/>
      </c>
      <c r="L74" s="8"/>
      <c r="M74" s="31" t="str">
        <f>IFERROR(IF($H73+1&lt;'General Info and Liability'!$B$15+1,'General Info and Liability'!$D$14/'General Info and Liability'!$B$10*$L74,""),"")</f>
        <v/>
      </c>
      <c r="N74" s="32" t="str">
        <f>IFERROR(IF($H73+1&lt;'General Info and Liability'!$B$15+1,'General Info and Liability'!$D$15/'General Info and Liability'!$B$10*$L74,""),"")</f>
        <v/>
      </c>
      <c r="O74" s="8"/>
      <c r="P74" s="8"/>
      <c r="Q74" t="str">
        <f>IFERROR(IF($H74+1&gt;0,'General Info and Liability'!$D$16,""),"")</f>
        <v/>
      </c>
      <c r="R74" t="str">
        <f>IFERROR(IF($H74+1&gt;0,'General Info and Liability'!$B$16,""),"")</f>
        <v/>
      </c>
      <c r="S74" t="str">
        <f>IFERROR(IF($H73+1&lt;'General Info and Liability'!$B$15+1,'General Info and Liability'!$D$17,""),"")</f>
        <v/>
      </c>
      <c r="T74" t="str">
        <f>IFERROR(IF($H73+1&lt;'General Info and Liability'!$B$15+1,'General Info and Liability'!$D$18,""),"")</f>
        <v/>
      </c>
      <c r="U74" t="str">
        <f>IFERROR(IF($H73+1&lt;'General Info and Liability'!$B$15+1,'General Info and Liability'!$D$19,""),"")</f>
        <v/>
      </c>
      <c r="V74" t="str">
        <f>IFERROR(IF($H73+1&lt;'General Info and Liability'!$B$15+1,'General Info and Liability'!$B$14,""),"")</f>
        <v/>
      </c>
      <c r="W74" t="str">
        <f>IFERROR(IF($H73+1&lt;'General Info and Liability'!$B$15+1,'General Info and Liability'!$D$20,""),"")</f>
        <v/>
      </c>
    </row>
    <row r="75" spans="8:23" ht="17.25" customHeight="1">
      <c r="H75" t="str">
        <f>IFERROR(IF(H74+1&lt;'General Info and Liability'!$B$15+1,'Property Schedule'!H74+1,""),"")</f>
        <v/>
      </c>
      <c r="J75" s="8"/>
      <c r="K75" s="7" t="str">
        <f>IFERROR(IF($H74+1&lt;'General Info and Liability'!$B$15+1,'General Info and Liability'!$B$18/'General Info and Liability'!$B$10*$L75,""),"")</f>
        <v/>
      </c>
      <c r="L75" s="8"/>
      <c r="M75" s="31" t="str">
        <f>IFERROR(IF($H74+1&lt;'General Info and Liability'!$B$15+1,'General Info and Liability'!$D$14/'General Info and Liability'!$B$10*$L75,""),"")</f>
        <v/>
      </c>
      <c r="N75" s="32" t="str">
        <f>IFERROR(IF($H74+1&lt;'General Info and Liability'!$B$15+1,'General Info and Liability'!$D$15/'General Info and Liability'!$B$10*$L75,""),"")</f>
        <v/>
      </c>
      <c r="O75" s="8"/>
      <c r="P75" s="8"/>
      <c r="Q75" t="str">
        <f>IFERROR(IF($H75+1&gt;0,'General Info and Liability'!$D$16,""),"")</f>
        <v/>
      </c>
      <c r="R75" t="str">
        <f>IFERROR(IF($H75+1&gt;0,'General Info and Liability'!$B$16,""),"")</f>
        <v/>
      </c>
      <c r="S75" t="str">
        <f>IFERROR(IF($H74+1&lt;'General Info and Liability'!$B$15+1,'General Info and Liability'!$D$17,""),"")</f>
        <v/>
      </c>
      <c r="T75" t="str">
        <f>IFERROR(IF($H74+1&lt;'General Info and Liability'!$B$15+1,'General Info and Liability'!$D$18,""),"")</f>
        <v/>
      </c>
      <c r="U75" t="str">
        <f>IFERROR(IF($H74+1&lt;'General Info and Liability'!$B$15+1,'General Info and Liability'!$D$19,""),"")</f>
        <v/>
      </c>
      <c r="V75" t="str">
        <f>IFERROR(IF($H74+1&lt;'General Info and Liability'!$B$15+1,'General Info and Liability'!$B$14,""),"")</f>
        <v/>
      </c>
      <c r="W75" t="str">
        <f>IFERROR(IF($H74+1&lt;'General Info and Liability'!$B$15+1,'General Info and Liability'!$D$20,""),"")</f>
        <v/>
      </c>
    </row>
    <row r="76" spans="8:23" ht="17.25" customHeight="1">
      <c r="H76" t="str">
        <f>IFERROR(IF(H75+1&lt;'General Info and Liability'!$B$15+1,'Property Schedule'!H75+1,""),"")</f>
        <v/>
      </c>
      <c r="J76" s="8"/>
      <c r="K76" s="7" t="str">
        <f>IFERROR(IF($H75+1&lt;'General Info and Liability'!$B$15+1,'General Info and Liability'!$B$18/'General Info and Liability'!$B$10*$L76,""),"")</f>
        <v/>
      </c>
      <c r="L76" s="8"/>
      <c r="M76" s="31" t="str">
        <f>IFERROR(IF($H75+1&lt;'General Info and Liability'!$B$15+1,'General Info and Liability'!$D$14/'General Info and Liability'!$B$10*$L76,""),"")</f>
        <v/>
      </c>
      <c r="N76" s="32" t="str">
        <f>IFERROR(IF($H75+1&lt;'General Info and Liability'!$B$15+1,'General Info and Liability'!$D$15/'General Info and Liability'!$B$10*$L76,""),"")</f>
        <v/>
      </c>
      <c r="O76" s="8"/>
      <c r="P76" s="8"/>
      <c r="Q76" t="str">
        <f>IFERROR(IF($H76+1&gt;0,'General Info and Liability'!$D$16,""),"")</f>
        <v/>
      </c>
      <c r="R76" t="str">
        <f>IFERROR(IF($H76+1&gt;0,'General Info and Liability'!$B$16,""),"")</f>
        <v/>
      </c>
      <c r="S76" t="str">
        <f>IFERROR(IF($H75+1&lt;'General Info and Liability'!$B$15+1,'General Info and Liability'!$D$17,""),"")</f>
        <v/>
      </c>
      <c r="T76" t="str">
        <f>IFERROR(IF($H75+1&lt;'General Info and Liability'!$B$15+1,'General Info and Liability'!$D$18,""),"")</f>
        <v/>
      </c>
      <c r="U76" t="str">
        <f>IFERROR(IF($H75+1&lt;'General Info and Liability'!$B$15+1,'General Info and Liability'!$D$19,""),"")</f>
        <v/>
      </c>
      <c r="V76" t="str">
        <f>IFERROR(IF($H75+1&lt;'General Info and Liability'!$B$15+1,'General Info and Liability'!$B$14,""),"")</f>
        <v/>
      </c>
      <c r="W76" t="str">
        <f>IFERROR(IF($H75+1&lt;'General Info and Liability'!$B$15+1,'General Info and Liability'!$D$20,""),"")</f>
        <v/>
      </c>
    </row>
    <row r="77" spans="8:23" ht="17.25" customHeight="1">
      <c r="H77" t="str">
        <f>IFERROR(IF(H76+1&lt;'General Info and Liability'!$B$15+1,'Property Schedule'!H76+1,""),"")</f>
        <v/>
      </c>
      <c r="J77" s="8"/>
      <c r="K77" s="7" t="str">
        <f>IFERROR(IF($H76+1&lt;'General Info and Liability'!$B$15+1,'General Info and Liability'!$B$18/'General Info and Liability'!$B$10*$L77,""),"")</f>
        <v/>
      </c>
      <c r="L77" s="8"/>
      <c r="M77" s="31" t="str">
        <f>IFERROR(IF($H76+1&lt;'General Info and Liability'!$B$15+1,'General Info and Liability'!$D$14/'General Info and Liability'!$B$10*$L77,""),"")</f>
        <v/>
      </c>
      <c r="N77" s="32" t="str">
        <f>IFERROR(IF($H76+1&lt;'General Info and Liability'!$B$15+1,'General Info and Liability'!$D$15/'General Info and Liability'!$B$10*$L77,""),"")</f>
        <v/>
      </c>
      <c r="O77" s="8"/>
      <c r="P77" s="8"/>
      <c r="Q77" t="str">
        <f>IFERROR(IF($H77+1&gt;0,'General Info and Liability'!$D$16,""),"")</f>
        <v/>
      </c>
      <c r="R77" t="str">
        <f>IFERROR(IF($H77+1&gt;0,'General Info and Liability'!$B$16,""),"")</f>
        <v/>
      </c>
      <c r="S77" t="str">
        <f>IFERROR(IF($H76+1&lt;'General Info and Liability'!$B$15+1,'General Info and Liability'!$D$17,""),"")</f>
        <v/>
      </c>
      <c r="T77" t="str">
        <f>IFERROR(IF($H76+1&lt;'General Info and Liability'!$B$15+1,'General Info and Liability'!$D$18,""),"")</f>
        <v/>
      </c>
      <c r="U77" t="str">
        <f>IFERROR(IF($H76+1&lt;'General Info and Liability'!$B$15+1,'General Info and Liability'!$D$19,""),"")</f>
        <v/>
      </c>
      <c r="V77" t="str">
        <f>IFERROR(IF($H76+1&lt;'General Info and Liability'!$B$15+1,'General Info and Liability'!$B$14,""),"")</f>
        <v/>
      </c>
      <c r="W77" t="str">
        <f>IFERROR(IF($H76+1&lt;'General Info and Liability'!$B$15+1,'General Info and Liability'!$D$20,""),"")</f>
        <v/>
      </c>
    </row>
    <row r="78" spans="8:23" ht="17.25" customHeight="1">
      <c r="H78" t="str">
        <f>IFERROR(IF(H77+1&lt;'General Info and Liability'!$B$15+1,'Property Schedule'!H77+1,""),"")</f>
        <v/>
      </c>
      <c r="J78" s="8"/>
      <c r="K78" s="7" t="str">
        <f>IFERROR(IF($H77+1&lt;'General Info and Liability'!$B$15+1,'General Info and Liability'!$B$18/'General Info and Liability'!$B$10*$L78,""),"")</f>
        <v/>
      </c>
      <c r="L78" s="8"/>
      <c r="M78" s="31" t="str">
        <f>IFERROR(IF($H77+1&lt;'General Info and Liability'!$B$15+1,'General Info and Liability'!$D$14/'General Info and Liability'!$B$10*$L78,""),"")</f>
        <v/>
      </c>
      <c r="N78" s="32" t="str">
        <f>IFERROR(IF($H77+1&lt;'General Info and Liability'!$B$15+1,'General Info and Liability'!$D$15/'General Info and Liability'!$B$10*$L78,""),"")</f>
        <v/>
      </c>
      <c r="O78" s="8"/>
      <c r="P78" s="8"/>
      <c r="Q78" t="str">
        <f>IFERROR(IF($H78+1&gt;0,'General Info and Liability'!$D$16,""),"")</f>
        <v/>
      </c>
      <c r="R78" t="str">
        <f>IFERROR(IF($H78+1&gt;0,'General Info and Liability'!$B$16,""),"")</f>
        <v/>
      </c>
      <c r="S78" t="str">
        <f>IFERROR(IF($H77+1&lt;'General Info and Liability'!$B$15+1,'General Info and Liability'!$D$17,""),"")</f>
        <v/>
      </c>
      <c r="T78" t="str">
        <f>IFERROR(IF($H77+1&lt;'General Info and Liability'!$B$15+1,'General Info and Liability'!$D$18,""),"")</f>
        <v/>
      </c>
      <c r="U78" t="str">
        <f>IFERROR(IF($H77+1&lt;'General Info and Liability'!$B$15+1,'General Info and Liability'!$D$19,""),"")</f>
        <v/>
      </c>
      <c r="V78" t="str">
        <f>IFERROR(IF($H77+1&lt;'General Info and Liability'!$B$15+1,'General Info and Liability'!$B$14,""),"")</f>
        <v/>
      </c>
      <c r="W78" t="str">
        <f>IFERROR(IF($H77+1&lt;'General Info and Liability'!$B$15+1,'General Info and Liability'!$D$20,""),"")</f>
        <v/>
      </c>
    </row>
    <row r="79" spans="8:23" ht="17.25" customHeight="1">
      <c r="H79" t="str">
        <f>IFERROR(IF(H78+1&lt;'General Info and Liability'!$B$15+1,'Property Schedule'!H78+1,""),"")</f>
        <v/>
      </c>
      <c r="J79" s="8"/>
      <c r="K79" s="7" t="str">
        <f>IFERROR(IF($H78+1&lt;'General Info and Liability'!$B$15+1,'General Info and Liability'!$B$18/'General Info and Liability'!$B$10*$L79,""),"")</f>
        <v/>
      </c>
      <c r="L79" s="8"/>
      <c r="M79" s="31" t="str">
        <f>IFERROR(IF($H78+1&lt;'General Info and Liability'!$B$15+1,'General Info and Liability'!$D$14/'General Info and Liability'!$B$10*$L79,""),"")</f>
        <v/>
      </c>
      <c r="N79" s="32" t="str">
        <f>IFERROR(IF($H78+1&lt;'General Info and Liability'!$B$15+1,'General Info and Liability'!$D$15/'General Info and Liability'!$B$10*$L79,""),"")</f>
        <v/>
      </c>
      <c r="O79" s="8"/>
      <c r="P79" s="8"/>
      <c r="Q79" t="str">
        <f>IFERROR(IF($H79+1&gt;0,'General Info and Liability'!$D$16,""),"")</f>
        <v/>
      </c>
      <c r="R79" t="str">
        <f>IFERROR(IF($H79+1&gt;0,'General Info and Liability'!$B$16,""),"")</f>
        <v/>
      </c>
      <c r="S79" t="str">
        <f>IFERROR(IF($H78+1&lt;'General Info and Liability'!$B$15+1,'General Info and Liability'!$D$17,""),"")</f>
        <v/>
      </c>
      <c r="T79" t="str">
        <f>IFERROR(IF($H78+1&lt;'General Info and Liability'!$B$15+1,'General Info and Liability'!$D$18,""),"")</f>
        <v/>
      </c>
      <c r="U79" t="str">
        <f>IFERROR(IF($H78+1&lt;'General Info and Liability'!$B$15+1,'General Info and Liability'!$D$19,""),"")</f>
        <v/>
      </c>
      <c r="V79" t="str">
        <f>IFERROR(IF($H78+1&lt;'General Info and Liability'!$B$15+1,'General Info and Liability'!$B$14,""),"")</f>
        <v/>
      </c>
      <c r="W79" t="str">
        <f>IFERROR(IF($H78+1&lt;'General Info and Liability'!$B$15+1,'General Info and Liability'!$D$20,""),"")</f>
        <v/>
      </c>
    </row>
    <row r="80" spans="8:23" ht="17.25" customHeight="1">
      <c r="H80" t="str">
        <f>IFERROR(IF(H79+1&lt;'General Info and Liability'!$B$15+1,'Property Schedule'!H79+1,""),"")</f>
        <v/>
      </c>
      <c r="J80" s="8"/>
      <c r="K80" s="7" t="str">
        <f>IFERROR(IF($H79+1&lt;'General Info and Liability'!$B$15+1,'General Info and Liability'!$B$18/'General Info and Liability'!$B$10*$L80,""),"")</f>
        <v/>
      </c>
      <c r="L80" s="8"/>
      <c r="M80" s="31" t="str">
        <f>IFERROR(IF($H79+1&lt;'General Info and Liability'!$B$15+1,'General Info and Liability'!$D$14/'General Info and Liability'!$B$10*$L80,""),"")</f>
        <v/>
      </c>
      <c r="N80" s="32" t="str">
        <f>IFERROR(IF($H79+1&lt;'General Info and Liability'!$B$15+1,'General Info and Liability'!$D$15/'General Info and Liability'!$B$10*$L80,""),"")</f>
        <v/>
      </c>
      <c r="O80" s="8"/>
      <c r="P80" s="8"/>
      <c r="Q80" t="str">
        <f>IFERROR(IF($H80+1&gt;0,'General Info and Liability'!$D$16,""),"")</f>
        <v/>
      </c>
      <c r="R80" t="str">
        <f>IFERROR(IF($H80+1&gt;0,'General Info and Liability'!$B$16,""),"")</f>
        <v/>
      </c>
      <c r="S80" t="str">
        <f>IFERROR(IF($H79+1&lt;'General Info and Liability'!$B$15+1,'General Info and Liability'!$D$17,""),"")</f>
        <v/>
      </c>
      <c r="T80" t="str">
        <f>IFERROR(IF($H79+1&lt;'General Info and Liability'!$B$15+1,'General Info and Liability'!$D$18,""),"")</f>
        <v/>
      </c>
      <c r="U80" t="str">
        <f>IFERROR(IF($H79+1&lt;'General Info and Liability'!$B$15+1,'General Info and Liability'!$D$19,""),"")</f>
        <v/>
      </c>
      <c r="V80" t="str">
        <f>IFERROR(IF($H79+1&lt;'General Info and Liability'!$B$15+1,'General Info and Liability'!$B$14,""),"")</f>
        <v/>
      </c>
      <c r="W80" t="str">
        <f>IFERROR(IF($H79+1&lt;'General Info and Liability'!$B$15+1,'General Info and Liability'!$D$20,""),"")</f>
        <v/>
      </c>
    </row>
    <row r="81" spans="8:23" ht="17.25" customHeight="1">
      <c r="H81" t="str">
        <f>IFERROR(IF(H80+1&lt;'General Info and Liability'!$B$15+1,'Property Schedule'!H80+1,""),"")</f>
        <v/>
      </c>
      <c r="J81" s="8"/>
      <c r="K81" s="7" t="str">
        <f>IFERROR(IF($H80+1&lt;'General Info and Liability'!$B$15+1,'General Info and Liability'!$B$18/'General Info and Liability'!$B$10*$L81,""),"")</f>
        <v/>
      </c>
      <c r="L81" s="8"/>
      <c r="M81" s="31" t="str">
        <f>IFERROR(IF($H80+1&lt;'General Info and Liability'!$B$15+1,'General Info and Liability'!$D$14/'General Info and Liability'!$B$10*$L81,""),"")</f>
        <v/>
      </c>
      <c r="N81" s="32" t="str">
        <f>IFERROR(IF($H80+1&lt;'General Info and Liability'!$B$15+1,'General Info and Liability'!$D$15/'General Info and Liability'!$B$10*$L81,""),"")</f>
        <v/>
      </c>
      <c r="O81" s="8"/>
      <c r="P81" s="8"/>
      <c r="Q81" t="str">
        <f>IFERROR(IF($H81+1&gt;0,'General Info and Liability'!$D$16,""),"")</f>
        <v/>
      </c>
      <c r="R81" t="str">
        <f>IFERROR(IF($H81+1&gt;0,'General Info and Liability'!$B$16,""),"")</f>
        <v/>
      </c>
      <c r="S81" t="str">
        <f>IFERROR(IF($H80+1&lt;'General Info and Liability'!$B$15+1,'General Info and Liability'!$D$17,""),"")</f>
        <v/>
      </c>
      <c r="T81" t="str">
        <f>IFERROR(IF($H80+1&lt;'General Info and Liability'!$B$15+1,'General Info and Liability'!$D$18,""),"")</f>
        <v/>
      </c>
      <c r="U81" t="str">
        <f>IFERROR(IF($H80+1&lt;'General Info and Liability'!$B$15+1,'General Info and Liability'!$D$19,""),"")</f>
        <v/>
      </c>
      <c r="V81" t="str">
        <f>IFERROR(IF($H80+1&lt;'General Info and Liability'!$B$15+1,'General Info and Liability'!$B$14,""),"")</f>
        <v/>
      </c>
      <c r="W81" t="str">
        <f>IFERROR(IF($H80+1&lt;'General Info and Liability'!$B$15+1,'General Info and Liability'!$D$20,""),"")</f>
        <v/>
      </c>
    </row>
    <row r="82" spans="8:23" ht="17.25" customHeight="1">
      <c r="H82" t="str">
        <f>IFERROR(IF(H81+1&lt;'General Info and Liability'!$B$15+1,'Property Schedule'!H81+1,""),"")</f>
        <v/>
      </c>
      <c r="J82" s="8"/>
      <c r="K82" s="7" t="str">
        <f>IFERROR(IF($H81+1&lt;'General Info and Liability'!$B$15+1,'General Info and Liability'!$B$18/'General Info and Liability'!$B$10*$L82,""),"")</f>
        <v/>
      </c>
      <c r="L82" s="8"/>
      <c r="M82" s="31" t="str">
        <f>IFERROR(IF($H81+1&lt;'General Info and Liability'!$B$15+1,'General Info and Liability'!$D$14/'General Info and Liability'!$B$10*$L82,""),"")</f>
        <v/>
      </c>
      <c r="N82" s="32" t="str">
        <f>IFERROR(IF($H81+1&lt;'General Info and Liability'!$B$15+1,'General Info and Liability'!$D$15/'General Info and Liability'!$B$10*$L82,""),"")</f>
        <v/>
      </c>
      <c r="O82" s="8"/>
      <c r="P82" s="8"/>
      <c r="Q82" t="str">
        <f>IFERROR(IF($H82+1&gt;0,'General Info and Liability'!$D$16,""),"")</f>
        <v/>
      </c>
      <c r="R82" t="str">
        <f>IFERROR(IF($H82+1&gt;0,'General Info and Liability'!$B$16,""),"")</f>
        <v/>
      </c>
      <c r="S82" t="str">
        <f>IFERROR(IF($H81+1&lt;'General Info and Liability'!$B$15+1,'General Info and Liability'!$D$17,""),"")</f>
        <v/>
      </c>
      <c r="T82" t="str">
        <f>IFERROR(IF($H81+1&lt;'General Info and Liability'!$B$15+1,'General Info and Liability'!$D$18,""),"")</f>
        <v/>
      </c>
      <c r="U82" t="str">
        <f>IFERROR(IF($H81+1&lt;'General Info and Liability'!$B$15+1,'General Info and Liability'!$D$19,""),"")</f>
        <v/>
      </c>
      <c r="V82" t="str">
        <f>IFERROR(IF($H81+1&lt;'General Info and Liability'!$B$15+1,'General Info and Liability'!$B$14,""),"")</f>
        <v/>
      </c>
      <c r="W82" t="str">
        <f>IFERROR(IF($H81+1&lt;'General Info and Liability'!$B$15+1,'General Info and Liability'!$D$20,""),"")</f>
        <v/>
      </c>
    </row>
    <row r="83" spans="8:23" ht="17.25" customHeight="1">
      <c r="H83" t="str">
        <f>IFERROR(IF(H82+1&lt;'General Info and Liability'!$B$15+1,'Property Schedule'!H82+1,""),"")</f>
        <v/>
      </c>
      <c r="J83" s="8"/>
      <c r="K83" s="7" t="str">
        <f>IFERROR(IF($H82+1&lt;'General Info and Liability'!$B$15+1,'General Info and Liability'!$B$18/'General Info and Liability'!$B$10*$L83,""),"")</f>
        <v/>
      </c>
      <c r="L83" s="8"/>
      <c r="M83" s="31" t="str">
        <f>IFERROR(IF($H82+1&lt;'General Info and Liability'!$B$15+1,'General Info and Liability'!$D$14/'General Info and Liability'!$B$10*$L83,""),"")</f>
        <v/>
      </c>
      <c r="N83" s="32" t="str">
        <f>IFERROR(IF($H82+1&lt;'General Info and Liability'!$B$15+1,'General Info and Liability'!$D$15/'General Info and Liability'!$B$10*$L83,""),"")</f>
        <v/>
      </c>
      <c r="O83" s="8"/>
      <c r="P83" s="8"/>
      <c r="Q83" t="str">
        <f>IFERROR(IF($H83+1&gt;0,'General Info and Liability'!$D$16,""),"")</f>
        <v/>
      </c>
      <c r="R83" t="str">
        <f>IFERROR(IF($H83+1&gt;0,'General Info and Liability'!$B$16,""),"")</f>
        <v/>
      </c>
      <c r="S83" t="str">
        <f>IFERROR(IF($H82+1&lt;'General Info and Liability'!$B$15+1,'General Info and Liability'!$D$17,""),"")</f>
        <v/>
      </c>
      <c r="T83" t="str">
        <f>IFERROR(IF($H82+1&lt;'General Info and Liability'!$B$15+1,'General Info and Liability'!$D$18,""),"")</f>
        <v/>
      </c>
      <c r="U83" t="str">
        <f>IFERROR(IF($H82+1&lt;'General Info and Liability'!$B$15+1,'General Info and Liability'!$D$19,""),"")</f>
        <v/>
      </c>
      <c r="V83" t="str">
        <f>IFERROR(IF($H82+1&lt;'General Info and Liability'!$B$15+1,'General Info and Liability'!$B$14,""),"")</f>
        <v/>
      </c>
      <c r="W83" t="str">
        <f>IFERROR(IF($H82+1&lt;'General Info and Liability'!$B$15+1,'General Info and Liability'!$D$20,""),"")</f>
        <v/>
      </c>
    </row>
    <row r="84" spans="8:23" ht="17.25" customHeight="1">
      <c r="H84" t="str">
        <f>IFERROR(IF(H83+1&lt;'General Info and Liability'!$B$15+1,'Property Schedule'!H83+1,""),"")</f>
        <v/>
      </c>
      <c r="J84" s="8"/>
      <c r="K84" s="7" t="str">
        <f>IFERROR(IF($H83+1&lt;'General Info and Liability'!$B$15+1,'General Info and Liability'!$B$18/'General Info and Liability'!$B$10*$L84,""),"")</f>
        <v/>
      </c>
      <c r="L84" s="8"/>
      <c r="M84" s="31" t="str">
        <f>IFERROR(IF($H83+1&lt;'General Info and Liability'!$B$15+1,'General Info and Liability'!$D$14/'General Info and Liability'!$B$10*$L84,""),"")</f>
        <v/>
      </c>
      <c r="N84" s="32" t="str">
        <f>IFERROR(IF($H83+1&lt;'General Info and Liability'!$B$15+1,'General Info and Liability'!$D$15/'General Info and Liability'!$B$10*$L84,""),"")</f>
        <v/>
      </c>
      <c r="O84" s="8"/>
      <c r="P84" s="8"/>
      <c r="Q84" t="str">
        <f>IFERROR(IF($H84+1&gt;0,'General Info and Liability'!$D$16,""),"")</f>
        <v/>
      </c>
      <c r="R84" t="str">
        <f>IFERROR(IF($H84+1&gt;0,'General Info and Liability'!$B$16,""),"")</f>
        <v/>
      </c>
      <c r="S84" t="str">
        <f>IFERROR(IF($H83+1&lt;'General Info and Liability'!$B$15+1,'General Info and Liability'!$D$17,""),"")</f>
        <v/>
      </c>
      <c r="T84" t="str">
        <f>IFERROR(IF($H83+1&lt;'General Info and Liability'!$B$15+1,'General Info and Liability'!$D$18,""),"")</f>
        <v/>
      </c>
      <c r="U84" t="str">
        <f>IFERROR(IF($H83+1&lt;'General Info and Liability'!$B$15+1,'General Info and Liability'!$D$19,""),"")</f>
        <v/>
      </c>
      <c r="V84" t="str">
        <f>IFERROR(IF($H83+1&lt;'General Info and Liability'!$B$15+1,'General Info and Liability'!$B$14,""),"")</f>
        <v/>
      </c>
      <c r="W84" t="str">
        <f>IFERROR(IF($H83+1&lt;'General Info and Liability'!$B$15+1,'General Info and Liability'!$D$20,""),"")</f>
        <v/>
      </c>
    </row>
    <row r="85" spans="8:23" ht="17.25" customHeight="1">
      <c r="H85" t="str">
        <f>IFERROR(IF(H84+1&lt;'General Info and Liability'!$B$15+1,'Property Schedule'!H84+1,""),"")</f>
        <v/>
      </c>
      <c r="J85" s="8"/>
      <c r="K85" s="7" t="str">
        <f>IFERROR(IF($H84+1&lt;'General Info and Liability'!$B$15+1,'General Info and Liability'!$B$18/'General Info and Liability'!$B$10*$L85,""),"")</f>
        <v/>
      </c>
      <c r="L85" s="8"/>
      <c r="M85" s="31" t="str">
        <f>IFERROR(IF($H84+1&lt;'General Info and Liability'!$B$15+1,'General Info and Liability'!$D$14/'General Info and Liability'!$B$10*$L85,""),"")</f>
        <v/>
      </c>
      <c r="N85" s="32" t="str">
        <f>IFERROR(IF($H84+1&lt;'General Info and Liability'!$B$15+1,'General Info and Liability'!$D$15/'General Info and Liability'!$B$10*$L85,""),"")</f>
        <v/>
      </c>
      <c r="O85" s="8"/>
      <c r="P85" s="8"/>
      <c r="Q85" t="str">
        <f>IFERROR(IF($H85+1&gt;0,'General Info and Liability'!$D$16,""),"")</f>
        <v/>
      </c>
      <c r="R85" t="str">
        <f>IFERROR(IF($H85+1&gt;0,'General Info and Liability'!$B$16,""),"")</f>
        <v/>
      </c>
      <c r="S85" t="str">
        <f>IFERROR(IF($H84+1&lt;'General Info and Liability'!$B$15+1,'General Info and Liability'!$D$17,""),"")</f>
        <v/>
      </c>
      <c r="T85" t="str">
        <f>IFERROR(IF($H84+1&lt;'General Info and Liability'!$B$15+1,'General Info and Liability'!$D$18,""),"")</f>
        <v/>
      </c>
      <c r="U85" t="str">
        <f>IFERROR(IF($H84+1&lt;'General Info and Liability'!$B$15+1,'General Info and Liability'!$D$19,""),"")</f>
        <v/>
      </c>
      <c r="V85" t="str">
        <f>IFERROR(IF($H84+1&lt;'General Info and Liability'!$B$15+1,'General Info and Liability'!$B$14,""),"")</f>
        <v/>
      </c>
      <c r="W85" t="str">
        <f>IFERROR(IF($H84+1&lt;'General Info and Liability'!$B$15+1,'General Info and Liability'!$D$20,""),"")</f>
        <v/>
      </c>
    </row>
    <row r="86" spans="8:23" ht="17.25" customHeight="1">
      <c r="H86" t="str">
        <f>IFERROR(IF(H85+1&lt;'General Info and Liability'!$B$15+1,'Property Schedule'!H85+1,""),"")</f>
        <v/>
      </c>
      <c r="J86" s="8"/>
      <c r="K86" s="7" t="str">
        <f>IFERROR(IF($H85+1&lt;'General Info and Liability'!$B$15+1,'General Info and Liability'!$B$18/'General Info and Liability'!$B$10*$L86,""),"")</f>
        <v/>
      </c>
      <c r="L86" s="8"/>
      <c r="M86" s="31" t="str">
        <f>IFERROR(IF($H85+1&lt;'General Info and Liability'!$B$15+1,'General Info and Liability'!$D$14/'General Info and Liability'!$B$10*$L86,""),"")</f>
        <v/>
      </c>
      <c r="N86" s="32" t="str">
        <f>IFERROR(IF($H85+1&lt;'General Info and Liability'!$B$15+1,'General Info and Liability'!$D$15/'General Info and Liability'!$B$10*$L86,""),"")</f>
        <v/>
      </c>
      <c r="O86" s="8"/>
      <c r="P86" s="8"/>
      <c r="Q86" t="str">
        <f>IFERROR(IF($H86+1&gt;0,'General Info and Liability'!$D$16,""),"")</f>
        <v/>
      </c>
      <c r="R86" t="str">
        <f>IFERROR(IF($H86+1&gt;0,'General Info and Liability'!$B$16,""),"")</f>
        <v/>
      </c>
      <c r="S86" t="str">
        <f>IFERROR(IF($H85+1&lt;'General Info and Liability'!$B$15+1,'General Info and Liability'!$D$17,""),"")</f>
        <v/>
      </c>
      <c r="T86" t="str">
        <f>IFERROR(IF($H85+1&lt;'General Info and Liability'!$B$15+1,'General Info and Liability'!$D$18,""),"")</f>
        <v/>
      </c>
      <c r="U86" t="str">
        <f>IFERROR(IF($H85+1&lt;'General Info and Liability'!$B$15+1,'General Info and Liability'!$D$19,""),"")</f>
        <v/>
      </c>
      <c r="V86" t="str">
        <f>IFERROR(IF($H85+1&lt;'General Info and Liability'!$B$15+1,'General Info and Liability'!$B$14,""),"")</f>
        <v/>
      </c>
      <c r="W86" t="str">
        <f>IFERROR(IF($H85+1&lt;'General Info and Liability'!$B$15+1,'General Info and Liability'!$D$20,""),"")</f>
        <v/>
      </c>
    </row>
    <row r="87" spans="8:23" ht="17.25" customHeight="1">
      <c r="H87" t="str">
        <f>IFERROR(IF(H86+1&lt;'General Info and Liability'!$B$15+1,'Property Schedule'!H86+1,""),"")</f>
        <v/>
      </c>
      <c r="J87" s="8"/>
      <c r="K87" s="7" t="str">
        <f>IFERROR(IF($H86+1&lt;'General Info and Liability'!$B$15+1,'General Info and Liability'!$B$18/'General Info and Liability'!$B$10*$L87,""),"")</f>
        <v/>
      </c>
      <c r="L87" s="8"/>
      <c r="M87" s="31" t="str">
        <f>IFERROR(IF($H86+1&lt;'General Info and Liability'!$B$15+1,'General Info and Liability'!$D$14/'General Info and Liability'!$B$10*$L87,""),"")</f>
        <v/>
      </c>
      <c r="N87" s="32" t="str">
        <f>IFERROR(IF($H86+1&lt;'General Info and Liability'!$B$15+1,'General Info and Liability'!$D$15/'General Info and Liability'!$B$10*$L87,""),"")</f>
        <v/>
      </c>
      <c r="O87" s="8"/>
      <c r="P87" s="8"/>
      <c r="Q87" t="str">
        <f>IFERROR(IF($H87+1&gt;0,'General Info and Liability'!$D$16,""),"")</f>
        <v/>
      </c>
      <c r="R87" t="str">
        <f>IFERROR(IF($H87+1&gt;0,'General Info and Liability'!$B$16,""),"")</f>
        <v/>
      </c>
      <c r="S87" t="str">
        <f>IFERROR(IF($H86+1&lt;'General Info and Liability'!$B$15+1,'General Info and Liability'!$D$17,""),"")</f>
        <v/>
      </c>
      <c r="T87" t="str">
        <f>IFERROR(IF($H86+1&lt;'General Info and Liability'!$B$15+1,'General Info and Liability'!$D$18,""),"")</f>
        <v/>
      </c>
      <c r="U87" t="str">
        <f>IFERROR(IF($H86+1&lt;'General Info and Liability'!$B$15+1,'General Info and Liability'!$D$19,""),"")</f>
        <v/>
      </c>
      <c r="V87" t="str">
        <f>IFERROR(IF($H86+1&lt;'General Info and Liability'!$B$15+1,'General Info and Liability'!$B$14,""),"")</f>
        <v/>
      </c>
      <c r="W87" t="str">
        <f>IFERROR(IF($H86+1&lt;'General Info and Liability'!$B$15+1,'General Info and Liability'!$D$20,""),"")</f>
        <v/>
      </c>
    </row>
    <row r="88" spans="8:23" ht="17.25" customHeight="1">
      <c r="H88" t="str">
        <f>IFERROR(IF(H87+1&lt;'General Info and Liability'!$B$15+1,'Property Schedule'!H87+1,""),"")</f>
        <v/>
      </c>
      <c r="J88" s="8"/>
      <c r="K88" s="7" t="str">
        <f>IFERROR(IF($H87+1&lt;'General Info and Liability'!$B$15+1,'General Info and Liability'!$B$18/'General Info and Liability'!$B$10*$L88,""),"")</f>
        <v/>
      </c>
      <c r="L88" s="8"/>
      <c r="M88" s="31" t="str">
        <f>IFERROR(IF($H87+1&lt;'General Info and Liability'!$B$15+1,'General Info and Liability'!$D$14/'General Info and Liability'!$B$10*$L88,""),"")</f>
        <v/>
      </c>
      <c r="N88" s="32" t="str">
        <f>IFERROR(IF($H87+1&lt;'General Info and Liability'!$B$15+1,'General Info and Liability'!$D$15/'General Info and Liability'!$B$10*$L88,""),"")</f>
        <v/>
      </c>
      <c r="O88" s="8"/>
      <c r="P88" s="8"/>
      <c r="Q88" t="str">
        <f>IFERROR(IF($H88+1&gt;0,'General Info and Liability'!$D$16,""),"")</f>
        <v/>
      </c>
      <c r="R88" t="str">
        <f>IFERROR(IF($H88+1&gt;0,'General Info and Liability'!$B$16,""),"")</f>
        <v/>
      </c>
      <c r="S88" t="str">
        <f>IFERROR(IF($H87+1&lt;'General Info and Liability'!$B$15+1,'General Info and Liability'!$D$17,""),"")</f>
        <v/>
      </c>
      <c r="T88" t="str">
        <f>IFERROR(IF($H87+1&lt;'General Info and Liability'!$B$15+1,'General Info and Liability'!$D$18,""),"")</f>
        <v/>
      </c>
      <c r="U88" t="str">
        <f>IFERROR(IF($H87+1&lt;'General Info and Liability'!$B$15+1,'General Info and Liability'!$D$19,""),"")</f>
        <v/>
      </c>
      <c r="V88" t="str">
        <f>IFERROR(IF($H87+1&lt;'General Info and Liability'!$B$15+1,'General Info and Liability'!$B$14,""),"")</f>
        <v/>
      </c>
      <c r="W88" t="str">
        <f>IFERROR(IF($H87+1&lt;'General Info and Liability'!$B$15+1,'General Info and Liability'!$D$20,""),"")</f>
        <v/>
      </c>
    </row>
    <row r="89" spans="8:23" ht="17.25" customHeight="1">
      <c r="H89" t="str">
        <f>IFERROR(IF(H88+1&lt;'General Info and Liability'!$B$15+1,'Property Schedule'!H88+1,""),"")</f>
        <v/>
      </c>
      <c r="J89" s="8"/>
      <c r="K89" s="7" t="str">
        <f>IFERROR(IF($H88+1&lt;'General Info and Liability'!$B$15+1,'General Info and Liability'!$B$18/'General Info and Liability'!$B$10*$L89,""),"")</f>
        <v/>
      </c>
      <c r="L89" s="8"/>
      <c r="M89" s="31" t="str">
        <f>IFERROR(IF($H88+1&lt;'General Info and Liability'!$B$15+1,'General Info and Liability'!$D$14/'General Info and Liability'!$B$10*$L89,""),"")</f>
        <v/>
      </c>
      <c r="N89" s="32" t="str">
        <f>IFERROR(IF($H88+1&lt;'General Info and Liability'!$B$15+1,'General Info and Liability'!$D$15/'General Info and Liability'!$B$10*$L89,""),"")</f>
        <v/>
      </c>
      <c r="O89" s="8"/>
      <c r="P89" s="8"/>
      <c r="Q89" t="str">
        <f>IFERROR(IF($H89+1&gt;0,'General Info and Liability'!$D$16,""),"")</f>
        <v/>
      </c>
      <c r="R89" t="str">
        <f>IFERROR(IF($H89+1&gt;0,'General Info and Liability'!$B$16,""),"")</f>
        <v/>
      </c>
      <c r="S89" t="str">
        <f>IFERROR(IF($H88+1&lt;'General Info and Liability'!$B$15+1,'General Info and Liability'!$D$17,""),"")</f>
        <v/>
      </c>
      <c r="T89" t="str">
        <f>IFERROR(IF($H88+1&lt;'General Info and Liability'!$B$15+1,'General Info and Liability'!$D$18,""),"")</f>
        <v/>
      </c>
      <c r="U89" t="str">
        <f>IFERROR(IF($H88+1&lt;'General Info and Liability'!$B$15+1,'General Info and Liability'!$D$19,""),"")</f>
        <v/>
      </c>
      <c r="V89" t="str">
        <f>IFERROR(IF($H88+1&lt;'General Info and Liability'!$B$15+1,'General Info and Liability'!$B$14,""),"")</f>
        <v/>
      </c>
      <c r="W89" t="str">
        <f>IFERROR(IF($H88+1&lt;'General Info and Liability'!$B$15+1,'General Info and Liability'!$D$20,""),"")</f>
        <v/>
      </c>
    </row>
    <row r="90" spans="8:23" ht="17.25" customHeight="1">
      <c r="H90" t="str">
        <f>IFERROR(IF(H89+1&lt;'General Info and Liability'!$B$15+1,'Property Schedule'!H89+1,""),"")</f>
        <v/>
      </c>
      <c r="J90" s="8"/>
      <c r="K90" s="7" t="str">
        <f>IFERROR(IF($H89+1&lt;'General Info and Liability'!$B$15+1,'General Info and Liability'!$B$18/'General Info and Liability'!$B$10*$L90,""),"")</f>
        <v/>
      </c>
      <c r="L90" s="8"/>
      <c r="M90" s="31" t="str">
        <f>IFERROR(IF($H89+1&lt;'General Info and Liability'!$B$15+1,'General Info and Liability'!$D$14/'General Info and Liability'!$B$10*$L90,""),"")</f>
        <v/>
      </c>
      <c r="N90" s="32" t="str">
        <f>IFERROR(IF($H89+1&lt;'General Info and Liability'!$B$15+1,'General Info and Liability'!$D$15/'General Info and Liability'!$B$10*$L90,""),"")</f>
        <v/>
      </c>
      <c r="O90" s="8"/>
      <c r="P90" s="8"/>
      <c r="Q90" t="str">
        <f>IFERROR(IF($H90+1&gt;0,'General Info and Liability'!$D$16,""),"")</f>
        <v/>
      </c>
      <c r="R90" t="str">
        <f>IFERROR(IF($H90+1&gt;0,'General Info and Liability'!$B$16,""),"")</f>
        <v/>
      </c>
      <c r="S90" t="str">
        <f>IFERROR(IF($H89+1&lt;'General Info and Liability'!$B$15+1,'General Info and Liability'!$D$17,""),"")</f>
        <v/>
      </c>
      <c r="T90" t="str">
        <f>IFERROR(IF($H89+1&lt;'General Info and Liability'!$B$15+1,'General Info and Liability'!$D$18,""),"")</f>
        <v/>
      </c>
      <c r="U90" t="str">
        <f>IFERROR(IF($H89+1&lt;'General Info and Liability'!$B$15+1,'General Info and Liability'!$D$19,""),"")</f>
        <v/>
      </c>
      <c r="V90" t="str">
        <f>IFERROR(IF($H89+1&lt;'General Info and Liability'!$B$15+1,'General Info and Liability'!$B$14,""),"")</f>
        <v/>
      </c>
      <c r="W90" t="str">
        <f>IFERROR(IF($H89+1&lt;'General Info and Liability'!$B$15+1,'General Info and Liability'!$D$20,""),"")</f>
        <v/>
      </c>
    </row>
    <row r="91" spans="8:23" ht="17.25" customHeight="1">
      <c r="H91" t="str">
        <f>IFERROR(IF(H90+1&lt;'General Info and Liability'!$B$15+1,'Property Schedule'!H90+1,""),"")</f>
        <v/>
      </c>
      <c r="J91" s="8"/>
      <c r="K91" s="7" t="str">
        <f>IFERROR(IF($H90+1&lt;'General Info and Liability'!$B$15+1,'General Info and Liability'!$B$18/'General Info and Liability'!$B$10*$L91,""),"")</f>
        <v/>
      </c>
      <c r="L91" s="8"/>
      <c r="M91" s="31" t="str">
        <f>IFERROR(IF($H90+1&lt;'General Info and Liability'!$B$15+1,'General Info and Liability'!$D$14/'General Info and Liability'!$B$10*$L91,""),"")</f>
        <v/>
      </c>
      <c r="N91" s="32" t="str">
        <f>IFERROR(IF($H90+1&lt;'General Info and Liability'!$B$15+1,'General Info and Liability'!$D$15/'General Info and Liability'!$B$10*$L91,""),"")</f>
        <v/>
      </c>
      <c r="O91" s="8"/>
      <c r="P91" s="8"/>
      <c r="Q91" t="str">
        <f>IFERROR(IF($H91+1&gt;0,'General Info and Liability'!$D$16,""),"")</f>
        <v/>
      </c>
      <c r="R91" t="str">
        <f>IFERROR(IF($H91+1&gt;0,'General Info and Liability'!$B$16,""),"")</f>
        <v/>
      </c>
      <c r="S91" t="str">
        <f>IFERROR(IF($H90+1&lt;'General Info and Liability'!$B$15+1,'General Info and Liability'!$D$17,""),"")</f>
        <v/>
      </c>
      <c r="T91" t="str">
        <f>IFERROR(IF($H90+1&lt;'General Info and Liability'!$B$15+1,'General Info and Liability'!$D$18,""),"")</f>
        <v/>
      </c>
      <c r="U91" t="str">
        <f>IFERROR(IF($H90+1&lt;'General Info and Liability'!$B$15+1,'General Info and Liability'!$D$19,""),"")</f>
        <v/>
      </c>
      <c r="V91" t="str">
        <f>IFERROR(IF($H90+1&lt;'General Info and Liability'!$B$15+1,'General Info and Liability'!$B$14,""),"")</f>
        <v/>
      </c>
      <c r="W91" t="str">
        <f>IFERROR(IF($H90+1&lt;'General Info and Liability'!$B$15+1,'General Info and Liability'!$D$20,""),"")</f>
        <v/>
      </c>
    </row>
    <row r="92" spans="8:23" ht="17.25" customHeight="1">
      <c r="H92" t="str">
        <f>IFERROR(IF(H91+1&lt;'General Info and Liability'!$B$15+1,'Property Schedule'!H91+1,""),"")</f>
        <v/>
      </c>
      <c r="J92" s="8"/>
      <c r="K92" s="7" t="str">
        <f>IFERROR(IF($H91+1&lt;'General Info and Liability'!$B$15+1,'General Info and Liability'!$B$18/'General Info and Liability'!$B$10*$L92,""),"")</f>
        <v/>
      </c>
      <c r="L92" s="8"/>
      <c r="M92" s="31" t="str">
        <f>IFERROR(IF($H91+1&lt;'General Info and Liability'!$B$15+1,'General Info and Liability'!$D$14/'General Info and Liability'!$B$10*$L92,""),"")</f>
        <v/>
      </c>
      <c r="N92" s="32" t="str">
        <f>IFERROR(IF($H91+1&lt;'General Info and Liability'!$B$15+1,'General Info and Liability'!$D$15/'General Info and Liability'!$B$10*$L92,""),"")</f>
        <v/>
      </c>
      <c r="O92" s="8"/>
      <c r="P92" s="8"/>
      <c r="Q92" t="str">
        <f>IFERROR(IF($H92+1&gt;0,'General Info and Liability'!$D$16,""),"")</f>
        <v/>
      </c>
      <c r="R92" t="str">
        <f>IFERROR(IF($H92+1&gt;0,'General Info and Liability'!$B$16,""),"")</f>
        <v/>
      </c>
      <c r="S92" t="str">
        <f>IFERROR(IF($H91+1&lt;'General Info and Liability'!$B$15+1,'General Info and Liability'!$D$17,""),"")</f>
        <v/>
      </c>
      <c r="T92" t="str">
        <f>IFERROR(IF($H91+1&lt;'General Info and Liability'!$B$15+1,'General Info and Liability'!$D$18,""),"")</f>
        <v/>
      </c>
      <c r="U92" t="str">
        <f>IFERROR(IF($H91+1&lt;'General Info and Liability'!$B$15+1,'General Info and Liability'!$D$19,""),"")</f>
        <v/>
      </c>
      <c r="V92" t="str">
        <f>IFERROR(IF($H91+1&lt;'General Info and Liability'!$B$15+1,'General Info and Liability'!$B$14,""),"")</f>
        <v/>
      </c>
      <c r="W92" t="str">
        <f>IFERROR(IF($H91+1&lt;'General Info and Liability'!$B$15+1,'General Info and Liability'!$D$20,""),"")</f>
        <v/>
      </c>
    </row>
    <row r="93" spans="8:23" ht="17.25" customHeight="1">
      <c r="H93" t="str">
        <f>IFERROR(IF(H92+1&lt;'General Info and Liability'!$B$15+1,'Property Schedule'!H92+1,""),"")</f>
        <v/>
      </c>
      <c r="J93" s="8"/>
      <c r="K93" s="7" t="str">
        <f>IFERROR(IF($H92+1&lt;'General Info and Liability'!$B$15+1,'General Info and Liability'!$B$18/'General Info and Liability'!$B$10*$L93,""),"")</f>
        <v/>
      </c>
      <c r="L93" s="8"/>
      <c r="M93" s="31" t="str">
        <f>IFERROR(IF($H92+1&lt;'General Info and Liability'!$B$15+1,'General Info and Liability'!$D$14/'General Info and Liability'!$B$10*$L93,""),"")</f>
        <v/>
      </c>
      <c r="N93" s="32" t="str">
        <f>IFERROR(IF($H92+1&lt;'General Info and Liability'!$B$15+1,'General Info and Liability'!$D$15/'General Info and Liability'!$B$10*$L93,""),"")</f>
        <v/>
      </c>
      <c r="O93" s="8"/>
      <c r="P93" s="8"/>
      <c r="Q93" t="str">
        <f>IFERROR(IF($H93+1&gt;0,'General Info and Liability'!$D$16,""),"")</f>
        <v/>
      </c>
      <c r="R93" t="str">
        <f>IFERROR(IF($H93+1&gt;0,'General Info and Liability'!$B$16,""),"")</f>
        <v/>
      </c>
      <c r="S93" t="str">
        <f>IFERROR(IF($H92+1&lt;'General Info and Liability'!$B$15+1,'General Info and Liability'!$D$17,""),"")</f>
        <v/>
      </c>
      <c r="T93" t="str">
        <f>IFERROR(IF($H92+1&lt;'General Info and Liability'!$B$15+1,'General Info and Liability'!$D$18,""),"")</f>
        <v/>
      </c>
      <c r="U93" t="str">
        <f>IFERROR(IF($H92+1&lt;'General Info and Liability'!$B$15+1,'General Info and Liability'!$D$19,""),"")</f>
        <v/>
      </c>
      <c r="V93" t="str">
        <f>IFERROR(IF($H92+1&lt;'General Info and Liability'!$B$15+1,'General Info and Liability'!$B$14,""),"")</f>
        <v/>
      </c>
      <c r="W93" t="str">
        <f>IFERROR(IF($H92+1&lt;'General Info and Liability'!$B$15+1,'General Info and Liability'!$D$20,""),"")</f>
        <v/>
      </c>
    </row>
    <row r="94" spans="8:23" ht="17.25" customHeight="1">
      <c r="H94" t="str">
        <f>IFERROR(IF(H93+1&lt;'General Info and Liability'!$B$15+1,'Property Schedule'!H93+1,""),"")</f>
        <v/>
      </c>
      <c r="J94" s="8"/>
      <c r="K94" s="7" t="str">
        <f>IFERROR(IF($H93+1&lt;'General Info and Liability'!$B$15+1,'General Info and Liability'!$B$18/'General Info and Liability'!$B$10*$L94,""),"")</f>
        <v/>
      </c>
      <c r="L94" s="8"/>
      <c r="M94" s="31" t="str">
        <f>IFERROR(IF($H93+1&lt;'General Info and Liability'!$B$15+1,'General Info and Liability'!$D$14/'General Info and Liability'!$B$10*$L94,""),"")</f>
        <v/>
      </c>
      <c r="N94" s="32" t="str">
        <f>IFERROR(IF($H93+1&lt;'General Info and Liability'!$B$15+1,'General Info and Liability'!$D$15/'General Info and Liability'!$B$10*$L94,""),"")</f>
        <v/>
      </c>
      <c r="O94" s="8"/>
      <c r="P94" s="8"/>
      <c r="Q94" t="str">
        <f>IFERROR(IF($H94+1&gt;0,'General Info and Liability'!$D$16,""),"")</f>
        <v/>
      </c>
      <c r="R94" t="str">
        <f>IFERROR(IF($H94+1&gt;0,'General Info and Liability'!$B$16,""),"")</f>
        <v/>
      </c>
      <c r="S94" t="str">
        <f>IFERROR(IF($H93+1&lt;'General Info and Liability'!$B$15+1,'General Info and Liability'!$D$17,""),"")</f>
        <v/>
      </c>
      <c r="T94" t="str">
        <f>IFERROR(IF($H93+1&lt;'General Info and Liability'!$B$15+1,'General Info and Liability'!$D$18,""),"")</f>
        <v/>
      </c>
      <c r="U94" t="str">
        <f>IFERROR(IF($H93+1&lt;'General Info and Liability'!$B$15+1,'General Info and Liability'!$D$19,""),"")</f>
        <v/>
      </c>
      <c r="V94" t="str">
        <f>IFERROR(IF($H93+1&lt;'General Info and Liability'!$B$15+1,'General Info and Liability'!$B$14,""),"")</f>
        <v/>
      </c>
      <c r="W94" t="str">
        <f>IFERROR(IF($H93+1&lt;'General Info and Liability'!$B$15+1,'General Info and Liability'!$D$20,""),"")</f>
        <v/>
      </c>
    </row>
    <row r="95" spans="8:23" ht="17.25" customHeight="1">
      <c r="H95" t="str">
        <f>IFERROR(IF(H94+1&lt;'General Info and Liability'!$B$15+1,'Property Schedule'!H94+1,""),"")</f>
        <v/>
      </c>
      <c r="J95" s="8"/>
      <c r="K95" s="7" t="str">
        <f>IFERROR(IF($H94+1&lt;'General Info and Liability'!$B$15+1,'General Info and Liability'!$B$18/'General Info and Liability'!$B$10*$L95,""),"")</f>
        <v/>
      </c>
      <c r="L95" s="8"/>
      <c r="M95" s="31" t="str">
        <f>IFERROR(IF($H94+1&lt;'General Info and Liability'!$B$15+1,'General Info and Liability'!$D$14/'General Info and Liability'!$B$10*$L95,""),"")</f>
        <v/>
      </c>
      <c r="N95" s="32" t="str">
        <f>IFERROR(IF($H94+1&lt;'General Info and Liability'!$B$15+1,'General Info and Liability'!$D$15/'General Info and Liability'!$B$10*$L95,""),"")</f>
        <v/>
      </c>
      <c r="O95" s="8"/>
      <c r="P95" s="8"/>
      <c r="Q95" t="str">
        <f>IFERROR(IF($H95+1&gt;0,'General Info and Liability'!$D$16,""),"")</f>
        <v/>
      </c>
      <c r="R95" t="str">
        <f>IFERROR(IF($H95+1&gt;0,'General Info and Liability'!$B$16,""),"")</f>
        <v/>
      </c>
      <c r="S95" t="str">
        <f>IFERROR(IF($H94+1&lt;'General Info and Liability'!$B$15+1,'General Info and Liability'!$D$17,""),"")</f>
        <v/>
      </c>
      <c r="T95" t="str">
        <f>IFERROR(IF($H94+1&lt;'General Info and Liability'!$B$15+1,'General Info and Liability'!$D$18,""),"")</f>
        <v/>
      </c>
      <c r="U95" t="str">
        <f>IFERROR(IF($H94+1&lt;'General Info and Liability'!$B$15+1,'General Info and Liability'!$D$19,""),"")</f>
        <v/>
      </c>
      <c r="V95" t="str">
        <f>IFERROR(IF($H94+1&lt;'General Info and Liability'!$B$15+1,'General Info and Liability'!$B$14,""),"")</f>
        <v/>
      </c>
      <c r="W95" t="str">
        <f>IFERROR(IF($H94+1&lt;'General Info and Liability'!$B$15+1,'General Info and Liability'!$D$20,""),"")</f>
        <v/>
      </c>
    </row>
    <row r="96" spans="8:23" ht="17.25" customHeight="1">
      <c r="H96" t="str">
        <f>IFERROR(IF(H95+1&lt;'General Info and Liability'!$B$15+1,'Property Schedule'!H95+1,""),"")</f>
        <v/>
      </c>
      <c r="J96" s="8"/>
      <c r="K96" s="7" t="str">
        <f>IFERROR(IF($H95+1&lt;'General Info and Liability'!$B$15+1,'General Info and Liability'!$B$18/'General Info and Liability'!$B$10*$L96,""),"")</f>
        <v/>
      </c>
      <c r="L96" s="8"/>
      <c r="M96" s="31" t="str">
        <f>IFERROR(IF($H95+1&lt;'General Info and Liability'!$B$15+1,'General Info and Liability'!$D$14/'General Info and Liability'!$B$10*$L96,""),"")</f>
        <v/>
      </c>
      <c r="N96" s="32" t="str">
        <f>IFERROR(IF($H95+1&lt;'General Info and Liability'!$B$15+1,'General Info and Liability'!$D$15/'General Info and Liability'!$B$10*$L96,""),"")</f>
        <v/>
      </c>
      <c r="O96" s="8"/>
      <c r="P96" s="8"/>
      <c r="Q96" t="str">
        <f>IFERROR(IF($H96+1&gt;0,'General Info and Liability'!$D$16,""),"")</f>
        <v/>
      </c>
      <c r="R96" t="str">
        <f>IFERROR(IF($H96+1&gt;0,'General Info and Liability'!$B$16,""),"")</f>
        <v/>
      </c>
      <c r="S96" t="str">
        <f>IFERROR(IF($H95+1&lt;'General Info and Liability'!$B$15+1,'General Info and Liability'!$D$17,""),"")</f>
        <v/>
      </c>
      <c r="T96" t="str">
        <f>IFERROR(IF($H95+1&lt;'General Info and Liability'!$B$15+1,'General Info and Liability'!$D$18,""),"")</f>
        <v/>
      </c>
      <c r="U96" t="str">
        <f>IFERROR(IF($H95+1&lt;'General Info and Liability'!$B$15+1,'General Info and Liability'!$D$19,""),"")</f>
        <v/>
      </c>
      <c r="V96" t="str">
        <f>IFERROR(IF($H95+1&lt;'General Info and Liability'!$B$15+1,'General Info and Liability'!$B$14,""),"")</f>
        <v/>
      </c>
      <c r="W96" t="str">
        <f>IFERROR(IF($H95+1&lt;'General Info and Liability'!$B$15+1,'General Info and Liability'!$D$20,""),"")</f>
        <v/>
      </c>
    </row>
    <row r="97" spans="8:23" ht="17.25" customHeight="1">
      <c r="H97" t="str">
        <f>IFERROR(IF(H96+1&lt;'General Info and Liability'!$B$15+1,'Property Schedule'!H96+1,""),"")</f>
        <v/>
      </c>
      <c r="J97" s="8"/>
      <c r="K97" s="7" t="str">
        <f>IFERROR(IF($H96+1&lt;'General Info and Liability'!$B$15+1,'General Info and Liability'!$B$18/'General Info and Liability'!$B$10*$L97,""),"")</f>
        <v/>
      </c>
      <c r="L97" s="8"/>
      <c r="M97" s="31" t="str">
        <f>IFERROR(IF($H96+1&lt;'General Info and Liability'!$B$15+1,'General Info and Liability'!$D$14/'General Info and Liability'!$B$10*$L97,""),"")</f>
        <v/>
      </c>
      <c r="N97" s="32" t="str">
        <f>IFERROR(IF($H96+1&lt;'General Info and Liability'!$B$15+1,'General Info and Liability'!$D$15/'General Info and Liability'!$B$10*$L97,""),"")</f>
        <v/>
      </c>
      <c r="O97" s="8"/>
      <c r="P97" s="8"/>
      <c r="Q97" t="str">
        <f>IFERROR(IF($H97+1&gt;0,'General Info and Liability'!$D$16,""),"")</f>
        <v/>
      </c>
      <c r="R97" t="str">
        <f>IFERROR(IF($H97+1&gt;0,'General Info and Liability'!$B$16,""),"")</f>
        <v/>
      </c>
      <c r="S97" t="str">
        <f>IFERROR(IF($H96+1&lt;'General Info and Liability'!$B$15+1,'General Info and Liability'!$D$17,""),"")</f>
        <v/>
      </c>
      <c r="T97" t="str">
        <f>IFERROR(IF($H96+1&lt;'General Info and Liability'!$B$15+1,'General Info and Liability'!$D$18,""),"")</f>
        <v/>
      </c>
      <c r="U97" t="str">
        <f>IFERROR(IF($H96+1&lt;'General Info and Liability'!$B$15+1,'General Info and Liability'!$D$19,""),"")</f>
        <v/>
      </c>
      <c r="V97" t="str">
        <f>IFERROR(IF($H96+1&lt;'General Info and Liability'!$B$15+1,'General Info and Liability'!$B$14,""),"")</f>
        <v/>
      </c>
      <c r="W97" t="str">
        <f>IFERROR(IF($H96+1&lt;'General Info and Liability'!$B$15+1,'General Info and Liability'!$D$20,""),"")</f>
        <v/>
      </c>
    </row>
    <row r="98" spans="8:23" ht="17.25" customHeight="1">
      <c r="H98" t="str">
        <f>IFERROR(IF(H97+1&lt;'General Info and Liability'!$B$15+1,'Property Schedule'!H97+1,""),"")</f>
        <v/>
      </c>
      <c r="J98" s="8"/>
      <c r="K98" s="7" t="str">
        <f>IFERROR(IF($H97+1&lt;'General Info and Liability'!$B$15+1,'General Info and Liability'!$B$18/'General Info and Liability'!$B$10*$L98,""),"")</f>
        <v/>
      </c>
      <c r="L98" s="8"/>
      <c r="M98" s="31" t="str">
        <f>IFERROR(IF($H97+1&lt;'General Info and Liability'!$B$15+1,'General Info and Liability'!$D$14/'General Info and Liability'!$B$10*$L98,""),"")</f>
        <v/>
      </c>
      <c r="N98" s="32" t="str">
        <f>IFERROR(IF($H97+1&lt;'General Info and Liability'!$B$15+1,'General Info and Liability'!$D$15/'General Info and Liability'!$B$10*$L98,""),"")</f>
        <v/>
      </c>
      <c r="O98" s="8"/>
      <c r="P98" s="8"/>
      <c r="Q98" t="str">
        <f>IFERROR(IF($H98+1&gt;0,'General Info and Liability'!$D$16,""),"")</f>
        <v/>
      </c>
      <c r="R98" t="str">
        <f>IFERROR(IF($H98+1&gt;0,'General Info and Liability'!$B$16,""),"")</f>
        <v/>
      </c>
      <c r="S98" t="str">
        <f>IFERROR(IF($H97+1&lt;'General Info and Liability'!$B$15+1,'General Info and Liability'!$D$17,""),"")</f>
        <v/>
      </c>
      <c r="T98" t="str">
        <f>IFERROR(IF($H97+1&lt;'General Info and Liability'!$B$15+1,'General Info and Liability'!$D$18,""),"")</f>
        <v/>
      </c>
      <c r="U98" t="str">
        <f>IFERROR(IF($H97+1&lt;'General Info and Liability'!$B$15+1,'General Info and Liability'!$D$19,""),"")</f>
        <v/>
      </c>
      <c r="V98" t="str">
        <f>IFERROR(IF($H97+1&lt;'General Info and Liability'!$B$15+1,'General Info and Liability'!$B$14,""),"")</f>
        <v/>
      </c>
      <c r="W98" t="str">
        <f>IFERROR(IF($H97+1&lt;'General Info and Liability'!$B$15+1,'General Info and Liability'!$D$20,""),"")</f>
        <v/>
      </c>
    </row>
    <row r="99" spans="8:23" ht="17.25" customHeight="1">
      <c r="H99" t="str">
        <f>IFERROR(IF(H98+1&lt;'General Info and Liability'!$B$15+1,'Property Schedule'!H98+1,""),"")</f>
        <v/>
      </c>
      <c r="J99" s="8"/>
      <c r="K99" s="7" t="str">
        <f>IFERROR(IF($H98+1&lt;'General Info and Liability'!$B$15+1,'General Info and Liability'!$B$18/'General Info and Liability'!$B$10*$L99,""),"")</f>
        <v/>
      </c>
      <c r="L99" s="8"/>
      <c r="M99" s="31" t="str">
        <f>IFERROR(IF($H98+1&lt;'General Info and Liability'!$B$15+1,'General Info and Liability'!$D$14/'General Info and Liability'!$B$10*$L99,""),"")</f>
        <v/>
      </c>
      <c r="N99" s="32" t="str">
        <f>IFERROR(IF($H98+1&lt;'General Info and Liability'!$B$15+1,'General Info and Liability'!$D$15/'General Info and Liability'!$B$10*$L99,""),"")</f>
        <v/>
      </c>
      <c r="O99" s="8"/>
      <c r="P99" s="8"/>
      <c r="Q99" t="str">
        <f>IFERROR(IF($H99+1&gt;0,'General Info and Liability'!$D$16,""),"")</f>
        <v/>
      </c>
      <c r="R99" t="str">
        <f>IFERROR(IF($H99+1&gt;0,'General Info and Liability'!$B$16,""),"")</f>
        <v/>
      </c>
      <c r="S99" t="str">
        <f>IFERROR(IF($H98+1&lt;'General Info and Liability'!$B$15+1,'General Info and Liability'!$D$17,""),"")</f>
        <v/>
      </c>
      <c r="T99" t="str">
        <f>IFERROR(IF($H98+1&lt;'General Info and Liability'!$B$15+1,'General Info and Liability'!$D$18,""),"")</f>
        <v/>
      </c>
      <c r="U99" t="str">
        <f>IFERROR(IF($H98+1&lt;'General Info and Liability'!$B$15+1,'General Info and Liability'!$D$19,""),"")</f>
        <v/>
      </c>
      <c r="V99" t="str">
        <f>IFERROR(IF($H98+1&lt;'General Info and Liability'!$B$15+1,'General Info and Liability'!$B$14,""),"")</f>
        <v/>
      </c>
      <c r="W99" t="str">
        <f>IFERROR(IF($H98+1&lt;'General Info and Liability'!$B$15+1,'General Info and Liability'!$D$20,""),"")</f>
        <v/>
      </c>
    </row>
    <row r="100" spans="8:23" ht="17.25" customHeight="1">
      <c r="H100" t="str">
        <f>IFERROR(IF(H99+1&lt;'General Info and Liability'!$B$15+1,'Property Schedule'!H99+1,""),"")</f>
        <v/>
      </c>
      <c r="J100" s="8"/>
      <c r="K100" s="7" t="str">
        <f>IFERROR(IF($H99+1&lt;'General Info and Liability'!$B$15+1,'General Info and Liability'!$B$18/'General Info and Liability'!$B$10*$L100,""),"")</f>
        <v/>
      </c>
      <c r="L100" s="8"/>
      <c r="M100" s="31" t="str">
        <f>IFERROR(IF($H99+1&lt;'General Info and Liability'!$B$15+1,'General Info and Liability'!$D$14/'General Info and Liability'!$B$10*$L100,""),"")</f>
        <v/>
      </c>
      <c r="N100" s="32" t="str">
        <f>IFERROR(IF($H99+1&lt;'General Info and Liability'!$B$15+1,'General Info and Liability'!$D$15/'General Info and Liability'!$B$10*$L100,""),"")</f>
        <v/>
      </c>
      <c r="O100" s="8"/>
      <c r="P100" s="8"/>
      <c r="Q100" t="str">
        <f>IFERROR(IF($H100+1&gt;0,'General Info and Liability'!$D$16,""),"")</f>
        <v/>
      </c>
      <c r="R100" t="str">
        <f>IFERROR(IF($H100+1&gt;0,'General Info and Liability'!$B$16,""),"")</f>
        <v/>
      </c>
      <c r="S100" t="str">
        <f>IFERROR(IF($H99+1&lt;'General Info and Liability'!$B$15+1,'General Info and Liability'!$D$17,""),"")</f>
        <v/>
      </c>
      <c r="T100" t="str">
        <f>IFERROR(IF($H99+1&lt;'General Info and Liability'!$B$15+1,'General Info and Liability'!$D$18,""),"")</f>
        <v/>
      </c>
      <c r="U100" t="str">
        <f>IFERROR(IF($H99+1&lt;'General Info and Liability'!$B$15+1,'General Info and Liability'!$D$19,""),"")</f>
        <v/>
      </c>
      <c r="V100" t="str">
        <f>IFERROR(IF($H99+1&lt;'General Info and Liability'!$B$15+1,'General Info and Liability'!$B$14,""),"")</f>
        <v/>
      </c>
      <c r="W100" t="str">
        <f>IFERROR(IF($H99+1&lt;'General Info and Liability'!$B$15+1,'General Info and Liability'!$D$20,""),"")</f>
        <v/>
      </c>
    </row>
    <row r="101" spans="8:23" ht="17.25" customHeight="1">
      <c r="H101" t="str">
        <f>IFERROR(IF(H100+1&lt;'General Info and Liability'!$B$15+1,'Property Schedule'!H100+1,""),"")</f>
        <v/>
      </c>
      <c r="J101" s="8"/>
      <c r="K101" s="7" t="str">
        <f>IFERROR(IF($H100+1&lt;'General Info and Liability'!$B$15+1,'General Info and Liability'!$B$18/'General Info and Liability'!$B$10*$L101,""),"")</f>
        <v/>
      </c>
      <c r="L101" s="8"/>
      <c r="M101" s="31" t="str">
        <f>IFERROR(IF($H100+1&lt;'General Info and Liability'!$B$15+1,'General Info and Liability'!$D$14/'General Info and Liability'!$B$10*$L101,""),"")</f>
        <v/>
      </c>
      <c r="N101" s="32" t="str">
        <f>IFERROR(IF($H100+1&lt;'General Info and Liability'!$B$15+1,'General Info and Liability'!$D$15/'General Info and Liability'!$B$10*$L101,""),"")</f>
        <v/>
      </c>
      <c r="O101" s="8"/>
      <c r="P101" s="8"/>
      <c r="Q101" t="str">
        <f>IFERROR(IF($H101+1&gt;0,'General Info and Liability'!$D$16,""),"")</f>
        <v/>
      </c>
      <c r="R101" t="str">
        <f>IFERROR(IF($H101+1&gt;0,'General Info and Liability'!$B$16,""),"")</f>
        <v/>
      </c>
      <c r="S101" t="str">
        <f>IFERROR(IF($H100+1&lt;'General Info and Liability'!$B$15+1,'General Info and Liability'!$D$17,""),"")</f>
        <v/>
      </c>
      <c r="T101" t="str">
        <f>IFERROR(IF($H100+1&lt;'General Info and Liability'!$B$15+1,'General Info and Liability'!$D$18,""),"")</f>
        <v/>
      </c>
      <c r="U101" t="str">
        <f>IFERROR(IF($H100+1&lt;'General Info and Liability'!$B$15+1,'General Info and Liability'!$D$19,""),"")</f>
        <v/>
      </c>
      <c r="V101" t="str">
        <f>IFERROR(IF($H100+1&lt;'General Info and Liability'!$B$15+1,'General Info and Liability'!$B$14,""),"")</f>
        <v/>
      </c>
      <c r="W101" t="str">
        <f>IFERROR(IF($H100+1&lt;'General Info and Liability'!$B$15+1,'General Info and Liability'!$D$20,""),"")</f>
        <v/>
      </c>
    </row>
    <row r="102" spans="8:23" ht="17.25" customHeight="1">
      <c r="H102" t="str">
        <f>IFERROR(IF(H101+1&lt;'General Info and Liability'!$B$15+1,'Property Schedule'!H101+1,""),"")</f>
        <v/>
      </c>
      <c r="J102" s="8"/>
      <c r="K102" s="7" t="str">
        <f>IFERROR(IF($H101+1&lt;'General Info and Liability'!$B$15+1,'General Info and Liability'!$B$18/'General Info and Liability'!$B$10*$L102,""),"")</f>
        <v/>
      </c>
      <c r="L102" s="8"/>
      <c r="M102" s="31" t="str">
        <f>IFERROR(IF($H101+1&lt;'General Info and Liability'!$B$15+1,'General Info and Liability'!$D$14/'General Info and Liability'!$B$10*$L102,""),"")</f>
        <v/>
      </c>
      <c r="N102" s="32" t="str">
        <f>IFERROR(IF($H101+1&lt;'General Info and Liability'!$B$15+1,'General Info and Liability'!$D$15/'General Info and Liability'!$B$10*$L102,""),"")</f>
        <v/>
      </c>
      <c r="O102" s="8"/>
      <c r="P102" s="8"/>
      <c r="Q102" t="str">
        <f>IFERROR(IF($H102+1&gt;0,'General Info and Liability'!$D$16,""),"")</f>
        <v/>
      </c>
      <c r="R102" t="str">
        <f>IFERROR(IF($H102+1&gt;0,'General Info and Liability'!$B$16,""),"")</f>
        <v/>
      </c>
      <c r="S102" t="str">
        <f>IFERROR(IF($H101+1&lt;'General Info and Liability'!$B$15+1,'General Info and Liability'!$D$17,""),"")</f>
        <v/>
      </c>
      <c r="T102" t="str">
        <f>IFERROR(IF($H101+1&lt;'General Info and Liability'!$B$15+1,'General Info and Liability'!$D$18,""),"")</f>
        <v/>
      </c>
      <c r="U102" t="str">
        <f>IFERROR(IF($H101+1&lt;'General Info and Liability'!$B$15+1,'General Info and Liability'!$D$19,""),"")</f>
        <v/>
      </c>
      <c r="V102" t="str">
        <f>IFERROR(IF($H101+1&lt;'General Info and Liability'!$B$15+1,'General Info and Liability'!$B$14,""),"")</f>
        <v/>
      </c>
      <c r="W102" t="str">
        <f>IFERROR(IF($H101+1&lt;'General Info and Liability'!$B$15+1,'General Info and Liability'!$D$20,""),"")</f>
        <v/>
      </c>
    </row>
    <row r="103" spans="8:23" ht="17.25" customHeight="1">
      <c r="H103" t="str">
        <f>IFERROR(IF(H102+1&lt;'General Info and Liability'!$B$15+1,'Property Schedule'!H102+1,""),"")</f>
        <v/>
      </c>
      <c r="J103" s="8"/>
      <c r="K103" s="7" t="str">
        <f>IFERROR(IF($H102+1&lt;'General Info and Liability'!$B$15+1,'General Info and Liability'!$B$18/'General Info and Liability'!$B$10*$L103,""),"")</f>
        <v/>
      </c>
      <c r="L103" s="8"/>
      <c r="M103" s="31" t="str">
        <f>IFERROR(IF($H102+1&lt;'General Info and Liability'!$B$15+1,'General Info and Liability'!$D$14/'General Info and Liability'!$B$10*$L103,""),"")</f>
        <v/>
      </c>
      <c r="N103" s="32" t="str">
        <f>IFERROR(IF($H102+1&lt;'General Info and Liability'!$B$15+1,'General Info and Liability'!$D$15/'General Info and Liability'!$B$10*$L103,""),"")</f>
        <v/>
      </c>
      <c r="O103" s="8"/>
      <c r="P103" s="8"/>
      <c r="Q103" t="str">
        <f>IFERROR(IF($H103+1&gt;0,'General Info and Liability'!$D$16,""),"")</f>
        <v/>
      </c>
      <c r="R103" t="str">
        <f>IFERROR(IF($H103+1&gt;0,'General Info and Liability'!$B$16,""),"")</f>
        <v/>
      </c>
      <c r="S103" t="str">
        <f>IFERROR(IF($H102+1&lt;'General Info and Liability'!$B$15+1,'General Info and Liability'!$D$17,""),"")</f>
        <v/>
      </c>
      <c r="T103" t="str">
        <f>IFERROR(IF($H102+1&lt;'General Info and Liability'!$B$15+1,'General Info and Liability'!$D$18,""),"")</f>
        <v/>
      </c>
      <c r="U103" t="str">
        <f>IFERROR(IF($H102+1&lt;'General Info and Liability'!$B$15+1,'General Info and Liability'!$D$19,""),"")</f>
        <v/>
      </c>
      <c r="V103" t="str">
        <f>IFERROR(IF($H102+1&lt;'General Info and Liability'!$B$15+1,'General Info and Liability'!$B$14,""),"")</f>
        <v/>
      </c>
      <c r="W103" t="str">
        <f>IFERROR(IF($H102+1&lt;'General Info and Liability'!$B$15+1,'General Info and Liability'!$D$20,""),"")</f>
        <v/>
      </c>
    </row>
    <row r="104" spans="8:23" ht="17.25" customHeight="1">
      <c r="H104" t="str">
        <f>IFERROR(IF(H103+1&lt;'General Info and Liability'!$B$15+1,'Property Schedule'!H103+1,""),"")</f>
        <v/>
      </c>
      <c r="J104" s="8"/>
      <c r="K104" s="7" t="str">
        <f>IFERROR(IF($H103+1&lt;'General Info and Liability'!$B$15+1,'General Info and Liability'!$B$18/'General Info and Liability'!$B$10*$L104,""),"")</f>
        <v/>
      </c>
      <c r="L104" s="8"/>
      <c r="M104" s="31" t="str">
        <f>IFERROR(IF($H103+1&lt;'General Info and Liability'!$B$15+1,'General Info and Liability'!$D$14/'General Info and Liability'!$B$10*$L104,""),"")</f>
        <v/>
      </c>
      <c r="N104" s="32" t="str">
        <f>IFERROR(IF($H103+1&lt;'General Info and Liability'!$B$15+1,'General Info and Liability'!$D$15/'General Info and Liability'!$B$10*$L104,""),"")</f>
        <v/>
      </c>
      <c r="O104" s="8"/>
      <c r="P104" s="8"/>
      <c r="Q104" t="str">
        <f>IFERROR(IF($H104+1&gt;0,'General Info and Liability'!$D$16,""),"")</f>
        <v/>
      </c>
      <c r="R104" t="str">
        <f>IFERROR(IF($H104+1&gt;0,'General Info and Liability'!$B$16,""),"")</f>
        <v/>
      </c>
      <c r="S104" t="str">
        <f>IFERROR(IF($H103+1&lt;'General Info and Liability'!$B$15+1,'General Info and Liability'!$D$17,""),"")</f>
        <v/>
      </c>
      <c r="T104" t="str">
        <f>IFERROR(IF($H103+1&lt;'General Info and Liability'!$B$15+1,'General Info and Liability'!$D$18,""),"")</f>
        <v/>
      </c>
      <c r="U104" t="str">
        <f>IFERROR(IF($H103+1&lt;'General Info and Liability'!$B$15+1,'General Info and Liability'!$D$19,""),"")</f>
        <v/>
      </c>
      <c r="V104" t="str">
        <f>IFERROR(IF($H103+1&lt;'General Info and Liability'!$B$15+1,'General Info and Liability'!$B$14,""),"")</f>
        <v/>
      </c>
      <c r="W104" t="str">
        <f>IFERROR(IF($H103+1&lt;'General Info and Liability'!$B$15+1,'General Info and Liability'!$D$20,""),"")</f>
        <v/>
      </c>
    </row>
    <row r="105" spans="8:23" ht="17.25" customHeight="1">
      <c r="H105" t="str">
        <f>IFERROR(IF(H104+1&lt;'General Info and Liability'!$B$15+1,'Property Schedule'!H104+1,""),"")</f>
        <v/>
      </c>
      <c r="J105" s="8"/>
      <c r="K105" s="7" t="str">
        <f>IFERROR(IF($H104+1&lt;'General Info and Liability'!$B$15+1,'General Info and Liability'!$B$18/'General Info and Liability'!$B$10*$L105,""),"")</f>
        <v/>
      </c>
      <c r="L105" s="8"/>
      <c r="M105" s="31" t="str">
        <f>IFERROR(IF($H104+1&lt;'General Info and Liability'!$B$15+1,'General Info and Liability'!$D$14/'General Info and Liability'!$B$10*$L105,""),"")</f>
        <v/>
      </c>
      <c r="N105" s="32" t="str">
        <f>IFERROR(IF($H104+1&lt;'General Info and Liability'!$B$15+1,'General Info and Liability'!$D$15/'General Info and Liability'!$B$10*$L105,""),"")</f>
        <v/>
      </c>
      <c r="O105" s="8"/>
      <c r="P105" s="8"/>
      <c r="Q105" t="str">
        <f>IFERROR(IF($H105+1&gt;0,'General Info and Liability'!$D$16,""),"")</f>
        <v/>
      </c>
      <c r="R105" t="str">
        <f>IFERROR(IF($H105+1&gt;0,'General Info and Liability'!$B$16,""),"")</f>
        <v/>
      </c>
      <c r="S105" t="str">
        <f>IFERROR(IF($H104+1&lt;'General Info and Liability'!$B$15+1,'General Info and Liability'!$D$17,""),"")</f>
        <v/>
      </c>
      <c r="T105" t="str">
        <f>IFERROR(IF($H104+1&lt;'General Info and Liability'!$B$15+1,'General Info and Liability'!$D$18,""),"")</f>
        <v/>
      </c>
      <c r="U105" t="str">
        <f>IFERROR(IF($H104+1&lt;'General Info and Liability'!$B$15+1,'General Info and Liability'!$D$19,""),"")</f>
        <v/>
      </c>
      <c r="V105" t="str">
        <f>IFERROR(IF($H104+1&lt;'General Info and Liability'!$B$15+1,'General Info and Liability'!$B$14,""),"")</f>
        <v/>
      </c>
      <c r="W105" t="str">
        <f>IFERROR(IF($H104+1&lt;'General Info and Liability'!$B$15+1,'General Info and Liability'!$D$20,""),"")</f>
        <v/>
      </c>
    </row>
    <row r="106" spans="8:23" ht="17.25" customHeight="1">
      <c r="H106" t="str">
        <f>IFERROR(IF(H105+1&lt;'General Info and Liability'!$B$15+1,'Property Schedule'!H105+1,""),"")</f>
        <v/>
      </c>
      <c r="J106" s="8"/>
      <c r="K106" s="7" t="str">
        <f>IFERROR(IF($H105+1&lt;'General Info and Liability'!$B$15+1,'General Info and Liability'!$B$18/'General Info and Liability'!$B$10*$L106,""),"")</f>
        <v/>
      </c>
      <c r="L106" s="8"/>
      <c r="M106" s="31" t="str">
        <f>IFERROR(IF($H105+1&lt;'General Info and Liability'!$B$15+1,'General Info and Liability'!$D$14/'General Info and Liability'!$B$10*$L106,""),"")</f>
        <v/>
      </c>
      <c r="N106" s="32" t="str">
        <f>IFERROR(IF($H105+1&lt;'General Info and Liability'!$B$15+1,'General Info and Liability'!$D$15/'General Info and Liability'!$B$10*$L106,""),"")</f>
        <v/>
      </c>
      <c r="O106" s="8"/>
      <c r="P106" s="8"/>
      <c r="Q106" t="str">
        <f>IFERROR(IF($H106+1&gt;0,'General Info and Liability'!$D$16,""),"")</f>
        <v/>
      </c>
      <c r="R106" t="str">
        <f>IFERROR(IF($H106+1&gt;0,'General Info and Liability'!$B$16,""),"")</f>
        <v/>
      </c>
      <c r="S106" t="str">
        <f>IFERROR(IF($H105+1&lt;'General Info and Liability'!$B$15+1,'General Info and Liability'!$D$17,""),"")</f>
        <v/>
      </c>
      <c r="T106" t="str">
        <f>IFERROR(IF($H105+1&lt;'General Info and Liability'!$B$15+1,'General Info and Liability'!$D$18,""),"")</f>
        <v/>
      </c>
      <c r="U106" t="str">
        <f>IFERROR(IF($H105+1&lt;'General Info and Liability'!$B$15+1,'General Info and Liability'!$D$19,""),"")</f>
        <v/>
      </c>
      <c r="V106" t="str">
        <f>IFERROR(IF($H105+1&lt;'General Info and Liability'!$B$15+1,'General Info and Liability'!$B$14,""),"")</f>
        <v/>
      </c>
      <c r="W106" t="str">
        <f>IFERROR(IF($H105+1&lt;'General Info and Liability'!$B$15+1,'General Info and Liability'!$D$20,""),"")</f>
        <v/>
      </c>
    </row>
    <row r="107" spans="8:23" ht="17.25" customHeight="1">
      <c r="H107" t="str">
        <f>IFERROR(IF(H106+1&lt;'General Info and Liability'!$B$15+1,'Property Schedule'!H106+1,""),"")</f>
        <v/>
      </c>
      <c r="J107" s="8"/>
      <c r="K107" s="7" t="str">
        <f>IFERROR(IF($H106+1&lt;'General Info and Liability'!$B$15+1,'General Info and Liability'!$B$18/'General Info and Liability'!$B$10*$L107,""),"")</f>
        <v/>
      </c>
      <c r="L107" s="8"/>
      <c r="M107" s="31" t="str">
        <f>IFERROR(IF($H106+1&lt;'General Info and Liability'!$B$15+1,'General Info and Liability'!$D$14/'General Info and Liability'!$B$10*$L107,""),"")</f>
        <v/>
      </c>
      <c r="N107" s="32" t="str">
        <f>IFERROR(IF($H106+1&lt;'General Info and Liability'!$B$15+1,'General Info and Liability'!$D$15/'General Info and Liability'!$B$10*$L107,""),"")</f>
        <v/>
      </c>
      <c r="O107" s="8"/>
      <c r="P107" s="8"/>
      <c r="Q107" t="str">
        <f>IFERROR(IF($H107+1&gt;0,'General Info and Liability'!$D$16,""),"")</f>
        <v/>
      </c>
      <c r="R107" t="str">
        <f>IFERROR(IF($H107+1&gt;0,'General Info and Liability'!$B$16,""),"")</f>
        <v/>
      </c>
      <c r="S107" t="str">
        <f>IFERROR(IF($H106+1&lt;'General Info and Liability'!$B$15+1,'General Info and Liability'!$D$17,""),"")</f>
        <v/>
      </c>
      <c r="T107" t="str">
        <f>IFERROR(IF($H106+1&lt;'General Info and Liability'!$B$15+1,'General Info and Liability'!$D$18,""),"")</f>
        <v/>
      </c>
      <c r="U107" t="str">
        <f>IFERROR(IF($H106+1&lt;'General Info and Liability'!$B$15+1,'General Info and Liability'!$D$19,""),"")</f>
        <v/>
      </c>
      <c r="V107" t="str">
        <f>IFERROR(IF($H106+1&lt;'General Info and Liability'!$B$15+1,'General Info and Liability'!$B$14,""),"")</f>
        <v/>
      </c>
      <c r="W107" t="str">
        <f>IFERROR(IF($H106+1&lt;'General Info and Liability'!$B$15+1,'General Info and Liability'!$D$20,""),"")</f>
        <v/>
      </c>
    </row>
    <row r="108" spans="8:23" ht="17.25" customHeight="1">
      <c r="H108" t="str">
        <f>IFERROR(IF(H107+1&lt;'General Info and Liability'!$B$15+1,'Property Schedule'!H107+1,""),"")</f>
        <v/>
      </c>
      <c r="J108" s="8"/>
      <c r="K108" s="7" t="str">
        <f>IFERROR(IF($H107+1&lt;'General Info and Liability'!$B$15+1,'General Info and Liability'!$B$18/'General Info and Liability'!$B$10*$L108,""),"")</f>
        <v/>
      </c>
      <c r="L108" s="8"/>
      <c r="M108" s="31" t="str">
        <f>IFERROR(IF($H107+1&lt;'General Info and Liability'!$B$15+1,'General Info and Liability'!$D$14/'General Info and Liability'!$B$10*$L108,""),"")</f>
        <v/>
      </c>
      <c r="N108" s="32" t="str">
        <f>IFERROR(IF($H107+1&lt;'General Info and Liability'!$B$15+1,'General Info and Liability'!$D$15/'General Info and Liability'!$B$10*$L108,""),"")</f>
        <v/>
      </c>
      <c r="O108" s="8"/>
      <c r="P108" s="8"/>
      <c r="Q108" t="str">
        <f>IFERROR(IF($H108+1&gt;0,'General Info and Liability'!$D$16,""),"")</f>
        <v/>
      </c>
      <c r="R108" t="str">
        <f>IFERROR(IF($H108+1&gt;0,'General Info and Liability'!$B$16,""),"")</f>
        <v/>
      </c>
      <c r="S108" t="str">
        <f>IFERROR(IF($H107+1&lt;'General Info and Liability'!$B$15+1,'General Info and Liability'!$D$17,""),"")</f>
        <v/>
      </c>
      <c r="T108" t="str">
        <f>IFERROR(IF($H107+1&lt;'General Info and Liability'!$B$15+1,'General Info and Liability'!$D$18,""),"")</f>
        <v/>
      </c>
      <c r="U108" t="str">
        <f>IFERROR(IF($H107+1&lt;'General Info and Liability'!$B$15+1,'General Info and Liability'!$D$19,""),"")</f>
        <v/>
      </c>
      <c r="V108" t="str">
        <f>IFERROR(IF($H107+1&lt;'General Info and Liability'!$B$15+1,'General Info and Liability'!$B$14,""),"")</f>
        <v/>
      </c>
      <c r="W108" t="str">
        <f>IFERROR(IF($H107+1&lt;'General Info and Liability'!$B$15+1,'General Info and Liability'!$D$20,""),"")</f>
        <v/>
      </c>
    </row>
    <row r="109" spans="8:23" ht="17.25" customHeight="1">
      <c r="H109" t="str">
        <f>IFERROR(IF(H108+1&lt;'General Info and Liability'!$B$15+1,'Property Schedule'!H108+1,""),"")</f>
        <v/>
      </c>
      <c r="J109" s="8"/>
      <c r="K109" s="7" t="str">
        <f>IFERROR(IF($H108+1&lt;'General Info and Liability'!$B$15+1,'General Info and Liability'!$B$18/'General Info and Liability'!$B$10*$L109,""),"")</f>
        <v/>
      </c>
      <c r="L109" s="8"/>
      <c r="M109" s="31" t="str">
        <f>IFERROR(IF($H108+1&lt;'General Info and Liability'!$B$15+1,'General Info and Liability'!$D$14/'General Info and Liability'!$B$10*$L109,""),"")</f>
        <v/>
      </c>
      <c r="N109" s="32" t="str">
        <f>IFERROR(IF($H108+1&lt;'General Info and Liability'!$B$15+1,'General Info and Liability'!$D$15/'General Info and Liability'!$B$10*$L109,""),"")</f>
        <v/>
      </c>
      <c r="O109" s="8"/>
      <c r="P109" s="8"/>
      <c r="Q109" t="str">
        <f>IFERROR(IF($H109+1&gt;0,'General Info and Liability'!$D$16,""),"")</f>
        <v/>
      </c>
      <c r="R109" t="str">
        <f>IFERROR(IF($H109+1&gt;0,'General Info and Liability'!$B$16,""),"")</f>
        <v/>
      </c>
      <c r="S109" t="str">
        <f>IFERROR(IF($H108+1&lt;'General Info and Liability'!$B$15+1,'General Info and Liability'!$D$17,""),"")</f>
        <v/>
      </c>
      <c r="T109" t="str">
        <f>IFERROR(IF($H108+1&lt;'General Info and Liability'!$B$15+1,'General Info and Liability'!$D$18,""),"")</f>
        <v/>
      </c>
      <c r="U109" t="str">
        <f>IFERROR(IF($H108+1&lt;'General Info and Liability'!$B$15+1,'General Info and Liability'!$D$19,""),"")</f>
        <v/>
      </c>
      <c r="V109" t="str">
        <f>IFERROR(IF($H108+1&lt;'General Info and Liability'!$B$15+1,'General Info and Liability'!$B$14,""),"")</f>
        <v/>
      </c>
      <c r="W109" t="str">
        <f>IFERROR(IF($H108+1&lt;'General Info and Liability'!$B$15+1,'General Info and Liability'!$D$20,""),"")</f>
        <v/>
      </c>
    </row>
    <row r="110" spans="8:23" ht="17.25" customHeight="1">
      <c r="H110" t="str">
        <f>IFERROR(IF(H109+1&lt;'General Info and Liability'!$B$15+1,'Property Schedule'!H109+1,""),"")</f>
        <v/>
      </c>
      <c r="J110" s="8"/>
      <c r="K110" s="7" t="str">
        <f>IFERROR(IF($H109+1&lt;'General Info and Liability'!$B$15+1,'General Info and Liability'!$B$18/'General Info and Liability'!$B$10*$L110,""),"")</f>
        <v/>
      </c>
      <c r="L110" s="8"/>
      <c r="M110" s="31" t="str">
        <f>IFERROR(IF($H109+1&lt;'General Info and Liability'!$B$15+1,'General Info and Liability'!$D$14/'General Info and Liability'!$B$10*$L110,""),"")</f>
        <v/>
      </c>
      <c r="N110" s="32" t="str">
        <f>IFERROR(IF($H109+1&lt;'General Info and Liability'!$B$15+1,'General Info and Liability'!$D$15/'General Info and Liability'!$B$10*$L110,""),"")</f>
        <v/>
      </c>
      <c r="O110" s="8"/>
      <c r="P110" s="8"/>
      <c r="Q110" t="str">
        <f>IFERROR(IF($H110+1&gt;0,'General Info and Liability'!$D$16,""),"")</f>
        <v/>
      </c>
      <c r="R110" t="str">
        <f>IFERROR(IF($H110+1&gt;0,'General Info and Liability'!$B$16,""),"")</f>
        <v/>
      </c>
      <c r="S110" t="str">
        <f>IFERROR(IF($H109+1&lt;'General Info and Liability'!$B$15+1,'General Info and Liability'!$D$17,""),"")</f>
        <v/>
      </c>
      <c r="T110" t="str">
        <f>IFERROR(IF($H109+1&lt;'General Info and Liability'!$B$15+1,'General Info and Liability'!$D$18,""),"")</f>
        <v/>
      </c>
      <c r="U110" t="str">
        <f>IFERROR(IF($H109+1&lt;'General Info and Liability'!$B$15+1,'General Info and Liability'!$D$19,""),"")</f>
        <v/>
      </c>
      <c r="V110" t="str">
        <f>IFERROR(IF($H109+1&lt;'General Info and Liability'!$B$15+1,'General Info and Liability'!$B$14,""),"")</f>
        <v/>
      </c>
      <c r="W110" t="str">
        <f>IFERROR(IF($H109+1&lt;'General Info and Liability'!$B$15+1,'General Info and Liability'!$D$20,""),"")</f>
        <v/>
      </c>
    </row>
    <row r="111" spans="8:23" ht="17.25" customHeight="1">
      <c r="H111" t="str">
        <f>IFERROR(IF(H110+1&lt;'General Info and Liability'!$B$15+1,'Property Schedule'!H110+1,""),"")</f>
        <v/>
      </c>
      <c r="J111" s="8"/>
      <c r="K111" s="7" t="str">
        <f>IFERROR(IF($H110+1&lt;'General Info and Liability'!$B$15+1,'General Info and Liability'!$B$18/'General Info and Liability'!$B$10*$L111,""),"")</f>
        <v/>
      </c>
      <c r="L111" s="8"/>
      <c r="M111" s="31" t="str">
        <f>IFERROR(IF($H110+1&lt;'General Info and Liability'!$B$15+1,'General Info and Liability'!$D$14/'General Info and Liability'!$B$10*$L111,""),"")</f>
        <v/>
      </c>
      <c r="N111" s="32" t="str">
        <f>IFERROR(IF($H110+1&lt;'General Info and Liability'!$B$15+1,'General Info and Liability'!$D$15/'General Info and Liability'!$B$10*$L111,""),"")</f>
        <v/>
      </c>
      <c r="O111" s="8"/>
      <c r="P111" s="8"/>
      <c r="Q111" t="str">
        <f>IFERROR(IF($H111+1&gt;0,'General Info and Liability'!$D$16,""),"")</f>
        <v/>
      </c>
      <c r="R111" t="str">
        <f>IFERROR(IF($H111+1&gt;0,'General Info and Liability'!$B$16,""),"")</f>
        <v/>
      </c>
      <c r="S111" t="str">
        <f>IFERROR(IF($H110+1&lt;'General Info and Liability'!$B$15+1,'General Info and Liability'!$D$17,""),"")</f>
        <v/>
      </c>
      <c r="T111" t="str">
        <f>IFERROR(IF($H110+1&lt;'General Info and Liability'!$B$15+1,'General Info and Liability'!$D$18,""),"")</f>
        <v/>
      </c>
      <c r="U111" t="str">
        <f>IFERROR(IF($H110+1&lt;'General Info and Liability'!$B$15+1,'General Info and Liability'!$D$19,""),"")</f>
        <v/>
      </c>
      <c r="V111" t="str">
        <f>IFERROR(IF($H110+1&lt;'General Info and Liability'!$B$15+1,'General Info and Liability'!$B$14,""),"")</f>
        <v/>
      </c>
      <c r="W111" t="str">
        <f>IFERROR(IF($H110+1&lt;'General Info and Liability'!$B$15+1,'General Info and Liability'!$D$20,""),"")</f>
        <v/>
      </c>
    </row>
    <row r="112" spans="8:23" ht="17.25" customHeight="1">
      <c r="H112" t="str">
        <f>IFERROR(IF(H111+1&lt;'General Info and Liability'!$B$15+1,'Property Schedule'!H111+1,""),"")</f>
        <v/>
      </c>
      <c r="J112" s="8"/>
      <c r="K112" s="7" t="str">
        <f>IFERROR(IF($H111+1&lt;'General Info and Liability'!$B$15+1,'General Info and Liability'!$B$18/'General Info and Liability'!$B$10*$L112,""),"")</f>
        <v/>
      </c>
      <c r="L112" s="8"/>
      <c r="M112" s="31" t="str">
        <f>IFERROR(IF($H111+1&lt;'General Info and Liability'!$B$15+1,'General Info and Liability'!$D$14/'General Info and Liability'!$B$10*$L112,""),"")</f>
        <v/>
      </c>
      <c r="N112" s="32" t="str">
        <f>IFERROR(IF($H111+1&lt;'General Info and Liability'!$B$15+1,'General Info and Liability'!$D$15/'General Info and Liability'!$B$10*$L112,""),"")</f>
        <v/>
      </c>
      <c r="O112" s="8"/>
      <c r="P112" s="8"/>
      <c r="Q112" t="str">
        <f>IFERROR(IF($H112+1&gt;0,'General Info and Liability'!$D$16,""),"")</f>
        <v/>
      </c>
      <c r="R112" t="str">
        <f>IFERROR(IF($H112+1&gt;0,'General Info and Liability'!$B$16,""),"")</f>
        <v/>
      </c>
      <c r="S112" t="str">
        <f>IFERROR(IF($H111+1&lt;'General Info and Liability'!$B$15+1,'General Info and Liability'!$D$17,""),"")</f>
        <v/>
      </c>
      <c r="T112" t="str">
        <f>IFERROR(IF($H111+1&lt;'General Info and Liability'!$B$15+1,'General Info and Liability'!$D$18,""),"")</f>
        <v/>
      </c>
      <c r="U112" t="str">
        <f>IFERROR(IF($H111+1&lt;'General Info and Liability'!$B$15+1,'General Info and Liability'!$D$19,""),"")</f>
        <v/>
      </c>
      <c r="V112" t="str">
        <f>IFERROR(IF($H111+1&lt;'General Info and Liability'!$B$15+1,'General Info and Liability'!$B$14,""),"")</f>
        <v/>
      </c>
      <c r="W112" t="str">
        <f>IFERROR(IF($H111+1&lt;'General Info and Liability'!$B$15+1,'General Info and Liability'!$D$20,""),"")</f>
        <v/>
      </c>
    </row>
    <row r="113" spans="8:23" ht="17.25" customHeight="1">
      <c r="H113" t="str">
        <f>IFERROR(IF(H112+1&lt;'General Info and Liability'!$B$15+1,'Property Schedule'!H112+1,""),"")</f>
        <v/>
      </c>
      <c r="J113" s="8"/>
      <c r="K113" s="7" t="str">
        <f>IFERROR(IF($H112+1&lt;'General Info and Liability'!$B$15+1,'General Info and Liability'!$B$18/'General Info and Liability'!$B$10*$L113,""),"")</f>
        <v/>
      </c>
      <c r="L113" s="8"/>
      <c r="M113" s="31" t="str">
        <f>IFERROR(IF($H112+1&lt;'General Info and Liability'!$B$15+1,'General Info and Liability'!$D$14/'General Info and Liability'!$B$10*$L113,""),"")</f>
        <v/>
      </c>
      <c r="N113" s="32" t="str">
        <f>IFERROR(IF($H112+1&lt;'General Info and Liability'!$B$15+1,'General Info and Liability'!$D$15/'General Info and Liability'!$B$10*$L113,""),"")</f>
        <v/>
      </c>
      <c r="O113" s="8"/>
      <c r="P113" s="8"/>
      <c r="Q113" t="str">
        <f>IFERROR(IF($H113+1&gt;0,'General Info and Liability'!$D$16,""),"")</f>
        <v/>
      </c>
      <c r="R113" t="str">
        <f>IFERROR(IF($H113+1&gt;0,'General Info and Liability'!$B$16,""),"")</f>
        <v/>
      </c>
      <c r="S113" t="str">
        <f>IFERROR(IF($H112+1&lt;'General Info and Liability'!$B$15+1,'General Info and Liability'!$D$17,""),"")</f>
        <v/>
      </c>
      <c r="T113" t="str">
        <f>IFERROR(IF($H112+1&lt;'General Info and Liability'!$B$15+1,'General Info and Liability'!$D$18,""),"")</f>
        <v/>
      </c>
      <c r="U113" t="str">
        <f>IFERROR(IF($H112+1&lt;'General Info and Liability'!$B$15+1,'General Info and Liability'!$D$19,""),"")</f>
        <v/>
      </c>
      <c r="V113" t="str">
        <f>IFERROR(IF($H112+1&lt;'General Info and Liability'!$B$15+1,'General Info and Liability'!$B$14,""),"")</f>
        <v/>
      </c>
      <c r="W113" t="str">
        <f>IFERROR(IF($H112+1&lt;'General Info and Liability'!$B$15+1,'General Info and Liability'!$D$20,""),"")</f>
        <v/>
      </c>
    </row>
    <row r="114" spans="8:23" ht="17.25" customHeight="1">
      <c r="H114" t="str">
        <f>IFERROR(IF(H113+1&lt;'General Info and Liability'!$B$15+1,'Property Schedule'!H113+1,""),"")</f>
        <v/>
      </c>
      <c r="J114" s="8"/>
      <c r="K114" s="7" t="str">
        <f>IFERROR(IF($H113+1&lt;'General Info and Liability'!$B$15+1,'General Info and Liability'!$B$18/'General Info and Liability'!$B$10*$L114,""),"")</f>
        <v/>
      </c>
      <c r="L114" s="8"/>
      <c r="M114" s="31" t="str">
        <f>IFERROR(IF($H113+1&lt;'General Info and Liability'!$B$15+1,'General Info and Liability'!$D$14/'General Info and Liability'!$B$10*$L114,""),"")</f>
        <v/>
      </c>
      <c r="N114" s="32" t="str">
        <f>IFERROR(IF($H113+1&lt;'General Info and Liability'!$B$15+1,'General Info and Liability'!$D$15/'General Info and Liability'!$B$10*$L114,""),"")</f>
        <v/>
      </c>
      <c r="O114" s="8"/>
      <c r="P114" s="8"/>
      <c r="Q114" t="str">
        <f>IFERROR(IF($H114+1&gt;0,'General Info and Liability'!$D$16,""),"")</f>
        <v/>
      </c>
      <c r="R114" t="str">
        <f>IFERROR(IF($H114+1&gt;0,'General Info and Liability'!$B$16,""),"")</f>
        <v/>
      </c>
      <c r="S114" t="str">
        <f>IFERROR(IF($H113+1&lt;'General Info and Liability'!$B$15+1,'General Info and Liability'!$D$17,""),"")</f>
        <v/>
      </c>
      <c r="T114" t="str">
        <f>IFERROR(IF($H113+1&lt;'General Info and Liability'!$B$15+1,'General Info and Liability'!$D$18,""),"")</f>
        <v/>
      </c>
      <c r="U114" t="str">
        <f>IFERROR(IF($H113+1&lt;'General Info and Liability'!$B$15+1,'General Info and Liability'!$D$19,""),"")</f>
        <v/>
      </c>
      <c r="V114" t="str">
        <f>IFERROR(IF($H113+1&lt;'General Info and Liability'!$B$15+1,'General Info and Liability'!$B$14,""),"")</f>
        <v/>
      </c>
      <c r="W114" t="str">
        <f>IFERROR(IF($H113+1&lt;'General Info and Liability'!$B$15+1,'General Info and Liability'!$D$20,""),"")</f>
        <v/>
      </c>
    </row>
    <row r="115" spans="8:23" ht="17.25" customHeight="1">
      <c r="H115" t="str">
        <f>IFERROR(IF(H114+1&lt;'General Info and Liability'!$B$15+1,'Property Schedule'!H114+1,""),"")</f>
        <v/>
      </c>
      <c r="J115" s="8"/>
      <c r="K115" s="7" t="str">
        <f>IFERROR(IF($H114+1&lt;'General Info and Liability'!$B$15+1,'General Info and Liability'!$B$18/'General Info and Liability'!$B$10*$L115,""),"")</f>
        <v/>
      </c>
      <c r="L115" s="8"/>
      <c r="M115" s="31" t="str">
        <f>IFERROR(IF($H114+1&lt;'General Info and Liability'!$B$15+1,'General Info and Liability'!$D$14/'General Info and Liability'!$B$10*$L115,""),"")</f>
        <v/>
      </c>
      <c r="N115" s="32" t="str">
        <f>IFERROR(IF($H114+1&lt;'General Info and Liability'!$B$15+1,'General Info and Liability'!$D$15/'General Info and Liability'!$B$10*$L115,""),"")</f>
        <v/>
      </c>
      <c r="O115" s="8"/>
      <c r="P115" s="8"/>
      <c r="Q115" t="str">
        <f>IFERROR(IF($H115+1&gt;0,'General Info and Liability'!$D$16,""),"")</f>
        <v/>
      </c>
      <c r="R115" t="str">
        <f>IFERROR(IF($H115+1&gt;0,'General Info and Liability'!$B$16,""),"")</f>
        <v/>
      </c>
      <c r="S115" t="str">
        <f>IFERROR(IF($H114+1&lt;'General Info and Liability'!$B$15+1,'General Info and Liability'!$D$17,""),"")</f>
        <v/>
      </c>
      <c r="T115" t="str">
        <f>IFERROR(IF($H114+1&lt;'General Info and Liability'!$B$15+1,'General Info and Liability'!$D$18,""),"")</f>
        <v/>
      </c>
      <c r="U115" t="str">
        <f>IFERROR(IF($H114+1&lt;'General Info and Liability'!$B$15+1,'General Info and Liability'!$D$19,""),"")</f>
        <v/>
      </c>
      <c r="V115" t="str">
        <f>IFERROR(IF($H114+1&lt;'General Info and Liability'!$B$15+1,'General Info and Liability'!$B$14,""),"")</f>
        <v/>
      </c>
      <c r="W115" t="str">
        <f>IFERROR(IF($H114+1&lt;'General Info and Liability'!$B$15+1,'General Info and Liability'!$D$20,""),"")</f>
        <v/>
      </c>
    </row>
    <row r="116" spans="8:23" ht="17.25" customHeight="1">
      <c r="H116" t="str">
        <f>IFERROR(IF(H115+1&lt;'General Info and Liability'!$B$15+1,'Property Schedule'!H115+1,""),"")</f>
        <v/>
      </c>
      <c r="J116" s="8"/>
      <c r="K116" s="7" t="str">
        <f>IFERROR(IF($H115+1&lt;'General Info and Liability'!$B$15+1,'General Info and Liability'!$B$18/'General Info and Liability'!$B$10*$L116,""),"")</f>
        <v/>
      </c>
      <c r="L116" s="8"/>
      <c r="M116" s="31" t="str">
        <f>IFERROR(IF($H115+1&lt;'General Info and Liability'!$B$15+1,'General Info and Liability'!$D$14/'General Info and Liability'!$B$10*$L116,""),"")</f>
        <v/>
      </c>
      <c r="N116" s="32" t="str">
        <f>IFERROR(IF($H115+1&lt;'General Info and Liability'!$B$15+1,'General Info and Liability'!$D$15/'General Info and Liability'!$B$10*$L116,""),"")</f>
        <v/>
      </c>
      <c r="O116" s="8"/>
      <c r="P116" s="8"/>
      <c r="Q116" t="str">
        <f>IFERROR(IF($H116+1&gt;0,'General Info and Liability'!$D$16,""),"")</f>
        <v/>
      </c>
      <c r="R116" t="str">
        <f>IFERROR(IF($H116+1&gt;0,'General Info and Liability'!$B$16,""),"")</f>
        <v/>
      </c>
      <c r="S116" t="str">
        <f>IFERROR(IF($H115+1&lt;'General Info and Liability'!$B$15+1,'General Info and Liability'!$D$17,""),"")</f>
        <v/>
      </c>
      <c r="T116" t="str">
        <f>IFERROR(IF($H115+1&lt;'General Info and Liability'!$B$15+1,'General Info and Liability'!$D$18,""),"")</f>
        <v/>
      </c>
      <c r="U116" t="str">
        <f>IFERROR(IF($H115+1&lt;'General Info and Liability'!$B$15+1,'General Info and Liability'!$D$19,""),"")</f>
        <v/>
      </c>
      <c r="V116" t="str">
        <f>IFERROR(IF($H115+1&lt;'General Info and Liability'!$B$15+1,'General Info and Liability'!$B$14,""),"")</f>
        <v/>
      </c>
      <c r="W116" t="str">
        <f>IFERROR(IF($H115+1&lt;'General Info and Liability'!$B$15+1,'General Info and Liability'!$D$20,""),"")</f>
        <v/>
      </c>
    </row>
    <row r="117" spans="8:23" ht="17.25" customHeight="1">
      <c r="H117" t="str">
        <f>IFERROR(IF(H116+1&lt;'General Info and Liability'!$B$15+1,'Property Schedule'!H116+1,""),"")</f>
        <v/>
      </c>
      <c r="J117" s="8"/>
      <c r="K117" s="7" t="str">
        <f>IFERROR(IF($H116+1&lt;'General Info and Liability'!$B$15+1,'General Info and Liability'!$B$18/'General Info and Liability'!$B$10*$L117,""),"")</f>
        <v/>
      </c>
      <c r="L117" s="8"/>
      <c r="M117" s="31" t="str">
        <f>IFERROR(IF($H116+1&lt;'General Info and Liability'!$B$15+1,'General Info and Liability'!$D$14/'General Info and Liability'!$B$10*$L117,""),"")</f>
        <v/>
      </c>
      <c r="N117" s="32" t="str">
        <f>IFERROR(IF($H116+1&lt;'General Info and Liability'!$B$15+1,'General Info and Liability'!$D$15/'General Info and Liability'!$B$10*$L117,""),"")</f>
        <v/>
      </c>
      <c r="O117" s="8"/>
      <c r="P117" s="8"/>
      <c r="Q117" t="str">
        <f>IFERROR(IF($H117+1&gt;0,'General Info and Liability'!$D$16,""),"")</f>
        <v/>
      </c>
      <c r="R117" t="str">
        <f>IFERROR(IF($H117+1&gt;0,'General Info and Liability'!$B$16,""),"")</f>
        <v/>
      </c>
      <c r="S117" t="str">
        <f>IFERROR(IF($H116+1&lt;'General Info and Liability'!$B$15+1,'General Info and Liability'!$D$17,""),"")</f>
        <v/>
      </c>
      <c r="T117" t="str">
        <f>IFERROR(IF($H116+1&lt;'General Info and Liability'!$B$15+1,'General Info and Liability'!$D$18,""),"")</f>
        <v/>
      </c>
      <c r="U117" t="str">
        <f>IFERROR(IF($H116+1&lt;'General Info and Liability'!$B$15+1,'General Info and Liability'!$D$19,""),"")</f>
        <v/>
      </c>
      <c r="V117" t="str">
        <f>IFERROR(IF($H116+1&lt;'General Info and Liability'!$B$15+1,'General Info and Liability'!$B$14,""),"")</f>
        <v/>
      </c>
      <c r="W117" t="str">
        <f>IFERROR(IF($H116+1&lt;'General Info and Liability'!$B$15+1,'General Info and Liability'!$D$20,""),"")</f>
        <v/>
      </c>
    </row>
    <row r="118" spans="8:23" ht="17.25" customHeight="1">
      <c r="H118" t="str">
        <f>IFERROR(IF(H117+1&lt;'General Info and Liability'!$B$15+1,'Property Schedule'!H117+1,""),"")</f>
        <v/>
      </c>
      <c r="J118" s="8"/>
      <c r="K118" s="7" t="str">
        <f>IFERROR(IF($H117+1&lt;'General Info and Liability'!$B$15+1,'General Info and Liability'!$B$18/'General Info and Liability'!$B$10*$L118,""),"")</f>
        <v/>
      </c>
      <c r="L118" s="8"/>
      <c r="M118" s="31" t="str">
        <f>IFERROR(IF($H117+1&lt;'General Info and Liability'!$B$15+1,'General Info and Liability'!$D$14/'General Info and Liability'!$B$10*$L118,""),"")</f>
        <v/>
      </c>
      <c r="N118" s="32" t="str">
        <f>IFERROR(IF($H117+1&lt;'General Info and Liability'!$B$15+1,'General Info and Liability'!$D$15/'General Info and Liability'!$B$10*$L118,""),"")</f>
        <v/>
      </c>
      <c r="O118" s="8"/>
      <c r="P118" s="8"/>
      <c r="Q118" t="str">
        <f>IFERROR(IF($H118+1&gt;0,'General Info and Liability'!$D$16,""),"")</f>
        <v/>
      </c>
      <c r="R118" t="str">
        <f>IFERROR(IF($H118+1&gt;0,'General Info and Liability'!$B$16,""),"")</f>
        <v/>
      </c>
      <c r="S118" t="str">
        <f>IFERROR(IF($H117+1&lt;'General Info and Liability'!$B$15+1,'General Info and Liability'!$D$17,""),"")</f>
        <v/>
      </c>
      <c r="T118" t="str">
        <f>IFERROR(IF($H117+1&lt;'General Info and Liability'!$B$15+1,'General Info and Liability'!$D$18,""),"")</f>
        <v/>
      </c>
      <c r="U118" t="str">
        <f>IFERROR(IF($H117+1&lt;'General Info and Liability'!$B$15+1,'General Info and Liability'!$D$19,""),"")</f>
        <v/>
      </c>
      <c r="V118" t="str">
        <f>IFERROR(IF($H117+1&lt;'General Info and Liability'!$B$15+1,'General Info and Liability'!$B$14,""),"")</f>
        <v/>
      </c>
      <c r="W118" t="str">
        <f>IFERROR(IF($H117+1&lt;'General Info and Liability'!$B$15+1,'General Info and Liability'!$D$20,""),"")</f>
        <v/>
      </c>
    </row>
    <row r="119" spans="8:23" ht="17.25" customHeight="1">
      <c r="H119" t="str">
        <f>IFERROR(IF(H118+1&lt;'General Info and Liability'!$B$15+1,'Property Schedule'!H118+1,""),"")</f>
        <v/>
      </c>
      <c r="J119" s="8"/>
      <c r="K119" s="7" t="str">
        <f>IFERROR(IF($H118+1&lt;'General Info and Liability'!$B$15+1,'General Info and Liability'!$B$18/'General Info and Liability'!$B$10*$L119,""),"")</f>
        <v/>
      </c>
      <c r="L119" s="8"/>
      <c r="M119" s="31" t="str">
        <f>IFERROR(IF($H118+1&lt;'General Info and Liability'!$B$15+1,'General Info and Liability'!$D$14/'General Info and Liability'!$B$10*$L119,""),"")</f>
        <v/>
      </c>
      <c r="N119" s="32" t="str">
        <f>IFERROR(IF($H118+1&lt;'General Info and Liability'!$B$15+1,'General Info and Liability'!$D$15/'General Info and Liability'!$B$10*$L119,""),"")</f>
        <v/>
      </c>
      <c r="O119" s="8"/>
      <c r="P119" s="8"/>
      <c r="Q119" t="str">
        <f>IFERROR(IF($H119+1&gt;0,'General Info and Liability'!$D$16,""),"")</f>
        <v/>
      </c>
      <c r="R119" t="str">
        <f>IFERROR(IF($H119+1&gt;0,'General Info and Liability'!$B$16,""),"")</f>
        <v/>
      </c>
      <c r="S119" t="str">
        <f>IFERROR(IF($H118+1&lt;'General Info and Liability'!$B$15+1,'General Info and Liability'!$D$17,""),"")</f>
        <v/>
      </c>
      <c r="T119" t="str">
        <f>IFERROR(IF($H118+1&lt;'General Info and Liability'!$B$15+1,'General Info and Liability'!$D$18,""),"")</f>
        <v/>
      </c>
      <c r="U119" t="str">
        <f>IFERROR(IF($H118+1&lt;'General Info and Liability'!$B$15+1,'General Info and Liability'!$D$19,""),"")</f>
        <v/>
      </c>
      <c r="V119" t="str">
        <f>IFERROR(IF($H118+1&lt;'General Info and Liability'!$B$15+1,'General Info and Liability'!$B$14,""),"")</f>
        <v/>
      </c>
      <c r="W119" t="str">
        <f>IFERROR(IF($H118+1&lt;'General Info and Liability'!$B$15+1,'General Info and Liability'!$D$20,""),"")</f>
        <v/>
      </c>
    </row>
    <row r="120" spans="8:23" ht="17.25" customHeight="1">
      <c r="H120" t="str">
        <f>IFERROR(IF(H119+1&lt;'General Info and Liability'!$B$15+1,'Property Schedule'!H119+1,""),"")</f>
        <v/>
      </c>
      <c r="J120" s="8"/>
      <c r="K120" s="7" t="str">
        <f>IFERROR(IF($H119+1&lt;'General Info and Liability'!$B$15+1,'General Info and Liability'!$B$18/'General Info and Liability'!$B$10*$L120,""),"")</f>
        <v/>
      </c>
      <c r="L120" s="8"/>
      <c r="M120" s="31" t="str">
        <f>IFERROR(IF($H119+1&lt;'General Info and Liability'!$B$15+1,'General Info and Liability'!$D$14/'General Info and Liability'!$B$10*$L120,""),"")</f>
        <v/>
      </c>
      <c r="N120" s="32" t="str">
        <f>IFERROR(IF($H119+1&lt;'General Info and Liability'!$B$15+1,'General Info and Liability'!$D$15/'General Info and Liability'!$B$10*$L120,""),"")</f>
        <v/>
      </c>
      <c r="O120" s="8"/>
      <c r="P120" s="8"/>
      <c r="Q120" t="str">
        <f>IFERROR(IF($H120+1&gt;0,'General Info and Liability'!$D$16,""),"")</f>
        <v/>
      </c>
      <c r="R120" t="str">
        <f>IFERROR(IF($H120+1&gt;0,'General Info and Liability'!$B$16,""),"")</f>
        <v/>
      </c>
      <c r="S120" t="str">
        <f>IFERROR(IF($H119+1&lt;'General Info and Liability'!$B$15+1,'General Info and Liability'!$D$17,""),"")</f>
        <v/>
      </c>
      <c r="T120" t="str">
        <f>IFERROR(IF($H119+1&lt;'General Info and Liability'!$B$15+1,'General Info and Liability'!$D$18,""),"")</f>
        <v/>
      </c>
      <c r="U120" t="str">
        <f>IFERROR(IF($H119+1&lt;'General Info and Liability'!$B$15+1,'General Info and Liability'!$D$19,""),"")</f>
        <v/>
      </c>
      <c r="V120" t="str">
        <f>IFERROR(IF($H119+1&lt;'General Info and Liability'!$B$15+1,'General Info and Liability'!$B$14,""),"")</f>
        <v/>
      </c>
      <c r="W120" t="str">
        <f>IFERROR(IF($H119+1&lt;'General Info and Liability'!$B$15+1,'General Info and Liability'!$D$20,""),"")</f>
        <v/>
      </c>
    </row>
    <row r="121" spans="8:23" ht="17.25" customHeight="1">
      <c r="H121" t="str">
        <f>IFERROR(IF(H120+1&lt;'General Info and Liability'!$B$15+1,'Property Schedule'!H120+1,""),"")</f>
        <v/>
      </c>
      <c r="J121" s="8"/>
      <c r="K121" s="7" t="str">
        <f>IFERROR(IF($H120+1&lt;'General Info and Liability'!$B$15+1,'General Info and Liability'!$B$18/'General Info and Liability'!$B$10*$L121,""),"")</f>
        <v/>
      </c>
      <c r="L121" s="8"/>
      <c r="M121" s="31" t="str">
        <f>IFERROR(IF($H120+1&lt;'General Info and Liability'!$B$15+1,'General Info and Liability'!$D$14/'General Info and Liability'!$B$10*$L121,""),"")</f>
        <v/>
      </c>
      <c r="N121" s="32" t="str">
        <f>IFERROR(IF($H120+1&lt;'General Info and Liability'!$B$15+1,'General Info and Liability'!$D$15/'General Info and Liability'!$B$10*$L121,""),"")</f>
        <v/>
      </c>
      <c r="O121" s="8"/>
      <c r="P121" s="8"/>
      <c r="Q121" t="str">
        <f>IFERROR(IF($H121+1&gt;0,'General Info and Liability'!$D$16,""),"")</f>
        <v/>
      </c>
      <c r="R121" t="str">
        <f>IFERROR(IF($H121+1&gt;0,'General Info and Liability'!$B$16,""),"")</f>
        <v/>
      </c>
      <c r="S121" t="str">
        <f>IFERROR(IF($H120+1&lt;'General Info and Liability'!$B$15+1,'General Info and Liability'!$D$17,""),"")</f>
        <v/>
      </c>
      <c r="T121" t="str">
        <f>IFERROR(IF($H120+1&lt;'General Info and Liability'!$B$15+1,'General Info and Liability'!$D$18,""),"")</f>
        <v/>
      </c>
      <c r="U121" t="str">
        <f>IFERROR(IF($H120+1&lt;'General Info and Liability'!$B$15+1,'General Info and Liability'!$D$19,""),"")</f>
        <v/>
      </c>
      <c r="V121" t="str">
        <f>IFERROR(IF($H120+1&lt;'General Info and Liability'!$B$15+1,'General Info and Liability'!$B$14,""),"")</f>
        <v/>
      </c>
      <c r="W121" t="str">
        <f>IFERROR(IF($H120+1&lt;'General Info and Liability'!$B$15+1,'General Info and Liability'!$D$20,""),"")</f>
        <v/>
      </c>
    </row>
    <row r="122" spans="8:23" ht="17.25" customHeight="1">
      <c r="H122" t="str">
        <f>IFERROR(IF(H121+1&lt;'General Info and Liability'!$B$15+1,'Property Schedule'!H121+1,""),"")</f>
        <v/>
      </c>
      <c r="J122" s="8"/>
      <c r="K122" s="7" t="str">
        <f>IFERROR(IF($H121+1&lt;'General Info and Liability'!$B$15+1,'General Info and Liability'!$B$18/'General Info and Liability'!$B$10*$L122,""),"")</f>
        <v/>
      </c>
      <c r="L122" s="8"/>
      <c r="M122" s="31" t="str">
        <f>IFERROR(IF($H121+1&lt;'General Info and Liability'!$B$15+1,'General Info and Liability'!$D$14/'General Info and Liability'!$B$10*$L122,""),"")</f>
        <v/>
      </c>
      <c r="N122" s="32" t="str">
        <f>IFERROR(IF($H121+1&lt;'General Info and Liability'!$B$15+1,'General Info and Liability'!$D$15/'General Info and Liability'!$B$10*$L122,""),"")</f>
        <v/>
      </c>
      <c r="O122" s="8"/>
      <c r="P122" s="8"/>
      <c r="Q122" t="str">
        <f>IFERROR(IF($H122+1&gt;0,'General Info and Liability'!$D$16,""),"")</f>
        <v/>
      </c>
      <c r="R122" t="str">
        <f>IFERROR(IF($H122+1&gt;0,'General Info and Liability'!$B$16,""),"")</f>
        <v/>
      </c>
      <c r="S122" t="str">
        <f>IFERROR(IF($H121+1&lt;'General Info and Liability'!$B$15+1,'General Info and Liability'!$D$17,""),"")</f>
        <v/>
      </c>
      <c r="T122" t="str">
        <f>IFERROR(IF($H121+1&lt;'General Info and Liability'!$B$15+1,'General Info and Liability'!$D$18,""),"")</f>
        <v/>
      </c>
      <c r="U122" t="str">
        <f>IFERROR(IF($H121+1&lt;'General Info and Liability'!$B$15+1,'General Info and Liability'!$D$19,""),"")</f>
        <v/>
      </c>
      <c r="V122" t="str">
        <f>IFERROR(IF($H121+1&lt;'General Info and Liability'!$B$15+1,'General Info and Liability'!$B$14,""),"")</f>
        <v/>
      </c>
      <c r="W122" t="str">
        <f>IFERROR(IF($H121+1&lt;'General Info and Liability'!$B$15+1,'General Info and Liability'!$D$20,""),"")</f>
        <v/>
      </c>
    </row>
    <row r="123" spans="8:23" ht="17.25" customHeight="1">
      <c r="H123" t="str">
        <f>IFERROR(IF(H122+1&lt;'General Info and Liability'!$B$15+1,'Property Schedule'!H122+1,""),"")</f>
        <v/>
      </c>
      <c r="J123" s="8"/>
      <c r="K123" s="7" t="str">
        <f>IFERROR(IF($H122+1&lt;'General Info and Liability'!$B$15+1,'General Info and Liability'!$B$18/'General Info and Liability'!$B$10*$L123,""),"")</f>
        <v/>
      </c>
      <c r="L123" s="8"/>
      <c r="M123" s="31" t="str">
        <f>IFERROR(IF($H122+1&lt;'General Info and Liability'!$B$15+1,'General Info and Liability'!$D$14/'General Info and Liability'!$B$10*$L123,""),"")</f>
        <v/>
      </c>
      <c r="N123" s="32" t="str">
        <f>IFERROR(IF($H122+1&lt;'General Info and Liability'!$B$15+1,'General Info and Liability'!$D$15/'General Info and Liability'!$B$10*$L123,""),"")</f>
        <v/>
      </c>
      <c r="O123" s="8"/>
      <c r="P123" s="8"/>
      <c r="Q123" t="str">
        <f>IFERROR(IF($H123+1&gt;0,'General Info and Liability'!$D$16,""),"")</f>
        <v/>
      </c>
      <c r="R123" t="str">
        <f>IFERROR(IF($H123+1&gt;0,'General Info and Liability'!$B$16,""),"")</f>
        <v/>
      </c>
      <c r="S123" t="str">
        <f>IFERROR(IF($H122+1&lt;'General Info and Liability'!$B$15+1,'General Info and Liability'!$D$17,""),"")</f>
        <v/>
      </c>
      <c r="T123" t="str">
        <f>IFERROR(IF($H122+1&lt;'General Info and Liability'!$B$15+1,'General Info and Liability'!$D$18,""),"")</f>
        <v/>
      </c>
      <c r="U123" t="str">
        <f>IFERROR(IF($H122+1&lt;'General Info and Liability'!$B$15+1,'General Info and Liability'!$D$19,""),"")</f>
        <v/>
      </c>
      <c r="V123" t="str">
        <f>IFERROR(IF($H122+1&lt;'General Info and Liability'!$B$15+1,'General Info and Liability'!$B$14,""),"")</f>
        <v/>
      </c>
      <c r="W123" t="str">
        <f>IFERROR(IF($H122+1&lt;'General Info and Liability'!$B$15+1,'General Info and Liability'!$D$20,""),"")</f>
        <v/>
      </c>
    </row>
    <row r="124" spans="8:23" ht="17.25" customHeight="1">
      <c r="H124" t="str">
        <f>IFERROR(IF(H123+1&lt;'General Info and Liability'!$B$15+1,'Property Schedule'!H123+1,""),"")</f>
        <v/>
      </c>
      <c r="J124" s="8"/>
      <c r="K124" s="7" t="str">
        <f>IFERROR(IF($H123+1&lt;'General Info and Liability'!$B$15+1,'General Info and Liability'!$B$18/'General Info and Liability'!$B$10*$L124,""),"")</f>
        <v/>
      </c>
      <c r="L124" s="8"/>
      <c r="M124" s="31" t="str">
        <f>IFERROR(IF($H123+1&lt;'General Info and Liability'!$B$15+1,'General Info and Liability'!$D$14/'General Info and Liability'!$B$10*$L124,""),"")</f>
        <v/>
      </c>
      <c r="N124" s="32" t="str">
        <f>IFERROR(IF($H123+1&lt;'General Info and Liability'!$B$15+1,'General Info and Liability'!$D$15/'General Info and Liability'!$B$10*$L124,""),"")</f>
        <v/>
      </c>
      <c r="O124" s="8"/>
      <c r="P124" s="8"/>
      <c r="Q124" t="str">
        <f>IFERROR(IF($H124+1&gt;0,'General Info and Liability'!$D$16,""),"")</f>
        <v/>
      </c>
      <c r="R124" t="str">
        <f>IFERROR(IF($H124+1&gt;0,'General Info and Liability'!$B$16,""),"")</f>
        <v/>
      </c>
      <c r="S124" t="str">
        <f>IFERROR(IF($H123+1&lt;'General Info and Liability'!$B$15+1,'General Info and Liability'!$D$17,""),"")</f>
        <v/>
      </c>
      <c r="T124" t="str">
        <f>IFERROR(IF($H123+1&lt;'General Info and Liability'!$B$15+1,'General Info and Liability'!$D$18,""),"")</f>
        <v/>
      </c>
      <c r="U124" t="str">
        <f>IFERROR(IF($H123+1&lt;'General Info and Liability'!$B$15+1,'General Info and Liability'!$D$19,""),"")</f>
        <v/>
      </c>
      <c r="V124" t="str">
        <f>IFERROR(IF($H123+1&lt;'General Info and Liability'!$B$15+1,'General Info and Liability'!$B$14,""),"")</f>
        <v/>
      </c>
      <c r="W124" t="str">
        <f>IFERROR(IF($H123+1&lt;'General Info and Liability'!$B$15+1,'General Info and Liability'!$D$20,""),"")</f>
        <v/>
      </c>
    </row>
    <row r="125" spans="8:23" ht="17.25" customHeight="1">
      <c r="H125" t="str">
        <f>IFERROR(IF(H124+1&lt;'General Info and Liability'!$B$15+1,'Property Schedule'!H124+1,""),"")</f>
        <v/>
      </c>
      <c r="J125" s="8"/>
      <c r="K125" s="7" t="str">
        <f>IFERROR(IF($H124+1&lt;'General Info and Liability'!$B$15+1,'General Info and Liability'!$B$18/'General Info and Liability'!$B$10*$L125,""),"")</f>
        <v/>
      </c>
      <c r="L125" s="8"/>
      <c r="M125" s="31" t="str">
        <f>IFERROR(IF($H124+1&lt;'General Info and Liability'!$B$15+1,'General Info and Liability'!$D$14/'General Info and Liability'!$B$10*$L125,""),"")</f>
        <v/>
      </c>
      <c r="N125" s="32" t="str">
        <f>IFERROR(IF($H124+1&lt;'General Info and Liability'!$B$15+1,'General Info and Liability'!$D$15/'General Info and Liability'!$B$10*$L125,""),"")</f>
        <v/>
      </c>
      <c r="O125" s="8"/>
      <c r="P125" s="8"/>
      <c r="Q125" t="str">
        <f>IFERROR(IF($H125+1&gt;0,'General Info and Liability'!$D$16,""),"")</f>
        <v/>
      </c>
      <c r="R125" t="str">
        <f>IFERROR(IF($H125+1&gt;0,'General Info and Liability'!$B$16,""),"")</f>
        <v/>
      </c>
      <c r="S125" t="str">
        <f>IFERROR(IF($H124+1&lt;'General Info and Liability'!$B$15+1,'General Info and Liability'!$D$17,""),"")</f>
        <v/>
      </c>
      <c r="T125" t="str">
        <f>IFERROR(IF($H124+1&lt;'General Info and Liability'!$B$15+1,'General Info and Liability'!$D$18,""),"")</f>
        <v/>
      </c>
      <c r="U125" t="str">
        <f>IFERROR(IF($H124+1&lt;'General Info and Liability'!$B$15+1,'General Info and Liability'!$D$19,""),"")</f>
        <v/>
      </c>
      <c r="V125" t="str">
        <f>IFERROR(IF($H124+1&lt;'General Info and Liability'!$B$15+1,'General Info and Liability'!$B$14,""),"")</f>
        <v/>
      </c>
      <c r="W125" t="str">
        <f>IFERROR(IF($H124+1&lt;'General Info and Liability'!$B$15+1,'General Info and Liability'!$D$20,""),"")</f>
        <v/>
      </c>
    </row>
    <row r="126" spans="8:23" ht="17.25" customHeight="1">
      <c r="H126" t="str">
        <f>IFERROR(IF(H125+1&lt;'General Info and Liability'!$B$15+1,'Property Schedule'!H125+1,""),"")</f>
        <v/>
      </c>
      <c r="J126" s="8"/>
      <c r="K126" s="7" t="str">
        <f>IFERROR(IF($H125+1&lt;'General Info and Liability'!$B$15+1,'General Info and Liability'!$B$18/'General Info and Liability'!$B$10*$L126,""),"")</f>
        <v/>
      </c>
      <c r="L126" s="8"/>
      <c r="M126" s="31" t="str">
        <f>IFERROR(IF($H125+1&lt;'General Info and Liability'!$B$15+1,'General Info and Liability'!$D$14/'General Info and Liability'!$B$10*$L126,""),"")</f>
        <v/>
      </c>
      <c r="N126" s="32" t="str">
        <f>IFERROR(IF($H125+1&lt;'General Info and Liability'!$B$15+1,'General Info and Liability'!$D$15/'General Info and Liability'!$B$10*$L126,""),"")</f>
        <v/>
      </c>
      <c r="O126" s="8"/>
      <c r="P126" s="8"/>
      <c r="Q126" t="str">
        <f>IFERROR(IF($H126+1&gt;0,'General Info and Liability'!$D$16,""),"")</f>
        <v/>
      </c>
      <c r="R126" t="str">
        <f>IFERROR(IF($H126+1&gt;0,'General Info and Liability'!$B$16,""),"")</f>
        <v/>
      </c>
      <c r="S126" t="str">
        <f>IFERROR(IF($H125+1&lt;'General Info and Liability'!$B$15+1,'General Info and Liability'!$D$17,""),"")</f>
        <v/>
      </c>
      <c r="T126" t="str">
        <f>IFERROR(IF($H125+1&lt;'General Info and Liability'!$B$15+1,'General Info and Liability'!$D$18,""),"")</f>
        <v/>
      </c>
      <c r="U126" t="str">
        <f>IFERROR(IF($H125+1&lt;'General Info and Liability'!$B$15+1,'General Info and Liability'!$D$19,""),"")</f>
        <v/>
      </c>
      <c r="V126" t="str">
        <f>IFERROR(IF($H125+1&lt;'General Info and Liability'!$B$15+1,'General Info and Liability'!$B$14,""),"")</f>
        <v/>
      </c>
      <c r="W126" t="str">
        <f>IFERROR(IF($H125+1&lt;'General Info and Liability'!$B$15+1,'General Info and Liability'!$D$20,""),"")</f>
        <v/>
      </c>
    </row>
    <row r="127" spans="8:23" ht="17.25" customHeight="1">
      <c r="H127" t="str">
        <f>IFERROR(IF(H126+1&lt;'General Info and Liability'!$B$15+1,'Property Schedule'!H126+1,""),"")</f>
        <v/>
      </c>
      <c r="J127" s="8"/>
      <c r="K127" s="7" t="str">
        <f>IFERROR(IF($H126+1&lt;'General Info and Liability'!$B$15+1,'General Info and Liability'!$B$18/'General Info and Liability'!$B$10*$L127,""),"")</f>
        <v/>
      </c>
      <c r="L127" s="8"/>
      <c r="M127" s="31" t="str">
        <f>IFERROR(IF($H126+1&lt;'General Info and Liability'!$B$15+1,'General Info and Liability'!$D$14/'General Info and Liability'!$B$10*$L127,""),"")</f>
        <v/>
      </c>
      <c r="N127" s="32" t="str">
        <f>IFERROR(IF($H126+1&lt;'General Info and Liability'!$B$15+1,'General Info and Liability'!$D$15/'General Info and Liability'!$B$10*$L127,""),"")</f>
        <v/>
      </c>
      <c r="O127" s="8"/>
      <c r="P127" s="8"/>
      <c r="Q127" t="str">
        <f>IFERROR(IF($H127+1&gt;0,'General Info and Liability'!$D$16,""),"")</f>
        <v/>
      </c>
      <c r="R127" t="str">
        <f>IFERROR(IF($H127+1&gt;0,'General Info and Liability'!$B$16,""),"")</f>
        <v/>
      </c>
      <c r="S127" t="str">
        <f>IFERROR(IF($H126+1&lt;'General Info and Liability'!$B$15+1,'General Info and Liability'!$D$17,""),"")</f>
        <v/>
      </c>
      <c r="T127" t="str">
        <f>IFERROR(IF($H126+1&lt;'General Info and Liability'!$B$15+1,'General Info and Liability'!$D$18,""),"")</f>
        <v/>
      </c>
      <c r="U127" t="str">
        <f>IFERROR(IF($H126+1&lt;'General Info and Liability'!$B$15+1,'General Info and Liability'!$D$19,""),"")</f>
        <v/>
      </c>
      <c r="V127" t="str">
        <f>IFERROR(IF($H126+1&lt;'General Info and Liability'!$B$15+1,'General Info and Liability'!$B$14,""),"")</f>
        <v/>
      </c>
      <c r="W127" t="str">
        <f>IFERROR(IF($H126+1&lt;'General Info and Liability'!$B$15+1,'General Info and Liability'!$D$20,""),"")</f>
        <v/>
      </c>
    </row>
    <row r="128" spans="8:23" ht="17.25" customHeight="1">
      <c r="H128" t="str">
        <f>IFERROR(IF(H127+1&lt;'General Info and Liability'!$B$15+1,'Property Schedule'!H127+1,""),"")</f>
        <v/>
      </c>
      <c r="J128" s="8"/>
      <c r="K128" s="7" t="str">
        <f>IFERROR(IF($H127+1&lt;'General Info and Liability'!$B$15+1,'General Info and Liability'!$B$18/'General Info and Liability'!$B$10*$L128,""),"")</f>
        <v/>
      </c>
      <c r="L128" s="8"/>
      <c r="M128" s="31" t="str">
        <f>IFERROR(IF($H127+1&lt;'General Info and Liability'!$B$15+1,'General Info and Liability'!$D$14/'General Info and Liability'!$B$10*$L128,""),"")</f>
        <v/>
      </c>
      <c r="N128" s="32" t="str">
        <f>IFERROR(IF($H127+1&lt;'General Info and Liability'!$B$15+1,'General Info and Liability'!$D$15/'General Info and Liability'!$B$10*$L128,""),"")</f>
        <v/>
      </c>
      <c r="O128" s="8"/>
      <c r="P128" s="8"/>
      <c r="Q128" t="str">
        <f>IFERROR(IF($H128+1&gt;0,'General Info and Liability'!$D$16,""),"")</f>
        <v/>
      </c>
      <c r="R128" t="str">
        <f>IFERROR(IF($H128+1&gt;0,'General Info and Liability'!$B$16,""),"")</f>
        <v/>
      </c>
      <c r="S128" t="str">
        <f>IFERROR(IF($H127+1&lt;'General Info and Liability'!$B$15+1,'General Info and Liability'!$D$17,""),"")</f>
        <v/>
      </c>
      <c r="T128" t="str">
        <f>IFERROR(IF($H127+1&lt;'General Info and Liability'!$B$15+1,'General Info and Liability'!$D$18,""),"")</f>
        <v/>
      </c>
      <c r="U128" t="str">
        <f>IFERROR(IF($H127+1&lt;'General Info and Liability'!$B$15+1,'General Info and Liability'!$D$19,""),"")</f>
        <v/>
      </c>
      <c r="V128" t="str">
        <f>IFERROR(IF($H127+1&lt;'General Info and Liability'!$B$15+1,'General Info and Liability'!$B$14,""),"")</f>
        <v/>
      </c>
      <c r="W128" t="str">
        <f>IFERROR(IF($H127+1&lt;'General Info and Liability'!$B$15+1,'General Info and Liability'!$D$20,""),"")</f>
        <v/>
      </c>
    </row>
    <row r="129" spans="8:23" ht="17.25" customHeight="1">
      <c r="H129" t="str">
        <f>IFERROR(IF(H128+1&lt;'General Info and Liability'!$B$15+1,'Property Schedule'!H128+1,""),"")</f>
        <v/>
      </c>
      <c r="J129" s="8"/>
      <c r="K129" s="7" t="str">
        <f>IFERROR(IF($H128+1&lt;'General Info and Liability'!$B$15+1,'General Info and Liability'!$B$18/'General Info and Liability'!$B$10*$L129,""),"")</f>
        <v/>
      </c>
      <c r="L129" s="8"/>
      <c r="M129" s="31" t="str">
        <f>IFERROR(IF($H128+1&lt;'General Info and Liability'!$B$15+1,'General Info and Liability'!$D$14/'General Info and Liability'!$B$10*$L129,""),"")</f>
        <v/>
      </c>
      <c r="N129" s="32" t="str">
        <f>IFERROR(IF($H128+1&lt;'General Info and Liability'!$B$15+1,'General Info and Liability'!$D$15/'General Info and Liability'!$B$10*$L129,""),"")</f>
        <v/>
      </c>
      <c r="O129" s="8"/>
      <c r="P129" s="8"/>
      <c r="Q129" t="str">
        <f>IFERROR(IF($H129+1&gt;0,'General Info and Liability'!$D$16,""),"")</f>
        <v/>
      </c>
      <c r="R129" t="str">
        <f>IFERROR(IF($H129+1&gt;0,'General Info and Liability'!$B$16,""),"")</f>
        <v/>
      </c>
      <c r="S129" t="str">
        <f>IFERROR(IF($H128+1&lt;'General Info and Liability'!$B$15+1,'General Info and Liability'!$D$17,""),"")</f>
        <v/>
      </c>
      <c r="T129" t="str">
        <f>IFERROR(IF($H128+1&lt;'General Info and Liability'!$B$15+1,'General Info and Liability'!$D$18,""),"")</f>
        <v/>
      </c>
      <c r="U129" t="str">
        <f>IFERROR(IF($H128+1&lt;'General Info and Liability'!$B$15+1,'General Info and Liability'!$D$19,""),"")</f>
        <v/>
      </c>
      <c r="V129" t="str">
        <f>IFERROR(IF($H128+1&lt;'General Info and Liability'!$B$15+1,'General Info and Liability'!$B$14,""),"")</f>
        <v/>
      </c>
      <c r="W129" t="str">
        <f>IFERROR(IF($H128+1&lt;'General Info and Liability'!$B$15+1,'General Info and Liability'!$D$20,""),"")</f>
        <v/>
      </c>
    </row>
    <row r="130" spans="8:23" ht="17.25" customHeight="1">
      <c r="H130" t="str">
        <f>IFERROR(IF(H129+1&lt;'General Info and Liability'!$B$15+1,'Property Schedule'!H129+1,""),"")</f>
        <v/>
      </c>
      <c r="J130" s="8"/>
      <c r="K130" s="7" t="str">
        <f>IFERROR(IF($H129+1&lt;'General Info and Liability'!$B$15+1,'General Info and Liability'!$B$18/'General Info and Liability'!$B$10*$L130,""),"")</f>
        <v/>
      </c>
      <c r="L130" s="8"/>
      <c r="M130" s="31" t="str">
        <f>IFERROR(IF($H129+1&lt;'General Info and Liability'!$B$15+1,'General Info and Liability'!$D$14/'General Info and Liability'!$B$10*$L130,""),"")</f>
        <v/>
      </c>
      <c r="N130" s="32" t="str">
        <f>IFERROR(IF($H129+1&lt;'General Info and Liability'!$B$15+1,'General Info and Liability'!$D$15/'General Info and Liability'!$B$10*$L130,""),"")</f>
        <v/>
      </c>
      <c r="O130" s="8"/>
      <c r="P130" s="8"/>
      <c r="Q130" t="str">
        <f>IFERROR(IF($H130+1&gt;0,'General Info and Liability'!$D$16,""),"")</f>
        <v/>
      </c>
      <c r="R130" t="str">
        <f>IFERROR(IF($H130+1&gt;0,'General Info and Liability'!$B$16,""),"")</f>
        <v/>
      </c>
      <c r="S130" t="str">
        <f>IFERROR(IF($H129+1&lt;'General Info and Liability'!$B$15+1,'General Info and Liability'!$D$17,""),"")</f>
        <v/>
      </c>
      <c r="T130" t="str">
        <f>IFERROR(IF($H129+1&lt;'General Info and Liability'!$B$15+1,'General Info and Liability'!$D$18,""),"")</f>
        <v/>
      </c>
      <c r="U130" t="str">
        <f>IFERROR(IF($H129+1&lt;'General Info and Liability'!$B$15+1,'General Info and Liability'!$D$19,""),"")</f>
        <v/>
      </c>
      <c r="V130" t="str">
        <f>IFERROR(IF($H129+1&lt;'General Info and Liability'!$B$15+1,'General Info and Liability'!$B$14,""),"")</f>
        <v/>
      </c>
      <c r="W130" t="str">
        <f>IFERROR(IF($H129+1&lt;'General Info and Liability'!$B$15+1,'General Info and Liability'!$D$20,""),"")</f>
        <v/>
      </c>
    </row>
    <row r="131" spans="8:23" ht="17.25" customHeight="1">
      <c r="H131" t="str">
        <f>IFERROR(IF(H130+1&lt;'General Info and Liability'!$B$15+1,'Property Schedule'!H130+1,""),"")</f>
        <v/>
      </c>
      <c r="J131" s="8"/>
      <c r="K131" s="7" t="str">
        <f>IFERROR(IF($H130+1&lt;'General Info and Liability'!$B$15+1,'General Info and Liability'!$B$18/'General Info and Liability'!$B$10*$L131,""),"")</f>
        <v/>
      </c>
      <c r="L131" s="8"/>
      <c r="M131" s="31" t="str">
        <f>IFERROR(IF($H130+1&lt;'General Info and Liability'!$B$15+1,'General Info and Liability'!$D$14/'General Info and Liability'!$B$10*$L131,""),"")</f>
        <v/>
      </c>
      <c r="N131" s="32" t="str">
        <f>IFERROR(IF($H130+1&lt;'General Info and Liability'!$B$15+1,'General Info and Liability'!$D$15/'General Info and Liability'!$B$10*$L131,""),"")</f>
        <v/>
      </c>
      <c r="O131" s="8"/>
      <c r="P131" s="8"/>
      <c r="Q131" t="str">
        <f>IFERROR(IF($H131+1&gt;0,'General Info and Liability'!$D$16,""),"")</f>
        <v/>
      </c>
      <c r="R131" t="str">
        <f>IFERROR(IF($H131+1&gt;0,'General Info and Liability'!$B$16,""),"")</f>
        <v/>
      </c>
      <c r="S131" t="str">
        <f>IFERROR(IF($H130+1&lt;'General Info and Liability'!$B$15+1,'General Info and Liability'!$D$17,""),"")</f>
        <v/>
      </c>
      <c r="T131" t="str">
        <f>IFERROR(IF($H130+1&lt;'General Info and Liability'!$B$15+1,'General Info and Liability'!$D$18,""),"")</f>
        <v/>
      </c>
      <c r="U131" t="str">
        <f>IFERROR(IF($H130+1&lt;'General Info and Liability'!$B$15+1,'General Info and Liability'!$D$19,""),"")</f>
        <v/>
      </c>
      <c r="V131" t="str">
        <f>IFERROR(IF($H130+1&lt;'General Info and Liability'!$B$15+1,'General Info and Liability'!$B$14,""),"")</f>
        <v/>
      </c>
      <c r="W131" t="str">
        <f>IFERROR(IF($H130+1&lt;'General Info and Liability'!$B$15+1,'General Info and Liability'!$D$20,""),"")</f>
        <v/>
      </c>
    </row>
    <row r="132" spans="8:23" ht="17.25" customHeight="1">
      <c r="H132" t="str">
        <f>IFERROR(IF(H131+1&lt;'General Info and Liability'!$B$15+1,'Property Schedule'!H131+1,""),"")</f>
        <v/>
      </c>
      <c r="J132" s="8"/>
      <c r="K132" s="7" t="str">
        <f>IFERROR(IF($H131+1&lt;'General Info and Liability'!$B$15+1,'General Info and Liability'!$B$18/'General Info and Liability'!$B$10*$L132,""),"")</f>
        <v/>
      </c>
      <c r="L132" s="8"/>
      <c r="M132" s="31" t="str">
        <f>IFERROR(IF($H131+1&lt;'General Info and Liability'!$B$15+1,'General Info and Liability'!$D$14/'General Info and Liability'!$B$10*$L132,""),"")</f>
        <v/>
      </c>
      <c r="N132" s="32" t="str">
        <f>IFERROR(IF($H131+1&lt;'General Info and Liability'!$B$15+1,'General Info and Liability'!$D$15/'General Info and Liability'!$B$10*$L132,""),"")</f>
        <v/>
      </c>
      <c r="O132" s="8"/>
      <c r="P132" s="8"/>
      <c r="Q132" t="str">
        <f>IFERROR(IF($H132+1&gt;0,'General Info and Liability'!$D$16,""),"")</f>
        <v/>
      </c>
      <c r="R132" t="str">
        <f>IFERROR(IF($H132+1&gt;0,'General Info and Liability'!$B$16,""),"")</f>
        <v/>
      </c>
      <c r="S132" t="str">
        <f>IFERROR(IF($H131+1&lt;'General Info and Liability'!$B$15+1,'General Info and Liability'!$D$17,""),"")</f>
        <v/>
      </c>
      <c r="T132" t="str">
        <f>IFERROR(IF($H131+1&lt;'General Info and Liability'!$B$15+1,'General Info and Liability'!$D$18,""),"")</f>
        <v/>
      </c>
      <c r="U132" t="str">
        <f>IFERROR(IF($H131+1&lt;'General Info and Liability'!$B$15+1,'General Info and Liability'!$D$19,""),"")</f>
        <v/>
      </c>
      <c r="V132" t="str">
        <f>IFERROR(IF($H131+1&lt;'General Info and Liability'!$B$15+1,'General Info and Liability'!$B$14,""),"")</f>
        <v/>
      </c>
      <c r="W132" t="str">
        <f>IFERROR(IF($H131+1&lt;'General Info and Liability'!$B$15+1,'General Info and Liability'!$D$20,""),"")</f>
        <v/>
      </c>
    </row>
    <row r="133" spans="8:23" ht="17.25" customHeight="1">
      <c r="H133" t="str">
        <f>IFERROR(IF(H132+1&lt;'General Info and Liability'!$B$15+1,'Property Schedule'!H132+1,""),"")</f>
        <v/>
      </c>
      <c r="J133" s="8"/>
      <c r="K133" s="7" t="str">
        <f>IFERROR(IF($H132+1&lt;'General Info and Liability'!$B$15+1,'General Info and Liability'!$B$18/'General Info and Liability'!$B$10*$L133,""),"")</f>
        <v/>
      </c>
      <c r="L133" s="8"/>
      <c r="M133" s="31" t="str">
        <f>IFERROR(IF($H132+1&lt;'General Info and Liability'!$B$15+1,'General Info and Liability'!$D$14/'General Info and Liability'!$B$10*$L133,""),"")</f>
        <v/>
      </c>
      <c r="N133" s="32" t="str">
        <f>IFERROR(IF($H132+1&lt;'General Info and Liability'!$B$15+1,'General Info and Liability'!$D$15/'General Info and Liability'!$B$10*$L133,""),"")</f>
        <v/>
      </c>
      <c r="O133" s="8"/>
      <c r="P133" s="8"/>
      <c r="Q133" t="str">
        <f>IFERROR(IF($H133+1&gt;0,'General Info and Liability'!$D$16,""),"")</f>
        <v/>
      </c>
      <c r="R133" t="str">
        <f>IFERROR(IF($H133+1&gt;0,'General Info and Liability'!$B$16,""),"")</f>
        <v/>
      </c>
      <c r="S133" t="str">
        <f>IFERROR(IF($H132+1&lt;'General Info and Liability'!$B$15+1,'General Info and Liability'!$D$17,""),"")</f>
        <v/>
      </c>
      <c r="T133" t="str">
        <f>IFERROR(IF($H132+1&lt;'General Info and Liability'!$B$15+1,'General Info and Liability'!$D$18,""),"")</f>
        <v/>
      </c>
      <c r="U133" t="str">
        <f>IFERROR(IF($H132+1&lt;'General Info and Liability'!$B$15+1,'General Info and Liability'!$D$19,""),"")</f>
        <v/>
      </c>
      <c r="V133" t="str">
        <f>IFERROR(IF($H132+1&lt;'General Info and Liability'!$B$15+1,'General Info and Liability'!$B$14,""),"")</f>
        <v/>
      </c>
      <c r="W133" t="str">
        <f>IFERROR(IF($H132+1&lt;'General Info and Liability'!$B$15+1,'General Info and Liability'!$D$20,""),"")</f>
        <v/>
      </c>
    </row>
    <row r="134" spans="8:23" ht="17.25" customHeight="1">
      <c r="H134" t="str">
        <f>IFERROR(IF(H133+1&lt;'General Info and Liability'!$B$15+1,'Property Schedule'!H133+1,""),"")</f>
        <v/>
      </c>
      <c r="J134" s="8"/>
      <c r="K134" s="7" t="str">
        <f>IFERROR(IF($H133+1&lt;'General Info and Liability'!$B$15+1,'General Info and Liability'!$B$18/'General Info and Liability'!$B$10*$L134,""),"")</f>
        <v/>
      </c>
      <c r="L134" s="8"/>
      <c r="M134" s="31" t="str">
        <f>IFERROR(IF($H133+1&lt;'General Info and Liability'!$B$15+1,'General Info and Liability'!$D$14/'General Info and Liability'!$B$10*$L134,""),"")</f>
        <v/>
      </c>
      <c r="N134" s="32" t="str">
        <f>IFERROR(IF($H133+1&lt;'General Info and Liability'!$B$15+1,'General Info and Liability'!$D$15/'General Info and Liability'!$B$10*$L134,""),"")</f>
        <v/>
      </c>
      <c r="O134" s="8"/>
      <c r="P134" s="8"/>
      <c r="Q134" t="str">
        <f>IFERROR(IF($H134+1&gt;0,'General Info and Liability'!$D$16,""),"")</f>
        <v/>
      </c>
      <c r="R134" t="str">
        <f>IFERROR(IF($H134+1&gt;0,'General Info and Liability'!$B$16,""),"")</f>
        <v/>
      </c>
      <c r="S134" t="str">
        <f>IFERROR(IF($H133+1&lt;'General Info and Liability'!$B$15+1,'General Info and Liability'!$D$17,""),"")</f>
        <v/>
      </c>
      <c r="T134" t="str">
        <f>IFERROR(IF($H133+1&lt;'General Info and Liability'!$B$15+1,'General Info and Liability'!$D$18,""),"")</f>
        <v/>
      </c>
      <c r="U134" t="str">
        <f>IFERROR(IF($H133+1&lt;'General Info and Liability'!$B$15+1,'General Info and Liability'!$D$19,""),"")</f>
        <v/>
      </c>
      <c r="V134" t="str">
        <f>IFERROR(IF($H133+1&lt;'General Info and Liability'!$B$15+1,'General Info and Liability'!$B$14,""),"")</f>
        <v/>
      </c>
      <c r="W134" t="str">
        <f>IFERROR(IF($H133+1&lt;'General Info and Liability'!$B$15+1,'General Info and Liability'!$D$20,""),"")</f>
        <v/>
      </c>
    </row>
    <row r="135" spans="8:23" ht="17.25" customHeight="1">
      <c r="H135" t="str">
        <f>IFERROR(IF(H134+1&lt;'General Info and Liability'!$B$15+1,'Property Schedule'!H134+1,""),"")</f>
        <v/>
      </c>
      <c r="J135" s="8"/>
      <c r="K135" s="7" t="str">
        <f>IFERROR(IF($H134+1&lt;'General Info and Liability'!$B$15+1,'General Info and Liability'!$B$18/'General Info and Liability'!$B$10*$L135,""),"")</f>
        <v/>
      </c>
      <c r="L135" s="8"/>
      <c r="M135" s="31" t="str">
        <f>IFERROR(IF($H134+1&lt;'General Info and Liability'!$B$15+1,'General Info and Liability'!$D$14/'General Info and Liability'!$B$10*$L135,""),"")</f>
        <v/>
      </c>
      <c r="N135" s="32" t="str">
        <f>IFERROR(IF($H134+1&lt;'General Info and Liability'!$B$15+1,'General Info and Liability'!$D$15/'General Info and Liability'!$B$10*$L135,""),"")</f>
        <v/>
      </c>
      <c r="O135" s="8"/>
      <c r="P135" s="8"/>
      <c r="Q135" t="str">
        <f>IFERROR(IF($H135+1&gt;0,'General Info and Liability'!$D$16,""),"")</f>
        <v/>
      </c>
      <c r="R135" t="str">
        <f>IFERROR(IF($H135+1&gt;0,'General Info and Liability'!$B$16,""),"")</f>
        <v/>
      </c>
      <c r="S135" t="str">
        <f>IFERROR(IF($H134+1&lt;'General Info and Liability'!$B$15+1,'General Info and Liability'!$D$17,""),"")</f>
        <v/>
      </c>
      <c r="T135" t="str">
        <f>IFERROR(IF($H134+1&lt;'General Info and Liability'!$B$15+1,'General Info and Liability'!$D$18,""),"")</f>
        <v/>
      </c>
      <c r="U135" t="str">
        <f>IFERROR(IF($H134+1&lt;'General Info and Liability'!$B$15+1,'General Info and Liability'!$D$19,""),"")</f>
        <v/>
      </c>
      <c r="V135" t="str">
        <f>IFERROR(IF($H134+1&lt;'General Info and Liability'!$B$15+1,'General Info and Liability'!$B$14,""),"")</f>
        <v/>
      </c>
      <c r="W135" t="str">
        <f>IFERROR(IF($H134+1&lt;'General Info and Liability'!$B$15+1,'General Info and Liability'!$D$20,""),"")</f>
        <v/>
      </c>
    </row>
    <row r="136" spans="8:23" ht="17.25" customHeight="1">
      <c r="H136" t="str">
        <f>IFERROR(IF(H135+1&lt;'General Info and Liability'!$B$15+1,'Property Schedule'!H135+1,""),"")</f>
        <v/>
      </c>
      <c r="J136" s="8"/>
      <c r="K136" s="7" t="str">
        <f>IFERROR(IF($H135+1&lt;'General Info and Liability'!$B$15+1,'General Info and Liability'!$B$18/'General Info and Liability'!$B$10*$L136,""),"")</f>
        <v/>
      </c>
      <c r="L136" s="8"/>
      <c r="M136" s="31" t="str">
        <f>IFERROR(IF($H135+1&lt;'General Info and Liability'!$B$15+1,'General Info and Liability'!$D$14/'General Info and Liability'!$B$10*$L136,""),"")</f>
        <v/>
      </c>
      <c r="N136" s="32" t="str">
        <f>IFERROR(IF($H135+1&lt;'General Info and Liability'!$B$15+1,'General Info and Liability'!$D$15/'General Info and Liability'!$B$10*$L136,""),"")</f>
        <v/>
      </c>
      <c r="O136" s="8"/>
      <c r="P136" s="8"/>
      <c r="Q136" t="str">
        <f>IFERROR(IF($H136+1&gt;0,'General Info and Liability'!$D$16,""),"")</f>
        <v/>
      </c>
      <c r="R136" t="str">
        <f>IFERROR(IF($H136+1&gt;0,'General Info and Liability'!$B$16,""),"")</f>
        <v/>
      </c>
      <c r="S136" t="str">
        <f>IFERROR(IF($H135+1&lt;'General Info and Liability'!$B$15+1,'General Info and Liability'!$D$17,""),"")</f>
        <v/>
      </c>
      <c r="T136" t="str">
        <f>IFERROR(IF($H135+1&lt;'General Info and Liability'!$B$15+1,'General Info and Liability'!$D$18,""),"")</f>
        <v/>
      </c>
      <c r="U136" t="str">
        <f>IFERROR(IF($H135+1&lt;'General Info and Liability'!$B$15+1,'General Info and Liability'!$D$19,""),"")</f>
        <v/>
      </c>
      <c r="V136" t="str">
        <f>IFERROR(IF($H135+1&lt;'General Info and Liability'!$B$15+1,'General Info and Liability'!$B$14,""),"")</f>
        <v/>
      </c>
      <c r="W136" t="str">
        <f>IFERROR(IF($H135+1&lt;'General Info and Liability'!$B$15+1,'General Info and Liability'!$D$20,""),"")</f>
        <v/>
      </c>
    </row>
    <row r="137" spans="8:23" ht="17.25" customHeight="1">
      <c r="H137" t="str">
        <f>IFERROR(IF(H136+1&lt;'General Info and Liability'!$B$15+1,'Property Schedule'!H136+1,""),"")</f>
        <v/>
      </c>
      <c r="J137" s="8"/>
      <c r="K137" s="7" t="str">
        <f>IFERROR(IF($H136+1&lt;'General Info and Liability'!$B$15+1,'General Info and Liability'!$B$18/'General Info and Liability'!$B$10*$L137,""),"")</f>
        <v/>
      </c>
      <c r="L137" s="8"/>
      <c r="M137" s="31" t="str">
        <f>IFERROR(IF($H136+1&lt;'General Info and Liability'!$B$15+1,'General Info and Liability'!$D$14/'General Info and Liability'!$B$10*$L137,""),"")</f>
        <v/>
      </c>
      <c r="N137" s="32" t="str">
        <f>IFERROR(IF($H136+1&lt;'General Info and Liability'!$B$15+1,'General Info and Liability'!$D$15/'General Info and Liability'!$B$10*$L137,""),"")</f>
        <v/>
      </c>
      <c r="O137" s="8"/>
      <c r="P137" s="8"/>
      <c r="Q137" t="str">
        <f>IFERROR(IF($H137+1&gt;0,'General Info and Liability'!$D$16,""),"")</f>
        <v/>
      </c>
      <c r="R137" t="str">
        <f>IFERROR(IF($H137+1&gt;0,'General Info and Liability'!$B$16,""),"")</f>
        <v/>
      </c>
      <c r="S137" t="str">
        <f>IFERROR(IF($H136+1&lt;'General Info and Liability'!$B$15+1,'General Info and Liability'!$D$17,""),"")</f>
        <v/>
      </c>
      <c r="T137" t="str">
        <f>IFERROR(IF($H136+1&lt;'General Info and Liability'!$B$15+1,'General Info and Liability'!$D$18,""),"")</f>
        <v/>
      </c>
      <c r="U137" t="str">
        <f>IFERROR(IF($H136+1&lt;'General Info and Liability'!$B$15+1,'General Info and Liability'!$D$19,""),"")</f>
        <v/>
      </c>
      <c r="V137" t="str">
        <f>IFERROR(IF($H136+1&lt;'General Info and Liability'!$B$15+1,'General Info and Liability'!$B$14,""),"")</f>
        <v/>
      </c>
      <c r="W137" t="str">
        <f>IFERROR(IF($H136+1&lt;'General Info and Liability'!$B$15+1,'General Info and Liability'!$D$20,""),"")</f>
        <v/>
      </c>
    </row>
    <row r="138" spans="8:23" ht="17.25" customHeight="1">
      <c r="H138" t="str">
        <f>IFERROR(IF(H137+1&lt;'General Info and Liability'!$B$15+1,'Property Schedule'!H137+1,""),"")</f>
        <v/>
      </c>
      <c r="J138" s="8"/>
      <c r="K138" s="7" t="str">
        <f>IFERROR(IF($H137+1&lt;'General Info and Liability'!$B$15+1,'General Info and Liability'!$B$18/'General Info and Liability'!$B$10*$L138,""),"")</f>
        <v/>
      </c>
      <c r="L138" s="8"/>
      <c r="M138" s="31" t="str">
        <f>IFERROR(IF($H137+1&lt;'General Info and Liability'!$B$15+1,'General Info and Liability'!$D$14/'General Info and Liability'!$B$10*$L138,""),"")</f>
        <v/>
      </c>
      <c r="N138" s="32" t="str">
        <f>IFERROR(IF($H137+1&lt;'General Info and Liability'!$B$15+1,'General Info and Liability'!$D$15/'General Info and Liability'!$B$10*$L138,""),"")</f>
        <v/>
      </c>
      <c r="O138" s="8"/>
      <c r="P138" s="8"/>
      <c r="Q138" t="str">
        <f>IFERROR(IF($H138+1&gt;0,'General Info and Liability'!$D$16,""),"")</f>
        <v/>
      </c>
      <c r="R138" t="str">
        <f>IFERROR(IF($H138+1&gt;0,'General Info and Liability'!$B$16,""),"")</f>
        <v/>
      </c>
      <c r="S138" t="str">
        <f>IFERROR(IF($H137+1&lt;'General Info and Liability'!$B$15+1,'General Info and Liability'!$D$17,""),"")</f>
        <v/>
      </c>
      <c r="T138" t="str">
        <f>IFERROR(IF($H137+1&lt;'General Info and Liability'!$B$15+1,'General Info and Liability'!$D$18,""),"")</f>
        <v/>
      </c>
      <c r="U138" t="str">
        <f>IFERROR(IF($H137+1&lt;'General Info and Liability'!$B$15+1,'General Info and Liability'!$D$19,""),"")</f>
        <v/>
      </c>
      <c r="V138" t="str">
        <f>IFERROR(IF($H137+1&lt;'General Info and Liability'!$B$15+1,'General Info and Liability'!$B$14,""),"")</f>
        <v/>
      </c>
      <c r="W138" t="str">
        <f>IFERROR(IF($H137+1&lt;'General Info and Liability'!$B$15+1,'General Info and Liability'!$D$20,""),"")</f>
        <v/>
      </c>
    </row>
    <row r="139" spans="8:23" ht="17.25" customHeight="1">
      <c r="H139" t="str">
        <f>IFERROR(IF(H138+1&lt;'General Info and Liability'!$B$15+1,'Property Schedule'!H138+1,""),"")</f>
        <v/>
      </c>
      <c r="J139" s="8"/>
      <c r="K139" s="7" t="str">
        <f>IFERROR(IF($H138+1&lt;'General Info and Liability'!$B$15+1,'General Info and Liability'!$B$18/'General Info and Liability'!$B$10*$L139,""),"")</f>
        <v/>
      </c>
      <c r="L139" s="8"/>
      <c r="M139" s="31" t="str">
        <f>IFERROR(IF($H138+1&lt;'General Info and Liability'!$B$15+1,'General Info and Liability'!$D$14/'General Info and Liability'!$B$10*$L139,""),"")</f>
        <v/>
      </c>
      <c r="N139" s="32" t="str">
        <f>IFERROR(IF($H138+1&lt;'General Info and Liability'!$B$15+1,'General Info and Liability'!$D$15/'General Info and Liability'!$B$10*$L139,""),"")</f>
        <v/>
      </c>
      <c r="O139" s="8"/>
      <c r="P139" s="8"/>
      <c r="Q139" t="str">
        <f>IFERROR(IF($H139+1&gt;0,'General Info and Liability'!$D$16,""),"")</f>
        <v/>
      </c>
      <c r="R139" t="str">
        <f>IFERROR(IF($H139+1&gt;0,'General Info and Liability'!$B$16,""),"")</f>
        <v/>
      </c>
      <c r="S139" t="str">
        <f>IFERROR(IF($H138+1&lt;'General Info and Liability'!$B$15+1,'General Info and Liability'!$D$17,""),"")</f>
        <v/>
      </c>
      <c r="T139" t="str">
        <f>IFERROR(IF($H138+1&lt;'General Info and Liability'!$B$15+1,'General Info and Liability'!$D$18,""),"")</f>
        <v/>
      </c>
      <c r="U139" t="str">
        <f>IFERROR(IF($H138+1&lt;'General Info and Liability'!$B$15+1,'General Info and Liability'!$D$19,""),"")</f>
        <v/>
      </c>
      <c r="V139" t="str">
        <f>IFERROR(IF($H138+1&lt;'General Info and Liability'!$B$15+1,'General Info and Liability'!$B$14,""),"")</f>
        <v/>
      </c>
      <c r="W139" t="str">
        <f>IFERROR(IF($H138+1&lt;'General Info and Liability'!$B$15+1,'General Info and Liability'!$D$20,""),"")</f>
        <v/>
      </c>
    </row>
    <row r="140" spans="8:23" ht="17.25" customHeight="1">
      <c r="H140" t="str">
        <f>IFERROR(IF(H139+1&lt;'General Info and Liability'!$B$15+1,'Property Schedule'!H139+1,""),"")</f>
        <v/>
      </c>
      <c r="J140" s="8"/>
      <c r="K140" s="7" t="str">
        <f>IFERROR(IF($H139+1&lt;'General Info and Liability'!$B$15+1,'General Info and Liability'!$B$18/'General Info and Liability'!$B$10*$L140,""),"")</f>
        <v/>
      </c>
      <c r="L140" s="8"/>
      <c r="M140" s="31" t="str">
        <f>IFERROR(IF($H139+1&lt;'General Info and Liability'!$B$15+1,'General Info and Liability'!$D$14/'General Info and Liability'!$B$10*$L140,""),"")</f>
        <v/>
      </c>
      <c r="N140" s="32" t="str">
        <f>IFERROR(IF($H139+1&lt;'General Info and Liability'!$B$15+1,'General Info and Liability'!$D$15/'General Info and Liability'!$B$10*$L140,""),"")</f>
        <v/>
      </c>
      <c r="O140" s="8"/>
      <c r="P140" s="8"/>
      <c r="Q140" t="str">
        <f>IFERROR(IF($H140+1&gt;0,'General Info and Liability'!$D$16,""),"")</f>
        <v/>
      </c>
      <c r="R140" t="str">
        <f>IFERROR(IF($H140+1&gt;0,'General Info and Liability'!$B$16,""),"")</f>
        <v/>
      </c>
      <c r="S140" t="str">
        <f>IFERROR(IF($H139+1&lt;'General Info and Liability'!$B$15+1,'General Info and Liability'!$D$17,""),"")</f>
        <v/>
      </c>
      <c r="T140" t="str">
        <f>IFERROR(IF($H139+1&lt;'General Info and Liability'!$B$15+1,'General Info and Liability'!$D$18,""),"")</f>
        <v/>
      </c>
      <c r="U140" t="str">
        <f>IFERROR(IF($H139+1&lt;'General Info and Liability'!$B$15+1,'General Info and Liability'!$D$19,""),"")</f>
        <v/>
      </c>
      <c r="V140" t="str">
        <f>IFERROR(IF($H139+1&lt;'General Info and Liability'!$B$15+1,'General Info and Liability'!$B$14,""),"")</f>
        <v/>
      </c>
      <c r="W140" t="str">
        <f>IFERROR(IF($H139+1&lt;'General Info and Liability'!$B$15+1,'General Info and Liability'!$D$20,""),"")</f>
        <v/>
      </c>
    </row>
    <row r="141" spans="8:23" ht="17.25" customHeight="1">
      <c r="H141" t="str">
        <f>IFERROR(IF(H140+1&lt;'General Info and Liability'!$B$15+1,'Property Schedule'!H140+1,""),"")</f>
        <v/>
      </c>
      <c r="J141" s="8"/>
      <c r="K141" s="7" t="str">
        <f>IFERROR(IF($H140+1&lt;'General Info and Liability'!$B$15+1,'General Info and Liability'!$B$18/'General Info and Liability'!$B$10*$L141,""),"")</f>
        <v/>
      </c>
      <c r="L141" s="8"/>
      <c r="M141" s="31" t="str">
        <f>IFERROR(IF($H140+1&lt;'General Info and Liability'!$B$15+1,'General Info and Liability'!$D$14/'General Info and Liability'!$B$10*$L141,""),"")</f>
        <v/>
      </c>
      <c r="N141" s="32" t="str">
        <f>IFERROR(IF($H140+1&lt;'General Info and Liability'!$B$15+1,'General Info and Liability'!$D$15/'General Info and Liability'!$B$10*$L141,""),"")</f>
        <v/>
      </c>
      <c r="O141" s="8"/>
      <c r="P141" s="8"/>
      <c r="Q141" t="str">
        <f>IFERROR(IF($H141+1&gt;0,'General Info and Liability'!$D$16,""),"")</f>
        <v/>
      </c>
      <c r="R141" t="str">
        <f>IFERROR(IF($H141+1&gt;0,'General Info and Liability'!$B$16,""),"")</f>
        <v/>
      </c>
      <c r="S141" t="str">
        <f>IFERROR(IF($H140+1&lt;'General Info and Liability'!$B$15+1,'General Info and Liability'!$D$17,""),"")</f>
        <v/>
      </c>
      <c r="T141" t="str">
        <f>IFERROR(IF($H140+1&lt;'General Info and Liability'!$B$15+1,'General Info and Liability'!$D$18,""),"")</f>
        <v/>
      </c>
      <c r="U141" t="str">
        <f>IFERROR(IF($H140+1&lt;'General Info and Liability'!$B$15+1,'General Info and Liability'!$D$19,""),"")</f>
        <v/>
      </c>
      <c r="V141" t="str">
        <f>IFERROR(IF($H140+1&lt;'General Info and Liability'!$B$15+1,'General Info and Liability'!$B$14,""),"")</f>
        <v/>
      </c>
      <c r="W141" t="str">
        <f>IFERROR(IF($H140+1&lt;'General Info and Liability'!$B$15+1,'General Info and Liability'!$D$20,""),"")</f>
        <v/>
      </c>
    </row>
    <row r="142" spans="8:23" ht="17.25" customHeight="1">
      <c r="H142" t="str">
        <f>IFERROR(IF(H141+1&lt;'General Info and Liability'!$B$15+1,'Property Schedule'!H141+1,""),"")</f>
        <v/>
      </c>
      <c r="J142" s="8"/>
      <c r="K142" s="7" t="str">
        <f>IFERROR(IF($H141+1&lt;'General Info and Liability'!$B$15+1,'General Info and Liability'!$B$18/'General Info and Liability'!$B$10*$L142,""),"")</f>
        <v/>
      </c>
      <c r="L142" s="8"/>
      <c r="M142" s="31" t="str">
        <f>IFERROR(IF($H141+1&lt;'General Info and Liability'!$B$15+1,'General Info and Liability'!$D$14/'General Info and Liability'!$B$10*$L142,""),"")</f>
        <v/>
      </c>
      <c r="N142" s="32" t="str">
        <f>IFERROR(IF($H141+1&lt;'General Info and Liability'!$B$15+1,'General Info and Liability'!$D$15/'General Info and Liability'!$B$10*$L142,""),"")</f>
        <v/>
      </c>
      <c r="O142" s="8"/>
      <c r="P142" s="8"/>
      <c r="Q142" t="str">
        <f>IFERROR(IF($H142+1&gt;0,'General Info and Liability'!$D$16,""),"")</f>
        <v/>
      </c>
      <c r="R142" t="str">
        <f>IFERROR(IF($H142+1&gt;0,'General Info and Liability'!$B$16,""),"")</f>
        <v/>
      </c>
      <c r="S142" t="str">
        <f>IFERROR(IF($H141+1&lt;'General Info and Liability'!$B$15+1,'General Info and Liability'!$D$17,""),"")</f>
        <v/>
      </c>
      <c r="T142" t="str">
        <f>IFERROR(IF($H141+1&lt;'General Info and Liability'!$B$15+1,'General Info and Liability'!$D$18,""),"")</f>
        <v/>
      </c>
      <c r="U142" t="str">
        <f>IFERROR(IF($H141+1&lt;'General Info and Liability'!$B$15+1,'General Info and Liability'!$D$19,""),"")</f>
        <v/>
      </c>
      <c r="V142" t="str">
        <f>IFERROR(IF($H141+1&lt;'General Info and Liability'!$B$15+1,'General Info and Liability'!$B$14,""),"")</f>
        <v/>
      </c>
      <c r="W142" t="str">
        <f>IFERROR(IF($H141+1&lt;'General Info and Liability'!$B$15+1,'General Info and Liability'!$D$20,""),"")</f>
        <v/>
      </c>
    </row>
    <row r="143" spans="8:23" ht="17.25" customHeight="1">
      <c r="H143" t="str">
        <f>IFERROR(IF(H142+1&lt;'General Info and Liability'!$B$15+1,'Property Schedule'!H142+1,""),"")</f>
        <v/>
      </c>
      <c r="J143" s="8"/>
      <c r="K143" s="7" t="str">
        <f>IFERROR(IF($H142+1&lt;'General Info and Liability'!$B$15+1,'General Info and Liability'!$B$18/'General Info and Liability'!$B$10*$L143,""),"")</f>
        <v/>
      </c>
      <c r="L143" s="8"/>
      <c r="M143" s="31" t="str">
        <f>IFERROR(IF($H142+1&lt;'General Info and Liability'!$B$15+1,'General Info and Liability'!$D$14/'General Info and Liability'!$B$10*$L143,""),"")</f>
        <v/>
      </c>
      <c r="N143" s="32" t="str">
        <f>IFERROR(IF($H142+1&lt;'General Info and Liability'!$B$15+1,'General Info and Liability'!$D$15/'General Info and Liability'!$B$10*$L143,""),"")</f>
        <v/>
      </c>
      <c r="O143" s="8"/>
      <c r="P143" s="8"/>
      <c r="Q143" t="str">
        <f>IFERROR(IF($H143+1&gt;0,'General Info and Liability'!$D$16,""),"")</f>
        <v/>
      </c>
      <c r="R143" t="str">
        <f>IFERROR(IF($H143+1&gt;0,'General Info and Liability'!$B$16,""),"")</f>
        <v/>
      </c>
      <c r="S143" t="str">
        <f>IFERROR(IF($H142+1&lt;'General Info and Liability'!$B$15+1,'General Info and Liability'!$D$17,""),"")</f>
        <v/>
      </c>
      <c r="T143" t="str">
        <f>IFERROR(IF($H142+1&lt;'General Info and Liability'!$B$15+1,'General Info and Liability'!$D$18,""),"")</f>
        <v/>
      </c>
      <c r="U143" t="str">
        <f>IFERROR(IF($H142+1&lt;'General Info and Liability'!$B$15+1,'General Info and Liability'!$D$19,""),"")</f>
        <v/>
      </c>
      <c r="V143" t="str">
        <f>IFERROR(IF($H142+1&lt;'General Info and Liability'!$B$15+1,'General Info and Liability'!$B$14,""),"")</f>
        <v/>
      </c>
      <c r="W143" t="str">
        <f>IFERROR(IF($H142+1&lt;'General Info and Liability'!$B$15+1,'General Info and Liability'!$D$20,""),"")</f>
        <v/>
      </c>
    </row>
    <row r="144" spans="8:23" ht="17.25" customHeight="1">
      <c r="H144" t="str">
        <f>IFERROR(IF(H143+1&lt;'General Info and Liability'!$B$15+1,'Property Schedule'!H143+1,""),"")</f>
        <v/>
      </c>
      <c r="J144" s="8"/>
      <c r="K144" s="7" t="str">
        <f>IFERROR(IF($H143+1&lt;'General Info and Liability'!$B$15+1,'General Info and Liability'!$B$18/'General Info and Liability'!$B$10*$L144,""),"")</f>
        <v/>
      </c>
      <c r="L144" s="8"/>
      <c r="M144" s="31" t="str">
        <f>IFERROR(IF($H143+1&lt;'General Info and Liability'!$B$15+1,'General Info and Liability'!$D$14/'General Info and Liability'!$B$10*$L144,""),"")</f>
        <v/>
      </c>
      <c r="N144" s="32" t="str">
        <f>IFERROR(IF($H143+1&lt;'General Info and Liability'!$B$15+1,'General Info and Liability'!$D$15/'General Info and Liability'!$B$10*$L144,""),"")</f>
        <v/>
      </c>
      <c r="O144" s="8"/>
      <c r="P144" s="8"/>
      <c r="Q144" t="str">
        <f>IFERROR(IF($H144+1&gt;0,'General Info and Liability'!$D$16,""),"")</f>
        <v/>
      </c>
      <c r="R144" t="str">
        <f>IFERROR(IF($H144+1&gt;0,'General Info and Liability'!$B$16,""),"")</f>
        <v/>
      </c>
      <c r="S144" t="str">
        <f>IFERROR(IF($H143+1&lt;'General Info and Liability'!$B$15+1,'General Info and Liability'!$D$17,""),"")</f>
        <v/>
      </c>
      <c r="T144" t="str">
        <f>IFERROR(IF($H143+1&lt;'General Info and Liability'!$B$15+1,'General Info and Liability'!$D$18,""),"")</f>
        <v/>
      </c>
      <c r="U144" t="str">
        <f>IFERROR(IF($H143+1&lt;'General Info and Liability'!$B$15+1,'General Info and Liability'!$D$19,""),"")</f>
        <v/>
      </c>
      <c r="V144" t="str">
        <f>IFERROR(IF($H143+1&lt;'General Info and Liability'!$B$15+1,'General Info and Liability'!$B$14,""),"")</f>
        <v/>
      </c>
      <c r="W144" t="str">
        <f>IFERROR(IF($H143+1&lt;'General Info and Liability'!$B$15+1,'General Info and Liability'!$D$20,""),"")</f>
        <v/>
      </c>
    </row>
    <row r="145" spans="8:23" ht="17.25" customHeight="1">
      <c r="H145" t="str">
        <f>IFERROR(IF(H144+1&lt;'General Info and Liability'!$B$15+1,'Property Schedule'!H144+1,""),"")</f>
        <v/>
      </c>
      <c r="J145" s="8"/>
      <c r="K145" s="7" t="str">
        <f>IFERROR(IF($H144+1&lt;'General Info and Liability'!$B$15+1,'General Info and Liability'!$B$18/'General Info and Liability'!$B$10*$L145,""),"")</f>
        <v/>
      </c>
      <c r="L145" s="8"/>
      <c r="M145" s="31" t="str">
        <f>IFERROR(IF($H144+1&lt;'General Info and Liability'!$B$15+1,'General Info and Liability'!$D$14/'General Info and Liability'!$B$10*$L145,""),"")</f>
        <v/>
      </c>
      <c r="N145" s="32" t="str">
        <f>IFERROR(IF($H144+1&lt;'General Info and Liability'!$B$15+1,'General Info and Liability'!$D$15/'General Info and Liability'!$B$10*$L145,""),"")</f>
        <v/>
      </c>
      <c r="O145" s="8"/>
      <c r="P145" s="8"/>
      <c r="Q145" t="str">
        <f>IFERROR(IF($H145+1&gt;0,'General Info and Liability'!$D$16,""),"")</f>
        <v/>
      </c>
      <c r="R145" t="str">
        <f>IFERROR(IF($H145+1&gt;0,'General Info and Liability'!$B$16,""),"")</f>
        <v/>
      </c>
      <c r="S145" t="str">
        <f>IFERROR(IF($H144+1&lt;'General Info and Liability'!$B$15+1,'General Info and Liability'!$D$17,""),"")</f>
        <v/>
      </c>
      <c r="T145" t="str">
        <f>IFERROR(IF($H144+1&lt;'General Info and Liability'!$B$15+1,'General Info and Liability'!$D$18,""),"")</f>
        <v/>
      </c>
      <c r="U145" t="str">
        <f>IFERROR(IF($H144+1&lt;'General Info and Liability'!$B$15+1,'General Info and Liability'!$D$19,""),"")</f>
        <v/>
      </c>
      <c r="V145" t="str">
        <f>IFERROR(IF($H144+1&lt;'General Info and Liability'!$B$15+1,'General Info and Liability'!$B$14,""),"")</f>
        <v/>
      </c>
      <c r="W145" t="str">
        <f>IFERROR(IF($H144+1&lt;'General Info and Liability'!$B$15+1,'General Info and Liability'!$D$20,""),"")</f>
        <v/>
      </c>
    </row>
    <row r="146" spans="8:23" ht="17.25" customHeight="1">
      <c r="H146" t="str">
        <f>IFERROR(IF(H145+1&lt;'General Info and Liability'!$B$15+1,'Property Schedule'!H145+1,""),"")</f>
        <v/>
      </c>
      <c r="J146" s="8"/>
      <c r="K146" s="7" t="str">
        <f>IFERROR(IF($H145+1&lt;'General Info and Liability'!$B$15+1,'General Info and Liability'!$B$18/'General Info and Liability'!$B$10*$L146,""),"")</f>
        <v/>
      </c>
      <c r="L146" s="8"/>
      <c r="M146" s="31" t="str">
        <f>IFERROR(IF($H145+1&lt;'General Info and Liability'!$B$15+1,'General Info and Liability'!$D$14/'General Info and Liability'!$B$10*$L146,""),"")</f>
        <v/>
      </c>
      <c r="N146" s="32" t="str">
        <f>IFERROR(IF($H145+1&lt;'General Info and Liability'!$B$15+1,'General Info and Liability'!$D$15/'General Info and Liability'!$B$10*$L146,""),"")</f>
        <v/>
      </c>
      <c r="O146" s="8"/>
      <c r="P146" s="8"/>
      <c r="Q146" t="str">
        <f>IFERROR(IF($H146+1&gt;0,'General Info and Liability'!$D$16,""),"")</f>
        <v/>
      </c>
      <c r="R146" t="str">
        <f>IFERROR(IF($H146+1&gt;0,'General Info and Liability'!$B$16,""),"")</f>
        <v/>
      </c>
      <c r="S146" t="str">
        <f>IFERROR(IF($H145+1&lt;'General Info and Liability'!$B$15+1,'General Info and Liability'!$D$17,""),"")</f>
        <v/>
      </c>
      <c r="T146" t="str">
        <f>IFERROR(IF($H145+1&lt;'General Info and Liability'!$B$15+1,'General Info and Liability'!$D$18,""),"")</f>
        <v/>
      </c>
      <c r="U146" t="str">
        <f>IFERROR(IF($H145+1&lt;'General Info and Liability'!$B$15+1,'General Info and Liability'!$D$19,""),"")</f>
        <v/>
      </c>
      <c r="V146" t="str">
        <f>IFERROR(IF($H145+1&lt;'General Info and Liability'!$B$15+1,'General Info and Liability'!$B$14,""),"")</f>
        <v/>
      </c>
      <c r="W146" t="str">
        <f>IFERROR(IF($H145+1&lt;'General Info and Liability'!$B$15+1,'General Info and Liability'!$D$20,""),"")</f>
        <v/>
      </c>
    </row>
    <row r="147" spans="8:23" ht="17.25" customHeight="1">
      <c r="H147" t="str">
        <f>IFERROR(IF(H146+1&lt;'General Info and Liability'!$B$15+1,'Property Schedule'!H146+1,""),"")</f>
        <v/>
      </c>
      <c r="J147" s="8"/>
      <c r="K147" s="7" t="str">
        <f>IFERROR(IF($H146+1&lt;'General Info and Liability'!$B$15+1,'General Info and Liability'!$B$18/'General Info and Liability'!$B$10*$L147,""),"")</f>
        <v/>
      </c>
      <c r="L147" s="8"/>
      <c r="M147" s="31" t="str">
        <f>IFERROR(IF($H146+1&lt;'General Info and Liability'!$B$15+1,'General Info and Liability'!$D$14/'General Info and Liability'!$B$10*$L147,""),"")</f>
        <v/>
      </c>
      <c r="N147" s="32" t="str">
        <f>IFERROR(IF($H146+1&lt;'General Info and Liability'!$B$15+1,'General Info and Liability'!$D$15/'General Info and Liability'!$B$10*$L147,""),"")</f>
        <v/>
      </c>
      <c r="O147" s="8"/>
      <c r="P147" s="8"/>
      <c r="Q147" t="str">
        <f>IFERROR(IF($H147+1&gt;0,'General Info and Liability'!$D$16,""),"")</f>
        <v/>
      </c>
      <c r="R147" t="str">
        <f>IFERROR(IF($H147+1&gt;0,'General Info and Liability'!$B$16,""),"")</f>
        <v/>
      </c>
      <c r="S147" t="str">
        <f>IFERROR(IF($H146+1&lt;'General Info and Liability'!$B$15+1,'General Info and Liability'!$D$17,""),"")</f>
        <v/>
      </c>
      <c r="T147" t="str">
        <f>IFERROR(IF($H146+1&lt;'General Info and Liability'!$B$15+1,'General Info and Liability'!$D$18,""),"")</f>
        <v/>
      </c>
      <c r="U147" t="str">
        <f>IFERROR(IF($H146+1&lt;'General Info and Liability'!$B$15+1,'General Info and Liability'!$D$19,""),"")</f>
        <v/>
      </c>
      <c r="V147" t="str">
        <f>IFERROR(IF($H146+1&lt;'General Info and Liability'!$B$15+1,'General Info and Liability'!$B$14,""),"")</f>
        <v/>
      </c>
      <c r="W147" t="str">
        <f>IFERROR(IF($H146+1&lt;'General Info and Liability'!$B$15+1,'General Info and Liability'!$D$20,""),"")</f>
        <v/>
      </c>
    </row>
    <row r="148" spans="8:23" ht="17.25" customHeight="1">
      <c r="H148" t="str">
        <f>IFERROR(IF(H147+1&lt;'General Info and Liability'!$B$15+1,'Property Schedule'!H147+1,""),"")</f>
        <v/>
      </c>
      <c r="J148" s="8"/>
      <c r="K148" s="7" t="str">
        <f>IFERROR(IF($H147+1&lt;'General Info and Liability'!$B$15+1,'General Info and Liability'!$B$18/'General Info and Liability'!$B$10*$L148,""),"")</f>
        <v/>
      </c>
      <c r="L148" s="8"/>
      <c r="M148" s="31" t="str">
        <f>IFERROR(IF($H147+1&lt;'General Info and Liability'!$B$15+1,'General Info and Liability'!$D$14/'General Info and Liability'!$B$10*$L148,""),"")</f>
        <v/>
      </c>
      <c r="N148" s="32" t="str">
        <f>IFERROR(IF($H147+1&lt;'General Info and Liability'!$B$15+1,'General Info and Liability'!$D$15/'General Info and Liability'!$B$10*$L148,""),"")</f>
        <v/>
      </c>
      <c r="O148" s="8"/>
      <c r="P148" s="8"/>
      <c r="Q148" t="str">
        <f>IFERROR(IF($H148+1&gt;0,'General Info and Liability'!$D$16,""),"")</f>
        <v/>
      </c>
      <c r="R148" t="str">
        <f>IFERROR(IF($H148+1&gt;0,'General Info and Liability'!$B$16,""),"")</f>
        <v/>
      </c>
      <c r="S148" t="str">
        <f>IFERROR(IF($H147+1&lt;'General Info and Liability'!$B$15+1,'General Info and Liability'!$D$17,""),"")</f>
        <v/>
      </c>
      <c r="T148" t="str">
        <f>IFERROR(IF($H147+1&lt;'General Info and Liability'!$B$15+1,'General Info and Liability'!$D$18,""),"")</f>
        <v/>
      </c>
      <c r="U148" t="str">
        <f>IFERROR(IF($H147+1&lt;'General Info and Liability'!$B$15+1,'General Info and Liability'!$D$19,""),"")</f>
        <v/>
      </c>
      <c r="V148" t="str">
        <f>IFERROR(IF($H147+1&lt;'General Info and Liability'!$B$15+1,'General Info and Liability'!$B$14,""),"")</f>
        <v/>
      </c>
      <c r="W148" t="str">
        <f>IFERROR(IF($H147+1&lt;'General Info and Liability'!$B$15+1,'General Info and Liability'!$D$20,""),"")</f>
        <v/>
      </c>
    </row>
    <row r="149" spans="8:23" ht="17.25" customHeight="1">
      <c r="H149" t="str">
        <f>IFERROR(IF(H148+1&lt;'General Info and Liability'!$B$15+1,'Property Schedule'!H148+1,""),"")</f>
        <v/>
      </c>
      <c r="J149" s="8"/>
      <c r="K149" s="7" t="str">
        <f>IFERROR(IF($H148+1&lt;'General Info and Liability'!$B$15+1,'General Info and Liability'!$B$18/'General Info and Liability'!$B$10*$L149,""),"")</f>
        <v/>
      </c>
      <c r="L149" s="8"/>
      <c r="M149" s="31" t="str">
        <f>IFERROR(IF($H148+1&lt;'General Info and Liability'!$B$15+1,'General Info and Liability'!$D$14/'General Info and Liability'!$B$10*$L149,""),"")</f>
        <v/>
      </c>
      <c r="N149" s="32" t="str">
        <f>IFERROR(IF($H148+1&lt;'General Info and Liability'!$B$15+1,'General Info and Liability'!$D$15/'General Info and Liability'!$B$10*$L149,""),"")</f>
        <v/>
      </c>
      <c r="O149" s="8"/>
      <c r="P149" s="8"/>
      <c r="Q149" t="str">
        <f>IFERROR(IF($H149+1&gt;0,'General Info and Liability'!$D$16,""),"")</f>
        <v/>
      </c>
      <c r="R149" t="str">
        <f>IFERROR(IF($H149+1&gt;0,'General Info and Liability'!$B$16,""),"")</f>
        <v/>
      </c>
      <c r="S149" t="str">
        <f>IFERROR(IF($H148+1&lt;'General Info and Liability'!$B$15+1,'General Info and Liability'!$D$17,""),"")</f>
        <v/>
      </c>
      <c r="T149" t="str">
        <f>IFERROR(IF($H148+1&lt;'General Info and Liability'!$B$15+1,'General Info and Liability'!$D$18,""),"")</f>
        <v/>
      </c>
      <c r="U149" t="str">
        <f>IFERROR(IF($H148+1&lt;'General Info and Liability'!$B$15+1,'General Info and Liability'!$D$19,""),"")</f>
        <v/>
      </c>
      <c r="V149" t="str">
        <f>IFERROR(IF($H148+1&lt;'General Info and Liability'!$B$15+1,'General Info and Liability'!$B$14,""),"")</f>
        <v/>
      </c>
      <c r="W149" t="str">
        <f>IFERROR(IF($H148+1&lt;'General Info and Liability'!$B$15+1,'General Info and Liability'!$D$20,""),"")</f>
        <v/>
      </c>
    </row>
    <row r="150" spans="8:23" ht="17.25" customHeight="1">
      <c r="H150" t="str">
        <f>IFERROR(IF(H149+1&lt;'General Info and Liability'!$B$15+1,'Property Schedule'!H149+1,""),"")</f>
        <v/>
      </c>
      <c r="J150" s="8"/>
      <c r="K150" s="7" t="str">
        <f>IFERROR(IF($H149+1&lt;'General Info and Liability'!$B$15+1,'General Info and Liability'!$B$18/'General Info and Liability'!$B$10*$L150,""),"")</f>
        <v/>
      </c>
      <c r="L150" s="8"/>
      <c r="M150" s="31" t="str">
        <f>IFERROR(IF($H149+1&lt;'General Info and Liability'!$B$15+1,'General Info and Liability'!$D$14/'General Info and Liability'!$B$10*$L150,""),"")</f>
        <v/>
      </c>
      <c r="N150" s="32" t="str">
        <f>IFERROR(IF($H149+1&lt;'General Info and Liability'!$B$15+1,'General Info and Liability'!$D$15/'General Info and Liability'!$B$10*$L150,""),"")</f>
        <v/>
      </c>
      <c r="O150" s="8"/>
      <c r="P150" s="8"/>
      <c r="Q150" t="str">
        <f>IFERROR(IF($H150+1&gt;0,'General Info and Liability'!$D$16,""),"")</f>
        <v/>
      </c>
      <c r="R150" t="str">
        <f>IFERROR(IF($H150+1&gt;0,'General Info and Liability'!$B$16,""),"")</f>
        <v/>
      </c>
      <c r="S150" t="str">
        <f>IFERROR(IF($H149+1&lt;'General Info and Liability'!$B$15+1,'General Info and Liability'!$D$17,""),"")</f>
        <v/>
      </c>
      <c r="T150" t="str">
        <f>IFERROR(IF($H149+1&lt;'General Info and Liability'!$B$15+1,'General Info and Liability'!$D$18,""),"")</f>
        <v/>
      </c>
      <c r="U150" t="str">
        <f>IFERROR(IF($H149+1&lt;'General Info and Liability'!$B$15+1,'General Info and Liability'!$D$19,""),"")</f>
        <v/>
      </c>
      <c r="V150" t="str">
        <f>IFERROR(IF($H149+1&lt;'General Info and Liability'!$B$15+1,'General Info and Liability'!$B$14,""),"")</f>
        <v/>
      </c>
      <c r="W150" t="str">
        <f>IFERROR(IF($H149+1&lt;'General Info and Liability'!$B$15+1,'General Info and Liability'!$D$20,""),"")</f>
        <v/>
      </c>
    </row>
    <row r="151" spans="8:23" ht="17.25" customHeight="1">
      <c r="H151" t="str">
        <f>IFERROR(IF(H150+1&lt;'General Info and Liability'!$B$15+1,'Property Schedule'!H150+1,""),"")</f>
        <v/>
      </c>
      <c r="J151" s="8"/>
      <c r="K151" s="7" t="str">
        <f>IFERROR(IF($H150+1&lt;'General Info and Liability'!$B$15+1,'General Info and Liability'!$B$18/'General Info and Liability'!$B$10*$L151,""),"")</f>
        <v/>
      </c>
      <c r="L151" s="8"/>
      <c r="M151" s="31" t="str">
        <f>IFERROR(IF($H150+1&lt;'General Info and Liability'!$B$15+1,'General Info and Liability'!$D$14/'General Info and Liability'!$B$10*$L151,""),"")</f>
        <v/>
      </c>
      <c r="N151" s="32" t="str">
        <f>IFERROR(IF($H150+1&lt;'General Info and Liability'!$B$15+1,'General Info and Liability'!$D$15/'General Info and Liability'!$B$10*$L151,""),"")</f>
        <v/>
      </c>
      <c r="O151" s="8"/>
      <c r="P151" s="8"/>
      <c r="Q151" t="str">
        <f>IFERROR(IF($H151+1&gt;0,'General Info and Liability'!$D$16,""),"")</f>
        <v/>
      </c>
      <c r="R151" t="str">
        <f>IFERROR(IF($H151+1&gt;0,'General Info and Liability'!$B$16,""),"")</f>
        <v/>
      </c>
      <c r="S151" t="str">
        <f>IFERROR(IF($H150+1&lt;'General Info and Liability'!$B$15+1,'General Info and Liability'!$D$17,""),"")</f>
        <v/>
      </c>
      <c r="T151" t="str">
        <f>IFERROR(IF($H150+1&lt;'General Info and Liability'!$B$15+1,'General Info and Liability'!$D$18,""),"")</f>
        <v/>
      </c>
      <c r="U151" t="str">
        <f>IFERROR(IF($H150+1&lt;'General Info and Liability'!$B$15+1,'General Info and Liability'!$D$19,""),"")</f>
        <v/>
      </c>
      <c r="V151" t="str">
        <f>IFERROR(IF($H150+1&lt;'General Info and Liability'!$B$15+1,'General Info and Liability'!$B$14,""),"")</f>
        <v/>
      </c>
      <c r="W151" t="str">
        <f>IFERROR(IF($H150+1&lt;'General Info and Liability'!$B$15+1,'General Info and Liability'!$D$20,""),"")</f>
        <v/>
      </c>
    </row>
    <row r="152" spans="8:23" ht="16.5" customHeight="1">
      <c r="H152" t="str">
        <f>IFERROR(IF(H151+1&lt;'General Info and Liability'!$B$15+1,'Property Schedule'!H151+1,""),"")</f>
        <v/>
      </c>
      <c r="J152" s="8"/>
      <c r="K152" s="7" t="str">
        <f>IFERROR(IF($H151+1&lt;'General Info and Liability'!$B$15+1,'General Info and Liability'!$B$18/'General Info and Liability'!$B$10*$L152,""),"")</f>
        <v/>
      </c>
      <c r="L152" s="8"/>
      <c r="M152" s="31" t="str">
        <f>IFERROR(IF($H151+1&lt;'General Info and Liability'!$B$15+1,'General Info and Liability'!$D$14/'General Info and Liability'!$B$10*$L152,""),"")</f>
        <v/>
      </c>
      <c r="N152" s="32" t="str">
        <f>IFERROR(IF($H151+1&lt;'General Info and Liability'!$B$15+1,'General Info and Liability'!$D$15/'General Info and Liability'!$B$10*$L152,""),"")</f>
        <v/>
      </c>
      <c r="O152" s="8"/>
      <c r="P152" s="8"/>
      <c r="Q152" t="str">
        <f>IFERROR(IF($H152+1&gt;0,'General Info and Liability'!$D$16,""),"")</f>
        <v/>
      </c>
      <c r="R152" t="str">
        <f>IFERROR(IF($H152+1&gt;0,'General Info and Liability'!$B$16,""),"")</f>
        <v/>
      </c>
      <c r="S152" t="str">
        <f>IFERROR(IF($H151+1&lt;'General Info and Liability'!$B$15+1,'General Info and Liability'!$D$17,""),"")</f>
        <v/>
      </c>
      <c r="T152" t="str">
        <f>IFERROR(IF($H151+1&lt;'General Info and Liability'!$B$15+1,'General Info and Liability'!$D$18,""),"")</f>
        <v/>
      </c>
      <c r="U152" t="str">
        <f>IFERROR(IF($H151+1&lt;'General Info and Liability'!$B$15+1,'General Info and Liability'!$D$19,""),"")</f>
        <v/>
      </c>
      <c r="V152" t="str">
        <f>IFERROR(IF($H151+1&lt;'General Info and Liability'!$B$15+1,'General Info and Liability'!$B$14,""),"")</f>
        <v/>
      </c>
      <c r="W152" t="str">
        <f>IFERROR(IF($H151+1&lt;'General Info and Liability'!$B$15+1,'General Info and Liability'!$D$20,""),"")</f>
        <v/>
      </c>
    </row>
    <row r="153" spans="8:23" ht="16.5" customHeight="1">
      <c r="H153" t="str">
        <f>IFERROR(IF(H152+1&lt;'General Info and Liability'!$B$15+1,'Property Schedule'!H152+1,""),"")</f>
        <v/>
      </c>
      <c r="J153" s="8"/>
      <c r="K153" s="7" t="str">
        <f>IFERROR(IF($H152+1&lt;'General Info and Liability'!$B$15+1,'General Info and Liability'!$B$18/'General Info and Liability'!$B$10*$L153,""),"")</f>
        <v/>
      </c>
      <c r="L153" s="8"/>
      <c r="M153" s="31" t="str">
        <f>IFERROR(IF($H152+1&lt;'General Info and Liability'!$B$15+1,'General Info and Liability'!$D$14/'General Info and Liability'!$B$10*$L153,""),"")</f>
        <v/>
      </c>
      <c r="N153" s="32" t="str">
        <f>IFERROR(IF($H152+1&lt;'General Info and Liability'!$B$15+1,'General Info and Liability'!$D$15/'General Info and Liability'!$B$10*$L153,""),"")</f>
        <v/>
      </c>
      <c r="O153" s="8"/>
      <c r="P153" s="8"/>
      <c r="Q153" t="str">
        <f>IFERROR(IF($H153+1&gt;0,'General Info and Liability'!$D$16,""),"")</f>
        <v/>
      </c>
      <c r="R153" t="str">
        <f>IFERROR(IF($H153+1&gt;0,'General Info and Liability'!$B$16,""),"")</f>
        <v/>
      </c>
      <c r="S153" t="str">
        <f>IFERROR(IF($H152+1&lt;'General Info and Liability'!$B$15+1,'General Info and Liability'!$D$17,""),"")</f>
        <v/>
      </c>
      <c r="T153" t="str">
        <f>IFERROR(IF($H152+1&lt;'General Info and Liability'!$B$15+1,'General Info and Liability'!$D$18,""),"")</f>
        <v/>
      </c>
      <c r="U153" t="str">
        <f>IFERROR(IF($H152+1&lt;'General Info and Liability'!$B$15+1,'General Info and Liability'!$D$19,""),"")</f>
        <v/>
      </c>
      <c r="V153" t="str">
        <f>IFERROR(IF($H152+1&lt;'General Info and Liability'!$B$15+1,'General Info and Liability'!$B$14,""),"")</f>
        <v/>
      </c>
      <c r="W153" t="str">
        <f>IFERROR(IF($H152+1&lt;'General Info and Liability'!$B$15+1,'General Info and Liability'!$D$20,""),"")</f>
        <v/>
      </c>
    </row>
    <row r="154" spans="8:23" ht="16.5" customHeight="1">
      <c r="H154" t="str">
        <f>IFERROR(IF(H153+1&lt;'General Info and Liability'!$B$15+1,'Property Schedule'!H153+1,""),"")</f>
        <v/>
      </c>
      <c r="J154" s="8"/>
      <c r="K154" s="7" t="str">
        <f>IFERROR(IF($H153+1&lt;'General Info and Liability'!$B$15+1,'General Info and Liability'!$B$18/'General Info and Liability'!$B$10*$L154,""),"")</f>
        <v/>
      </c>
      <c r="L154" s="8"/>
      <c r="M154" s="31" t="str">
        <f>IFERROR(IF($H153+1&lt;'General Info and Liability'!$B$15+1,'General Info and Liability'!$D$14/'General Info and Liability'!$B$10*$L154,""),"")</f>
        <v/>
      </c>
      <c r="N154" s="32" t="str">
        <f>IFERROR(IF($H153+1&lt;'General Info and Liability'!$B$15+1,'General Info and Liability'!$D$15/'General Info and Liability'!$B$10*$L154,""),"")</f>
        <v/>
      </c>
      <c r="O154" s="8"/>
      <c r="P154" s="8"/>
      <c r="Q154" t="str">
        <f>IFERROR(IF($H154+1&gt;0,'General Info and Liability'!$D$16,""),"")</f>
        <v/>
      </c>
      <c r="R154" t="str">
        <f>IFERROR(IF($H154+1&gt;0,'General Info and Liability'!$B$16,""),"")</f>
        <v/>
      </c>
      <c r="S154" t="str">
        <f>IFERROR(IF($H153+1&lt;'General Info and Liability'!$B$15+1,'General Info and Liability'!$D$17,""),"")</f>
        <v/>
      </c>
      <c r="T154" t="str">
        <f>IFERROR(IF($H153+1&lt;'General Info and Liability'!$B$15+1,'General Info and Liability'!$D$18,""),"")</f>
        <v/>
      </c>
      <c r="U154" t="str">
        <f>IFERROR(IF($H153+1&lt;'General Info and Liability'!$B$15+1,'General Info and Liability'!$D$19,""),"")</f>
        <v/>
      </c>
      <c r="V154" t="str">
        <f>IFERROR(IF($H153+1&lt;'General Info and Liability'!$B$15+1,'General Info and Liability'!$B$14,""),"")</f>
        <v/>
      </c>
      <c r="W154" t="str">
        <f>IFERROR(IF($H153+1&lt;'General Info and Liability'!$B$15+1,'General Info and Liability'!$D$20,""),"")</f>
        <v/>
      </c>
    </row>
    <row r="155" spans="8:23" ht="16.5" customHeight="1">
      <c r="H155" t="str">
        <f>IFERROR(IF(H154+1&lt;'General Info and Liability'!$B$15+1,'Property Schedule'!H154+1,""),"")</f>
        <v/>
      </c>
      <c r="J155" s="8"/>
      <c r="K155" s="7" t="str">
        <f>IFERROR(IF($H154+1&lt;'General Info and Liability'!$B$15+1,'General Info and Liability'!$B$18/'General Info and Liability'!$B$10*$L155,""),"")</f>
        <v/>
      </c>
      <c r="L155" s="8"/>
      <c r="M155" s="31" t="str">
        <f>IFERROR(IF($H154+1&lt;'General Info and Liability'!$B$15+1,'General Info and Liability'!$D$14/'General Info and Liability'!$B$10*$L155,""),"")</f>
        <v/>
      </c>
      <c r="N155" s="32" t="str">
        <f>IFERROR(IF($H154+1&lt;'General Info and Liability'!$B$15+1,'General Info and Liability'!$D$15/'General Info and Liability'!$B$10*$L155,""),"")</f>
        <v/>
      </c>
      <c r="O155" s="8"/>
      <c r="P155" s="8"/>
      <c r="Q155" t="str">
        <f>IFERROR(IF($H155+1&gt;0,'General Info and Liability'!$D$16,""),"")</f>
        <v/>
      </c>
      <c r="R155" t="str">
        <f>IFERROR(IF($H155+1&gt;0,'General Info and Liability'!$B$16,""),"")</f>
        <v/>
      </c>
      <c r="S155" t="str">
        <f>IFERROR(IF($H154+1&lt;'General Info and Liability'!$B$15+1,'General Info and Liability'!$D$17,""),"")</f>
        <v/>
      </c>
      <c r="T155" t="str">
        <f>IFERROR(IF($H154+1&lt;'General Info and Liability'!$B$15+1,'General Info and Liability'!$D$18,""),"")</f>
        <v/>
      </c>
      <c r="U155" t="str">
        <f>IFERROR(IF($H154+1&lt;'General Info and Liability'!$B$15+1,'General Info and Liability'!$D$19,""),"")</f>
        <v/>
      </c>
      <c r="V155" t="str">
        <f>IFERROR(IF($H154+1&lt;'General Info and Liability'!$B$15+1,'General Info and Liability'!$B$14,""),"")</f>
        <v/>
      </c>
      <c r="W155" t="str">
        <f>IFERROR(IF($H154+1&lt;'General Info and Liability'!$B$15+1,'General Info and Liability'!$D$20,""),"")</f>
        <v/>
      </c>
    </row>
    <row r="156" spans="8:23" ht="16.5" customHeight="1">
      <c r="H156" t="str">
        <f>IFERROR(IF(H155+1&lt;'General Info and Liability'!$B$15+1,'Property Schedule'!H155+1,""),"")</f>
        <v/>
      </c>
      <c r="J156" s="8"/>
      <c r="K156" s="7" t="str">
        <f>IFERROR(IF($H155+1&lt;'General Info and Liability'!$B$15+1,'General Info and Liability'!$B$18/'General Info and Liability'!$B$10*$L156,""),"")</f>
        <v/>
      </c>
      <c r="L156" s="8"/>
      <c r="M156" s="31" t="str">
        <f>IFERROR(IF($H155+1&lt;'General Info and Liability'!$B$15+1,'General Info and Liability'!$D$14/'General Info and Liability'!$B$10*$L156,""),"")</f>
        <v/>
      </c>
      <c r="N156" s="32" t="str">
        <f>IFERROR(IF($H155+1&lt;'General Info and Liability'!$B$15+1,'General Info and Liability'!$D$15/'General Info and Liability'!$B$10*$L156,""),"")</f>
        <v/>
      </c>
      <c r="O156" s="8"/>
      <c r="P156" s="8"/>
      <c r="Q156" t="str">
        <f>IFERROR(IF($H156+1&gt;0,'General Info and Liability'!$D$16,""),"")</f>
        <v/>
      </c>
      <c r="R156" t="str">
        <f>IFERROR(IF($H156+1&gt;0,'General Info and Liability'!$B$16,""),"")</f>
        <v/>
      </c>
      <c r="S156" t="str">
        <f>IFERROR(IF($H155+1&lt;'General Info and Liability'!$B$15+1,'General Info and Liability'!$D$17,""),"")</f>
        <v/>
      </c>
      <c r="T156" t="str">
        <f>IFERROR(IF($H155+1&lt;'General Info and Liability'!$B$15+1,'General Info and Liability'!$D$18,""),"")</f>
        <v/>
      </c>
      <c r="U156" t="str">
        <f>IFERROR(IF($H155+1&lt;'General Info and Liability'!$B$15+1,'General Info and Liability'!$D$19,""),"")</f>
        <v/>
      </c>
      <c r="V156" t="str">
        <f>IFERROR(IF($H155+1&lt;'General Info and Liability'!$B$15+1,'General Info and Liability'!$B$14,""),"")</f>
        <v/>
      </c>
      <c r="W156" t="str">
        <f>IFERROR(IF($H155+1&lt;'General Info and Liability'!$B$15+1,'General Info and Liability'!$D$20,""),"")</f>
        <v/>
      </c>
    </row>
    <row r="157" spans="8:23" ht="16.5" customHeight="1">
      <c r="H157" t="str">
        <f>IFERROR(IF(H156+1&lt;'General Info and Liability'!$B$15+1,'Property Schedule'!H156+1,""),"")</f>
        <v/>
      </c>
      <c r="J157" s="8"/>
      <c r="K157" s="7" t="str">
        <f>IFERROR(IF($H156+1&lt;'General Info and Liability'!$B$15+1,'General Info and Liability'!$B$18/'General Info and Liability'!$B$10*$L157,""),"")</f>
        <v/>
      </c>
      <c r="L157" s="8"/>
      <c r="M157" s="31" t="str">
        <f>IFERROR(IF($H156+1&lt;'General Info and Liability'!$B$15+1,'General Info and Liability'!$D$14/'General Info and Liability'!$B$10*$L157,""),"")</f>
        <v/>
      </c>
      <c r="N157" s="32" t="str">
        <f>IFERROR(IF($H156+1&lt;'General Info and Liability'!$B$15+1,'General Info and Liability'!$D$15/'General Info and Liability'!$B$10*$L157,""),"")</f>
        <v/>
      </c>
      <c r="O157" s="8"/>
      <c r="P157" s="8"/>
      <c r="Q157" t="str">
        <f>IFERROR(IF($H157+1&gt;0,'General Info and Liability'!$D$16,""),"")</f>
        <v/>
      </c>
      <c r="R157" t="str">
        <f>IFERROR(IF($H157+1&gt;0,'General Info and Liability'!$B$16,""),"")</f>
        <v/>
      </c>
      <c r="S157" t="str">
        <f>IFERROR(IF($H156+1&lt;'General Info and Liability'!$B$15+1,'General Info and Liability'!$D$17,""),"")</f>
        <v/>
      </c>
      <c r="T157" t="str">
        <f>IFERROR(IF($H156+1&lt;'General Info and Liability'!$B$15+1,'General Info and Liability'!$D$18,""),"")</f>
        <v/>
      </c>
      <c r="U157" t="str">
        <f>IFERROR(IF($H156+1&lt;'General Info and Liability'!$B$15+1,'General Info and Liability'!$D$19,""),"")</f>
        <v/>
      </c>
      <c r="V157" t="str">
        <f>IFERROR(IF($H156+1&lt;'General Info and Liability'!$B$15+1,'General Info and Liability'!$B$14,""),"")</f>
        <v/>
      </c>
      <c r="W157" t="str">
        <f>IFERROR(IF($H156+1&lt;'General Info and Liability'!$B$15+1,'General Info and Liability'!$D$20,""),"")</f>
        <v/>
      </c>
    </row>
    <row r="158" spans="8:23" ht="16.5" customHeight="1">
      <c r="H158" t="str">
        <f>IFERROR(IF(H157+1&lt;'General Info and Liability'!$B$15+1,'Property Schedule'!H157+1,""),"")</f>
        <v/>
      </c>
      <c r="J158" s="8"/>
      <c r="K158" s="7" t="str">
        <f>IFERROR(IF($H157+1&lt;'General Info and Liability'!$B$15+1,'General Info and Liability'!$B$18/'General Info and Liability'!$B$10*$L158,""),"")</f>
        <v/>
      </c>
      <c r="L158" s="8"/>
      <c r="M158" s="31" t="str">
        <f>IFERROR(IF($H157+1&lt;'General Info and Liability'!$B$15+1,'General Info and Liability'!$D$14/'General Info and Liability'!$B$10*$L158,""),"")</f>
        <v/>
      </c>
      <c r="N158" s="32" t="str">
        <f>IFERROR(IF($H157+1&lt;'General Info and Liability'!$B$15+1,'General Info and Liability'!$D$15/'General Info and Liability'!$B$10*$L158,""),"")</f>
        <v/>
      </c>
      <c r="O158" s="8"/>
      <c r="P158" s="8"/>
      <c r="Q158" t="str">
        <f>IFERROR(IF($H158+1&gt;0,'General Info and Liability'!$D$16,""),"")</f>
        <v/>
      </c>
      <c r="R158" t="str">
        <f>IFERROR(IF($H158+1&gt;0,'General Info and Liability'!$B$16,""),"")</f>
        <v/>
      </c>
      <c r="S158" t="str">
        <f>IFERROR(IF($H157+1&lt;'General Info and Liability'!$B$15+1,'General Info and Liability'!$D$17,""),"")</f>
        <v/>
      </c>
      <c r="T158" t="str">
        <f>IFERROR(IF($H157+1&lt;'General Info and Liability'!$B$15+1,'General Info and Liability'!$D$18,""),"")</f>
        <v/>
      </c>
      <c r="U158" t="str">
        <f>IFERROR(IF($H157+1&lt;'General Info and Liability'!$B$15+1,'General Info and Liability'!$D$19,""),"")</f>
        <v/>
      </c>
      <c r="V158" t="str">
        <f>IFERROR(IF($H157+1&lt;'General Info and Liability'!$B$15+1,'General Info and Liability'!$B$14,""),"")</f>
        <v/>
      </c>
      <c r="W158" t="str">
        <f>IFERROR(IF($H157+1&lt;'General Info and Liability'!$B$15+1,'General Info and Liability'!$D$20,""),"")</f>
        <v/>
      </c>
    </row>
    <row r="159" spans="8:23" ht="16.5" customHeight="1">
      <c r="H159" t="str">
        <f>IFERROR(IF(H158+1&lt;'General Info and Liability'!$B$15+1,'Property Schedule'!H158+1,""),"")</f>
        <v/>
      </c>
      <c r="J159" s="8"/>
      <c r="K159" s="7" t="str">
        <f>IFERROR(IF($H158+1&lt;'General Info and Liability'!$B$15+1,'General Info and Liability'!$B$18/'General Info and Liability'!$B$10*$L159,""),"")</f>
        <v/>
      </c>
      <c r="L159" s="8"/>
      <c r="M159" s="31" t="str">
        <f>IFERROR(IF($H158+1&lt;'General Info and Liability'!$B$15+1,'General Info and Liability'!$D$14/'General Info and Liability'!$B$10*$L159,""),"")</f>
        <v/>
      </c>
      <c r="N159" s="32" t="str">
        <f>IFERROR(IF($H158+1&lt;'General Info and Liability'!$B$15+1,'General Info and Liability'!$D$15/'General Info and Liability'!$B$10*$L159,""),"")</f>
        <v/>
      </c>
      <c r="O159" s="8"/>
      <c r="P159" s="8"/>
      <c r="Q159" t="str">
        <f>IFERROR(IF($H159+1&gt;0,'General Info and Liability'!$D$16,""),"")</f>
        <v/>
      </c>
      <c r="R159" t="str">
        <f>IFERROR(IF($H159+1&gt;0,'General Info and Liability'!$B$16,""),"")</f>
        <v/>
      </c>
      <c r="S159" t="str">
        <f>IFERROR(IF($H158+1&lt;'General Info and Liability'!$B$15+1,'General Info and Liability'!$D$17,""),"")</f>
        <v/>
      </c>
      <c r="T159" t="str">
        <f>IFERROR(IF($H158+1&lt;'General Info and Liability'!$B$15+1,'General Info and Liability'!$D$18,""),"")</f>
        <v/>
      </c>
      <c r="U159" t="str">
        <f>IFERROR(IF($H158+1&lt;'General Info and Liability'!$B$15+1,'General Info and Liability'!$D$19,""),"")</f>
        <v/>
      </c>
      <c r="V159" t="str">
        <f>IFERROR(IF($H158+1&lt;'General Info and Liability'!$B$15+1,'General Info and Liability'!$B$14,""),"")</f>
        <v/>
      </c>
      <c r="W159" t="str">
        <f>IFERROR(IF($H158+1&lt;'General Info and Liability'!$B$15+1,'General Info and Liability'!$D$20,""),"")</f>
        <v/>
      </c>
    </row>
    <row r="160" spans="8:23" ht="16.5" customHeight="1">
      <c r="H160" t="str">
        <f>IFERROR(IF(H159+1&lt;'General Info and Liability'!$B$15+1,'Property Schedule'!H159+1,""),"")</f>
        <v/>
      </c>
      <c r="J160" s="8"/>
      <c r="K160" s="7" t="str">
        <f>IFERROR(IF($H159+1&lt;'General Info and Liability'!$B$15+1,'General Info and Liability'!$B$18/'General Info and Liability'!$B$10*$L160,""),"")</f>
        <v/>
      </c>
      <c r="L160" s="8"/>
      <c r="M160" s="31" t="str">
        <f>IFERROR(IF($H159+1&lt;'General Info and Liability'!$B$15+1,'General Info and Liability'!$D$14/'General Info and Liability'!$B$10*$L160,""),"")</f>
        <v/>
      </c>
      <c r="N160" s="32" t="str">
        <f>IFERROR(IF($H159+1&lt;'General Info and Liability'!$B$15+1,'General Info and Liability'!$D$15/'General Info and Liability'!$B$10*$L160,""),"")</f>
        <v/>
      </c>
      <c r="O160" s="8"/>
      <c r="P160" s="8"/>
      <c r="Q160" t="str">
        <f>IFERROR(IF($H160+1&gt;0,'General Info and Liability'!$D$16,""),"")</f>
        <v/>
      </c>
      <c r="R160" t="str">
        <f>IFERROR(IF($H160+1&gt;0,'General Info and Liability'!$B$16,""),"")</f>
        <v/>
      </c>
      <c r="S160" t="str">
        <f>IFERROR(IF($H159+1&lt;'General Info and Liability'!$B$15+1,'General Info and Liability'!$D$17,""),"")</f>
        <v/>
      </c>
      <c r="T160" t="str">
        <f>IFERROR(IF($H159+1&lt;'General Info and Liability'!$B$15+1,'General Info and Liability'!$D$18,""),"")</f>
        <v/>
      </c>
      <c r="U160" t="str">
        <f>IFERROR(IF($H159+1&lt;'General Info and Liability'!$B$15+1,'General Info and Liability'!$D$19,""),"")</f>
        <v/>
      </c>
      <c r="V160" t="str">
        <f>IFERROR(IF($H159+1&lt;'General Info and Liability'!$B$15+1,'General Info and Liability'!$B$14,""),"")</f>
        <v/>
      </c>
      <c r="W160" t="str">
        <f>IFERROR(IF($H159+1&lt;'General Info and Liability'!$B$15+1,'General Info and Liability'!$D$20,""),"")</f>
        <v/>
      </c>
    </row>
    <row r="161" spans="8:23" ht="16.5" customHeight="1">
      <c r="H161" t="str">
        <f>IFERROR(IF(H160+1&lt;'General Info and Liability'!$B$15+1,'Property Schedule'!H160+1,""),"")</f>
        <v/>
      </c>
      <c r="J161" s="8"/>
      <c r="K161" s="7" t="str">
        <f>IFERROR(IF($H160+1&lt;'General Info and Liability'!$B$15+1,'General Info and Liability'!$B$18/'General Info and Liability'!$B$10*$L161,""),"")</f>
        <v/>
      </c>
      <c r="L161" s="8"/>
      <c r="M161" s="31" t="str">
        <f>IFERROR(IF($H160+1&lt;'General Info and Liability'!$B$15+1,'General Info and Liability'!$D$14/'General Info and Liability'!$B$10*$L161,""),"")</f>
        <v/>
      </c>
      <c r="N161" s="32" t="str">
        <f>IFERROR(IF($H160+1&lt;'General Info and Liability'!$B$15+1,'General Info and Liability'!$D$15/'General Info and Liability'!$B$10*$L161,""),"")</f>
        <v/>
      </c>
      <c r="O161" s="8"/>
      <c r="P161" s="8"/>
      <c r="Q161" t="str">
        <f>IFERROR(IF($H161+1&gt;0,'General Info and Liability'!$D$16,""),"")</f>
        <v/>
      </c>
      <c r="R161" t="str">
        <f>IFERROR(IF($H161+1&gt;0,'General Info and Liability'!$B$16,""),"")</f>
        <v/>
      </c>
      <c r="S161" t="str">
        <f>IFERROR(IF($H160+1&lt;'General Info and Liability'!$B$15+1,'General Info and Liability'!$D$17,""),"")</f>
        <v/>
      </c>
      <c r="T161" t="str">
        <f>IFERROR(IF($H160+1&lt;'General Info and Liability'!$B$15+1,'General Info and Liability'!$D$18,""),"")</f>
        <v/>
      </c>
      <c r="U161" t="str">
        <f>IFERROR(IF($H160+1&lt;'General Info and Liability'!$B$15+1,'General Info and Liability'!$D$19,""),"")</f>
        <v/>
      </c>
      <c r="V161" t="str">
        <f>IFERROR(IF($H160+1&lt;'General Info and Liability'!$B$15+1,'General Info and Liability'!$B$14,""),"")</f>
        <v/>
      </c>
      <c r="W161" t="str">
        <f>IFERROR(IF($H160+1&lt;'General Info and Liability'!$B$15+1,'General Info and Liability'!$D$20,""),"")</f>
        <v/>
      </c>
    </row>
    <row r="162" spans="8:23" ht="16.5" customHeight="1">
      <c r="H162" t="str">
        <f>IFERROR(IF(H161+1&lt;'General Info and Liability'!$B$15+1,'Property Schedule'!H161+1,""),"")</f>
        <v/>
      </c>
      <c r="J162" s="8"/>
      <c r="K162" s="7" t="str">
        <f>IFERROR(IF($H161+1&lt;'General Info and Liability'!$B$15+1,'General Info and Liability'!$B$18/'General Info and Liability'!$B$10*$L162,""),"")</f>
        <v/>
      </c>
      <c r="L162" s="8"/>
      <c r="M162" s="31" t="str">
        <f>IFERROR(IF($H161+1&lt;'General Info and Liability'!$B$15+1,'General Info and Liability'!$D$14/'General Info and Liability'!$B$10*$L162,""),"")</f>
        <v/>
      </c>
      <c r="N162" s="32" t="str">
        <f>IFERROR(IF($H161+1&lt;'General Info and Liability'!$B$15+1,'General Info and Liability'!$D$15/'General Info and Liability'!$B$10*$L162,""),"")</f>
        <v/>
      </c>
      <c r="O162" s="8"/>
      <c r="P162" s="8"/>
      <c r="Q162" t="str">
        <f>IFERROR(IF($H162+1&gt;0,'General Info and Liability'!$D$16,""),"")</f>
        <v/>
      </c>
      <c r="R162" t="str">
        <f>IFERROR(IF($H162+1&gt;0,'General Info and Liability'!$B$16,""),"")</f>
        <v/>
      </c>
      <c r="S162" t="str">
        <f>IFERROR(IF($H161+1&lt;'General Info and Liability'!$B$15+1,'General Info and Liability'!$D$17,""),"")</f>
        <v/>
      </c>
      <c r="T162" t="str">
        <f>IFERROR(IF($H161+1&lt;'General Info and Liability'!$B$15+1,'General Info and Liability'!$D$18,""),"")</f>
        <v/>
      </c>
      <c r="U162" t="str">
        <f>IFERROR(IF($H161+1&lt;'General Info and Liability'!$B$15+1,'General Info and Liability'!$D$19,""),"")</f>
        <v/>
      </c>
      <c r="V162" t="str">
        <f>IFERROR(IF($H161+1&lt;'General Info and Liability'!$B$15+1,'General Info and Liability'!$B$14,""),"")</f>
        <v/>
      </c>
      <c r="W162" t="str">
        <f>IFERROR(IF($H161+1&lt;'General Info and Liability'!$B$15+1,'General Info and Liability'!$D$20,""),"")</f>
        <v/>
      </c>
    </row>
    <row r="163" spans="8:23" ht="16.5" customHeight="1">
      <c r="H163" t="str">
        <f>IFERROR(IF(H162+1&lt;'General Info and Liability'!$B$15+1,'Property Schedule'!H162+1,""),"")</f>
        <v/>
      </c>
      <c r="J163" s="8"/>
      <c r="K163" s="7" t="str">
        <f>IFERROR(IF($H162+1&lt;'General Info and Liability'!$B$15+1,'General Info and Liability'!$B$18/'General Info and Liability'!$B$10*$L163,""),"")</f>
        <v/>
      </c>
      <c r="L163" s="8"/>
      <c r="M163" s="31" t="str">
        <f>IFERROR(IF($H162+1&lt;'General Info and Liability'!$B$15+1,'General Info and Liability'!$D$14/'General Info and Liability'!$B$10*$L163,""),"")</f>
        <v/>
      </c>
      <c r="N163" s="32" t="str">
        <f>IFERROR(IF($H162+1&lt;'General Info and Liability'!$B$15+1,'General Info and Liability'!$D$15/'General Info and Liability'!$B$10*$L163,""),"")</f>
        <v/>
      </c>
      <c r="O163" s="8"/>
      <c r="P163" s="8"/>
      <c r="Q163" t="str">
        <f>IFERROR(IF($H163+1&gt;0,'General Info and Liability'!$D$16,""),"")</f>
        <v/>
      </c>
      <c r="R163" t="str">
        <f>IFERROR(IF($H163+1&gt;0,'General Info and Liability'!$B$16,""),"")</f>
        <v/>
      </c>
      <c r="S163" t="str">
        <f>IFERROR(IF($H162+1&lt;'General Info and Liability'!$B$15+1,'General Info and Liability'!$D$17,""),"")</f>
        <v/>
      </c>
      <c r="T163" t="str">
        <f>IFERROR(IF($H162+1&lt;'General Info and Liability'!$B$15+1,'General Info and Liability'!$D$18,""),"")</f>
        <v/>
      </c>
      <c r="U163" t="str">
        <f>IFERROR(IF($H162+1&lt;'General Info and Liability'!$B$15+1,'General Info and Liability'!$D$19,""),"")</f>
        <v/>
      </c>
      <c r="V163" t="str">
        <f>IFERROR(IF($H162+1&lt;'General Info and Liability'!$B$15+1,'General Info and Liability'!$B$14,""),"")</f>
        <v/>
      </c>
      <c r="W163" t="str">
        <f>IFERROR(IF($H162+1&lt;'General Info and Liability'!$B$15+1,'General Info and Liability'!$D$20,""),"")</f>
        <v/>
      </c>
    </row>
    <row r="164" spans="8:23" ht="16.5" customHeight="1">
      <c r="H164" t="str">
        <f>IFERROR(IF(H163+1&lt;'General Info and Liability'!$B$15+1,'Property Schedule'!H163+1,""),"")</f>
        <v/>
      </c>
      <c r="J164" s="8"/>
      <c r="K164" s="7" t="str">
        <f>IFERROR(IF($H163+1&lt;'General Info and Liability'!$B$15+1,'General Info and Liability'!$B$18/'General Info and Liability'!$B$10*$L164,""),"")</f>
        <v/>
      </c>
      <c r="L164" s="8"/>
      <c r="M164" s="31" t="str">
        <f>IFERROR(IF($H163+1&lt;'General Info and Liability'!$B$15+1,'General Info and Liability'!$D$14/'General Info and Liability'!$B$10*$L164,""),"")</f>
        <v/>
      </c>
      <c r="N164" s="32" t="str">
        <f>IFERROR(IF($H163+1&lt;'General Info and Liability'!$B$15+1,'General Info and Liability'!$D$15/'General Info and Liability'!$B$10*$L164,""),"")</f>
        <v/>
      </c>
      <c r="O164" s="8"/>
      <c r="P164" s="8"/>
      <c r="Q164" t="str">
        <f>IFERROR(IF($H164+1&gt;0,'General Info and Liability'!$D$16,""),"")</f>
        <v/>
      </c>
      <c r="R164" t="str">
        <f>IFERROR(IF($H164+1&gt;0,'General Info and Liability'!$B$16,""),"")</f>
        <v/>
      </c>
      <c r="S164" t="str">
        <f>IFERROR(IF($H163+1&lt;'General Info and Liability'!$B$15+1,'General Info and Liability'!$D$17,""),"")</f>
        <v/>
      </c>
      <c r="T164" t="str">
        <f>IFERROR(IF($H163+1&lt;'General Info and Liability'!$B$15+1,'General Info and Liability'!$D$18,""),"")</f>
        <v/>
      </c>
      <c r="U164" t="str">
        <f>IFERROR(IF($H163+1&lt;'General Info and Liability'!$B$15+1,'General Info and Liability'!$D$19,""),"")</f>
        <v/>
      </c>
      <c r="V164" t="str">
        <f>IFERROR(IF($H163+1&lt;'General Info and Liability'!$B$15+1,'General Info and Liability'!$B$14,""),"")</f>
        <v/>
      </c>
      <c r="W164" t="str">
        <f>IFERROR(IF($H163+1&lt;'General Info and Liability'!$B$15+1,'General Info and Liability'!$D$20,""),"")</f>
        <v/>
      </c>
    </row>
    <row r="165" spans="8:23" ht="16.5" customHeight="1">
      <c r="H165" t="str">
        <f>IFERROR(IF(H164+1&lt;'General Info and Liability'!$B$15+1,'Property Schedule'!H164+1,""),"")</f>
        <v/>
      </c>
      <c r="J165" s="8"/>
      <c r="K165" s="7" t="str">
        <f>IFERROR(IF($H164+1&lt;'General Info and Liability'!$B$15+1,'General Info and Liability'!$B$18/'General Info and Liability'!$B$10*$L165,""),"")</f>
        <v/>
      </c>
      <c r="L165" s="8"/>
      <c r="M165" s="31" t="str">
        <f>IFERROR(IF($H164+1&lt;'General Info and Liability'!$B$15+1,'General Info and Liability'!$D$14/'General Info and Liability'!$B$10*$L165,""),"")</f>
        <v/>
      </c>
      <c r="N165" s="32" t="str">
        <f>IFERROR(IF($H164+1&lt;'General Info and Liability'!$B$15+1,'General Info and Liability'!$D$15/'General Info and Liability'!$B$10*$L165,""),"")</f>
        <v/>
      </c>
      <c r="O165" s="8"/>
      <c r="P165" s="8"/>
      <c r="Q165" t="str">
        <f>IFERROR(IF($H165+1&gt;0,'General Info and Liability'!$D$16,""),"")</f>
        <v/>
      </c>
      <c r="R165" t="str">
        <f>IFERROR(IF($H165+1&gt;0,'General Info and Liability'!$B$16,""),"")</f>
        <v/>
      </c>
      <c r="S165" t="str">
        <f>IFERROR(IF($H164+1&lt;'General Info and Liability'!$B$15+1,'General Info and Liability'!$D$17,""),"")</f>
        <v/>
      </c>
      <c r="T165" t="str">
        <f>IFERROR(IF($H164+1&lt;'General Info and Liability'!$B$15+1,'General Info and Liability'!$D$18,""),"")</f>
        <v/>
      </c>
      <c r="U165" t="str">
        <f>IFERROR(IF($H164+1&lt;'General Info and Liability'!$B$15+1,'General Info and Liability'!$D$19,""),"")</f>
        <v/>
      </c>
      <c r="V165" t="str">
        <f>IFERROR(IF($H164+1&lt;'General Info and Liability'!$B$15+1,'General Info and Liability'!$B$14,""),"")</f>
        <v/>
      </c>
      <c r="W165" t="str">
        <f>IFERROR(IF($H164+1&lt;'General Info and Liability'!$B$15+1,'General Info and Liability'!$D$20,""),"")</f>
        <v/>
      </c>
    </row>
    <row r="166" spans="8:23" ht="16.5" customHeight="1">
      <c r="H166" t="str">
        <f>IFERROR(IF(H165+1&lt;'General Info and Liability'!$B$15+1,'Property Schedule'!H165+1,""),"")</f>
        <v/>
      </c>
      <c r="J166" s="8"/>
      <c r="K166" s="7" t="str">
        <f>IFERROR(IF($H165+1&lt;'General Info and Liability'!$B$15+1,'General Info and Liability'!$B$18/'General Info and Liability'!$B$10*$L166,""),"")</f>
        <v/>
      </c>
      <c r="L166" s="8"/>
      <c r="M166" s="31" t="str">
        <f>IFERROR(IF($H165+1&lt;'General Info and Liability'!$B$15+1,'General Info and Liability'!$D$14/'General Info and Liability'!$B$10*$L166,""),"")</f>
        <v/>
      </c>
      <c r="N166" s="32" t="str">
        <f>IFERROR(IF($H165+1&lt;'General Info and Liability'!$B$15+1,'General Info and Liability'!$D$15/'General Info and Liability'!$B$10*$L166,""),"")</f>
        <v/>
      </c>
      <c r="O166" s="8"/>
      <c r="P166" s="8"/>
      <c r="Q166" t="str">
        <f>IFERROR(IF($H166+1&gt;0,'General Info and Liability'!$D$16,""),"")</f>
        <v/>
      </c>
      <c r="R166" t="str">
        <f>IFERROR(IF($H166+1&gt;0,'General Info and Liability'!$B$16,""),"")</f>
        <v/>
      </c>
      <c r="S166" t="str">
        <f>IFERROR(IF($H165+1&lt;'General Info and Liability'!$B$15+1,'General Info and Liability'!$D$17,""),"")</f>
        <v/>
      </c>
      <c r="T166" t="str">
        <f>IFERROR(IF($H165+1&lt;'General Info and Liability'!$B$15+1,'General Info and Liability'!$D$18,""),"")</f>
        <v/>
      </c>
      <c r="U166" t="str">
        <f>IFERROR(IF($H165+1&lt;'General Info and Liability'!$B$15+1,'General Info and Liability'!$D$19,""),"")</f>
        <v/>
      </c>
      <c r="V166" t="str">
        <f>IFERROR(IF($H165+1&lt;'General Info and Liability'!$B$15+1,'General Info and Liability'!$B$14,""),"")</f>
        <v/>
      </c>
      <c r="W166" t="str">
        <f>IFERROR(IF($H165+1&lt;'General Info and Liability'!$B$15+1,'General Info and Liability'!$D$20,""),"")</f>
        <v/>
      </c>
    </row>
    <row r="167" spans="8:23" ht="16.5" customHeight="1">
      <c r="H167" t="str">
        <f>IFERROR(IF(H166+1&lt;'General Info and Liability'!$B$15+1,'Property Schedule'!H166+1,""),"")</f>
        <v/>
      </c>
      <c r="J167" s="8"/>
      <c r="K167" s="7" t="str">
        <f>IFERROR(IF($H166+1&lt;'General Info and Liability'!$B$15+1,'General Info and Liability'!$B$18/'General Info and Liability'!$B$10*$L167,""),"")</f>
        <v/>
      </c>
      <c r="L167" s="8"/>
      <c r="M167" s="31" t="str">
        <f>IFERROR(IF($H166+1&lt;'General Info and Liability'!$B$15+1,'General Info and Liability'!$D$14/'General Info and Liability'!$B$10*$L167,""),"")</f>
        <v/>
      </c>
      <c r="N167" s="32" t="str">
        <f>IFERROR(IF($H166+1&lt;'General Info and Liability'!$B$15+1,'General Info and Liability'!$D$15/'General Info and Liability'!$B$10*$L167,""),"")</f>
        <v/>
      </c>
      <c r="O167" s="8"/>
      <c r="P167" s="8"/>
      <c r="Q167" t="str">
        <f>IFERROR(IF($H167+1&gt;0,'General Info and Liability'!$D$16,""),"")</f>
        <v/>
      </c>
      <c r="R167" t="str">
        <f>IFERROR(IF($H167+1&gt;0,'General Info and Liability'!$B$16,""),"")</f>
        <v/>
      </c>
      <c r="S167" t="str">
        <f>IFERROR(IF($H166+1&lt;'General Info and Liability'!$B$15+1,'General Info and Liability'!$D$17,""),"")</f>
        <v/>
      </c>
      <c r="T167" t="str">
        <f>IFERROR(IF($H166+1&lt;'General Info and Liability'!$B$15+1,'General Info and Liability'!$D$18,""),"")</f>
        <v/>
      </c>
      <c r="U167" t="str">
        <f>IFERROR(IF($H166+1&lt;'General Info and Liability'!$B$15+1,'General Info and Liability'!$D$19,""),"")</f>
        <v/>
      </c>
      <c r="V167" t="str">
        <f>IFERROR(IF($H166+1&lt;'General Info and Liability'!$B$15+1,'General Info and Liability'!$B$14,""),"")</f>
        <v/>
      </c>
      <c r="W167" t="str">
        <f>IFERROR(IF($H166+1&lt;'General Info and Liability'!$B$15+1,'General Info and Liability'!$D$20,""),"")</f>
        <v/>
      </c>
    </row>
    <row r="168" spans="8:23" ht="16.5" customHeight="1">
      <c r="H168" t="str">
        <f>IFERROR(IF(H167+1&lt;'General Info and Liability'!$B$15+1,'Property Schedule'!H167+1,""),"")</f>
        <v/>
      </c>
      <c r="J168" s="8"/>
      <c r="K168" s="7" t="str">
        <f>IFERROR(IF($H167+1&lt;'General Info and Liability'!$B$15+1,'General Info and Liability'!$B$18/'General Info and Liability'!$B$10*$L168,""),"")</f>
        <v/>
      </c>
      <c r="L168" s="8"/>
      <c r="M168" s="31" t="str">
        <f>IFERROR(IF($H167+1&lt;'General Info and Liability'!$B$15+1,'General Info and Liability'!$D$14/'General Info and Liability'!$B$10*$L168,""),"")</f>
        <v/>
      </c>
      <c r="N168" s="32" t="str">
        <f>IFERROR(IF($H167+1&lt;'General Info and Liability'!$B$15+1,'General Info and Liability'!$D$15/'General Info and Liability'!$B$10*$L168,""),"")</f>
        <v/>
      </c>
      <c r="O168" s="8"/>
      <c r="P168" s="8"/>
      <c r="Q168" t="str">
        <f>IFERROR(IF($H168+1&gt;0,'General Info and Liability'!$D$16,""),"")</f>
        <v/>
      </c>
      <c r="R168" t="str">
        <f>IFERROR(IF($H168+1&gt;0,'General Info and Liability'!$B$16,""),"")</f>
        <v/>
      </c>
      <c r="S168" t="str">
        <f>IFERROR(IF($H167+1&lt;'General Info and Liability'!$B$15+1,'General Info and Liability'!$D$17,""),"")</f>
        <v/>
      </c>
      <c r="T168" t="str">
        <f>IFERROR(IF($H167+1&lt;'General Info and Liability'!$B$15+1,'General Info and Liability'!$D$18,""),"")</f>
        <v/>
      </c>
      <c r="U168" t="str">
        <f>IFERROR(IF($H167+1&lt;'General Info and Liability'!$B$15+1,'General Info and Liability'!$D$19,""),"")</f>
        <v/>
      </c>
      <c r="V168" t="str">
        <f>IFERROR(IF($H167+1&lt;'General Info and Liability'!$B$15+1,'General Info and Liability'!$B$14,""),"")</f>
        <v/>
      </c>
      <c r="W168" t="str">
        <f>IFERROR(IF($H167+1&lt;'General Info and Liability'!$B$15+1,'General Info and Liability'!$D$20,""),"")</f>
        <v/>
      </c>
    </row>
    <row r="169" spans="8:23" ht="16.5" customHeight="1">
      <c r="H169" t="str">
        <f>IFERROR(IF(H168+1&lt;'General Info and Liability'!$B$15+1,'Property Schedule'!H168+1,""),"")</f>
        <v/>
      </c>
      <c r="J169" s="8"/>
      <c r="K169" s="7" t="str">
        <f>IFERROR(IF($H168+1&lt;'General Info and Liability'!$B$15+1,'General Info and Liability'!$B$18/'General Info and Liability'!$B$10*$L169,""),"")</f>
        <v/>
      </c>
      <c r="L169" s="8"/>
      <c r="M169" s="31" t="str">
        <f>IFERROR(IF($H168+1&lt;'General Info and Liability'!$B$15+1,'General Info and Liability'!$D$14/'General Info and Liability'!$B$10*$L169,""),"")</f>
        <v/>
      </c>
      <c r="N169" s="32" t="str">
        <f>IFERROR(IF($H168+1&lt;'General Info and Liability'!$B$15+1,'General Info and Liability'!$D$15/'General Info and Liability'!$B$10*$L169,""),"")</f>
        <v/>
      </c>
      <c r="O169" s="8"/>
      <c r="P169" s="8"/>
      <c r="Q169" t="str">
        <f>IFERROR(IF($H169+1&gt;0,'General Info and Liability'!$D$16,""),"")</f>
        <v/>
      </c>
      <c r="R169" t="str">
        <f>IFERROR(IF($H169+1&gt;0,'General Info and Liability'!$B$16,""),"")</f>
        <v/>
      </c>
      <c r="S169" t="str">
        <f>IFERROR(IF($H168+1&lt;'General Info and Liability'!$B$15+1,'General Info and Liability'!$D$17,""),"")</f>
        <v/>
      </c>
      <c r="T169" t="str">
        <f>IFERROR(IF($H168+1&lt;'General Info and Liability'!$B$15+1,'General Info and Liability'!$D$18,""),"")</f>
        <v/>
      </c>
      <c r="U169" t="str">
        <f>IFERROR(IF($H168+1&lt;'General Info and Liability'!$B$15+1,'General Info and Liability'!$D$19,""),"")</f>
        <v/>
      </c>
      <c r="V169" t="str">
        <f>IFERROR(IF($H168+1&lt;'General Info and Liability'!$B$15+1,'General Info and Liability'!$B$14,""),"")</f>
        <v/>
      </c>
      <c r="W169" t="str">
        <f>IFERROR(IF($H168+1&lt;'General Info and Liability'!$B$15+1,'General Info and Liability'!$D$20,""),"")</f>
        <v/>
      </c>
    </row>
    <row r="170" spans="8:23" ht="16.5" customHeight="1">
      <c r="H170" t="str">
        <f>IFERROR(IF(H169+1&lt;'General Info and Liability'!$B$15+1,'Property Schedule'!H169+1,""),"")</f>
        <v/>
      </c>
      <c r="J170" s="8"/>
      <c r="K170" s="7" t="str">
        <f>IFERROR(IF($H169+1&lt;'General Info and Liability'!$B$15+1,'General Info and Liability'!$B$18/'General Info and Liability'!$B$10*$L170,""),"")</f>
        <v/>
      </c>
      <c r="L170" s="8"/>
      <c r="M170" s="31" t="str">
        <f>IFERROR(IF($H169+1&lt;'General Info and Liability'!$B$15+1,'General Info and Liability'!$D$14/'General Info and Liability'!$B$10*$L170,""),"")</f>
        <v/>
      </c>
      <c r="N170" s="32" t="str">
        <f>IFERROR(IF($H169+1&lt;'General Info and Liability'!$B$15+1,'General Info and Liability'!$D$15/'General Info and Liability'!$B$10*$L170,""),"")</f>
        <v/>
      </c>
      <c r="O170" s="8"/>
      <c r="P170" s="8"/>
      <c r="Q170" t="str">
        <f>IFERROR(IF($H170+1&gt;0,'General Info and Liability'!$D$16,""),"")</f>
        <v/>
      </c>
      <c r="R170" t="str">
        <f>IFERROR(IF($H170+1&gt;0,'General Info and Liability'!$B$16,""),"")</f>
        <v/>
      </c>
      <c r="S170" t="str">
        <f>IFERROR(IF($H169+1&lt;'General Info and Liability'!$B$15+1,'General Info and Liability'!$D$17,""),"")</f>
        <v/>
      </c>
      <c r="T170" t="str">
        <f>IFERROR(IF($H169+1&lt;'General Info and Liability'!$B$15+1,'General Info and Liability'!$D$18,""),"")</f>
        <v/>
      </c>
      <c r="U170" t="str">
        <f>IFERROR(IF($H169+1&lt;'General Info and Liability'!$B$15+1,'General Info and Liability'!$D$19,""),"")</f>
        <v/>
      </c>
      <c r="V170" t="str">
        <f>IFERROR(IF($H169+1&lt;'General Info and Liability'!$B$15+1,'General Info and Liability'!$B$14,""),"")</f>
        <v/>
      </c>
      <c r="W170" t="str">
        <f>IFERROR(IF($H169+1&lt;'General Info and Liability'!$B$15+1,'General Info and Liability'!$D$20,""),"")</f>
        <v/>
      </c>
    </row>
    <row r="171" spans="8:23" ht="16.5" customHeight="1">
      <c r="H171" t="str">
        <f>IFERROR(IF(H170+1&lt;'General Info and Liability'!$B$15+1,'Property Schedule'!H170+1,""),"")</f>
        <v/>
      </c>
      <c r="J171" s="8"/>
      <c r="K171" s="7" t="str">
        <f>IFERROR(IF($H170+1&lt;'General Info and Liability'!$B$15+1,'General Info and Liability'!$B$18/'General Info and Liability'!$B$10*$L171,""),"")</f>
        <v/>
      </c>
      <c r="L171" s="8"/>
      <c r="M171" s="31" t="str">
        <f>IFERROR(IF($H170+1&lt;'General Info and Liability'!$B$15+1,'General Info and Liability'!$D$14/'General Info and Liability'!$B$10*$L171,""),"")</f>
        <v/>
      </c>
      <c r="N171" s="32" t="str">
        <f>IFERROR(IF($H170+1&lt;'General Info and Liability'!$B$15+1,'General Info and Liability'!$D$15/'General Info and Liability'!$B$10*$L171,""),"")</f>
        <v/>
      </c>
      <c r="O171" s="8"/>
      <c r="P171" s="8"/>
      <c r="Q171" t="str">
        <f>IFERROR(IF($H171+1&gt;0,'General Info and Liability'!$D$16,""),"")</f>
        <v/>
      </c>
      <c r="R171" t="str">
        <f>IFERROR(IF($H171+1&gt;0,'General Info and Liability'!$B$16,""),"")</f>
        <v/>
      </c>
      <c r="S171" t="str">
        <f>IFERROR(IF($H170+1&lt;'General Info and Liability'!$B$15+1,'General Info and Liability'!$D$17,""),"")</f>
        <v/>
      </c>
      <c r="T171" t="str">
        <f>IFERROR(IF($H170+1&lt;'General Info and Liability'!$B$15+1,'General Info and Liability'!$D$18,""),"")</f>
        <v/>
      </c>
      <c r="U171" t="str">
        <f>IFERROR(IF($H170+1&lt;'General Info and Liability'!$B$15+1,'General Info and Liability'!$D$19,""),"")</f>
        <v/>
      </c>
      <c r="V171" t="str">
        <f>IFERROR(IF($H170+1&lt;'General Info and Liability'!$B$15+1,'General Info and Liability'!$B$14,""),"")</f>
        <v/>
      </c>
      <c r="W171" t="str">
        <f>IFERROR(IF($H170+1&lt;'General Info and Liability'!$B$15+1,'General Info and Liability'!$D$20,""),"")</f>
        <v/>
      </c>
    </row>
    <row r="172" spans="8:23" ht="16.5" customHeight="1">
      <c r="H172" t="str">
        <f>IFERROR(IF(H171+1&lt;'General Info and Liability'!$B$15+1,'Property Schedule'!H171+1,""),"")</f>
        <v/>
      </c>
      <c r="J172" s="8"/>
      <c r="K172" s="7" t="str">
        <f>IFERROR(IF($H171+1&lt;'General Info and Liability'!$B$15+1,'General Info and Liability'!$B$18/'General Info and Liability'!$B$10*$L172,""),"")</f>
        <v/>
      </c>
      <c r="L172" s="8"/>
      <c r="M172" s="31" t="str">
        <f>IFERROR(IF($H171+1&lt;'General Info and Liability'!$B$15+1,'General Info and Liability'!$D$14/'General Info and Liability'!$B$10*$L172,""),"")</f>
        <v/>
      </c>
      <c r="N172" s="32" t="str">
        <f>IFERROR(IF($H171+1&lt;'General Info and Liability'!$B$15+1,'General Info and Liability'!$D$15/'General Info and Liability'!$B$10*$L172,""),"")</f>
        <v/>
      </c>
      <c r="O172" s="8"/>
      <c r="P172" s="8"/>
      <c r="Q172" t="str">
        <f>IFERROR(IF($H172+1&gt;0,'General Info and Liability'!$D$16,""),"")</f>
        <v/>
      </c>
      <c r="R172" t="str">
        <f>IFERROR(IF($H172+1&gt;0,'General Info and Liability'!$B$16,""),"")</f>
        <v/>
      </c>
      <c r="S172" t="str">
        <f>IFERROR(IF($H171+1&lt;'General Info and Liability'!$B$15+1,'General Info and Liability'!$D$17,""),"")</f>
        <v/>
      </c>
      <c r="T172" t="str">
        <f>IFERROR(IF($H171+1&lt;'General Info and Liability'!$B$15+1,'General Info and Liability'!$D$18,""),"")</f>
        <v/>
      </c>
      <c r="U172" t="str">
        <f>IFERROR(IF($H171+1&lt;'General Info and Liability'!$B$15+1,'General Info and Liability'!$D$19,""),"")</f>
        <v/>
      </c>
      <c r="V172" t="str">
        <f>IFERROR(IF($H171+1&lt;'General Info and Liability'!$B$15+1,'General Info and Liability'!$B$14,""),"")</f>
        <v/>
      </c>
      <c r="W172" t="str">
        <f>IFERROR(IF($H171+1&lt;'General Info and Liability'!$B$15+1,'General Info and Liability'!$D$20,""),"")</f>
        <v/>
      </c>
    </row>
    <row r="173" spans="8:23" ht="16.5" customHeight="1">
      <c r="H173" t="str">
        <f>IFERROR(IF(H172+1&lt;'General Info and Liability'!$B$15+1,'Property Schedule'!H172+1,""),"")</f>
        <v/>
      </c>
      <c r="J173" s="8"/>
      <c r="K173" s="7" t="str">
        <f>IFERROR(IF($H172+1&lt;'General Info and Liability'!$B$15+1,'General Info and Liability'!$B$18/'General Info and Liability'!$B$10*$L173,""),"")</f>
        <v/>
      </c>
      <c r="L173" s="8"/>
      <c r="M173" s="31" t="str">
        <f>IFERROR(IF($H172+1&lt;'General Info and Liability'!$B$15+1,'General Info and Liability'!$D$14/'General Info and Liability'!$B$10*$L173,""),"")</f>
        <v/>
      </c>
      <c r="N173" s="32" t="str">
        <f>IFERROR(IF($H172+1&lt;'General Info and Liability'!$B$15+1,'General Info and Liability'!$D$15/'General Info and Liability'!$B$10*$L173,""),"")</f>
        <v/>
      </c>
      <c r="O173" s="8"/>
      <c r="P173" s="8"/>
      <c r="Q173" t="str">
        <f>IFERROR(IF($H173+1&gt;0,'General Info and Liability'!$D$16,""),"")</f>
        <v/>
      </c>
      <c r="R173" t="str">
        <f>IFERROR(IF($H173+1&gt;0,'General Info and Liability'!$B$16,""),"")</f>
        <v/>
      </c>
      <c r="S173" t="str">
        <f>IFERROR(IF($H172+1&lt;'General Info and Liability'!$B$15+1,'General Info and Liability'!$D$17,""),"")</f>
        <v/>
      </c>
      <c r="T173" t="str">
        <f>IFERROR(IF($H172+1&lt;'General Info and Liability'!$B$15+1,'General Info and Liability'!$D$18,""),"")</f>
        <v/>
      </c>
      <c r="U173" t="str">
        <f>IFERROR(IF($H172+1&lt;'General Info and Liability'!$B$15+1,'General Info and Liability'!$D$19,""),"")</f>
        <v/>
      </c>
      <c r="V173" t="str">
        <f>IFERROR(IF($H172+1&lt;'General Info and Liability'!$B$15+1,'General Info and Liability'!$B$14,""),"")</f>
        <v/>
      </c>
      <c r="W173" t="str">
        <f>IFERROR(IF($H172+1&lt;'General Info and Liability'!$B$15+1,'General Info and Liability'!$D$20,""),"")</f>
        <v/>
      </c>
    </row>
    <row r="174" spans="8:23" ht="16.5" customHeight="1">
      <c r="H174" t="str">
        <f>IFERROR(IF(H173+1&lt;'General Info and Liability'!$B$15+1,'Property Schedule'!H173+1,""),"")</f>
        <v/>
      </c>
      <c r="J174" s="8"/>
      <c r="K174" s="7" t="str">
        <f>IFERROR(IF($H173+1&lt;'General Info and Liability'!$B$15+1,'General Info and Liability'!$B$18/'General Info and Liability'!$B$10*$L174,""),"")</f>
        <v/>
      </c>
      <c r="L174" s="8"/>
      <c r="M174" s="31" t="str">
        <f>IFERROR(IF($H173+1&lt;'General Info and Liability'!$B$15+1,'General Info and Liability'!$D$14/'General Info and Liability'!$B$10*$L174,""),"")</f>
        <v/>
      </c>
      <c r="N174" s="32" t="str">
        <f>IFERROR(IF($H173+1&lt;'General Info and Liability'!$B$15+1,'General Info and Liability'!$D$15/'General Info and Liability'!$B$10*$L174,""),"")</f>
        <v/>
      </c>
      <c r="O174" s="8"/>
      <c r="P174" s="8"/>
      <c r="Q174" t="str">
        <f>IFERROR(IF($H174+1&gt;0,'General Info and Liability'!$D$16,""),"")</f>
        <v/>
      </c>
      <c r="R174" t="str">
        <f>IFERROR(IF($H174+1&gt;0,'General Info and Liability'!$B$16,""),"")</f>
        <v/>
      </c>
      <c r="S174" t="str">
        <f>IFERROR(IF($H173+1&lt;'General Info and Liability'!$B$15+1,'General Info and Liability'!$D$17,""),"")</f>
        <v/>
      </c>
      <c r="T174" t="str">
        <f>IFERROR(IF($H173+1&lt;'General Info and Liability'!$B$15+1,'General Info and Liability'!$D$18,""),"")</f>
        <v/>
      </c>
      <c r="U174" t="str">
        <f>IFERROR(IF($H173+1&lt;'General Info and Liability'!$B$15+1,'General Info and Liability'!$D$19,""),"")</f>
        <v/>
      </c>
      <c r="V174" t="str">
        <f>IFERROR(IF($H173+1&lt;'General Info and Liability'!$B$15+1,'General Info and Liability'!$B$14,""),"")</f>
        <v/>
      </c>
      <c r="W174" t="str">
        <f>IFERROR(IF($H173+1&lt;'General Info and Liability'!$B$15+1,'General Info and Liability'!$D$20,""),"")</f>
        <v/>
      </c>
    </row>
    <row r="175" spans="8:23" ht="16.5" customHeight="1">
      <c r="H175" t="str">
        <f>IFERROR(IF(H174+1&lt;'General Info and Liability'!$B$15+1,'Property Schedule'!H174+1,""),"")</f>
        <v/>
      </c>
      <c r="J175" s="8"/>
      <c r="K175" s="7" t="str">
        <f>IFERROR(IF($H174+1&lt;'General Info and Liability'!$B$15+1,'General Info and Liability'!$B$18/'General Info and Liability'!$B$10*$L175,""),"")</f>
        <v/>
      </c>
      <c r="L175" s="8"/>
      <c r="M175" s="31" t="str">
        <f>IFERROR(IF($H174+1&lt;'General Info and Liability'!$B$15+1,'General Info and Liability'!$D$14/'General Info and Liability'!$B$10*$L175,""),"")</f>
        <v/>
      </c>
      <c r="N175" s="32" t="str">
        <f>IFERROR(IF($H174+1&lt;'General Info and Liability'!$B$15+1,'General Info and Liability'!$D$15/'General Info and Liability'!$B$10*$L175,""),"")</f>
        <v/>
      </c>
      <c r="O175" s="8"/>
      <c r="P175" s="8"/>
      <c r="Q175" t="str">
        <f>IFERROR(IF($H175+1&gt;0,'General Info and Liability'!$D$16,""),"")</f>
        <v/>
      </c>
      <c r="R175" t="str">
        <f>IFERROR(IF($H175+1&gt;0,'General Info and Liability'!$B$16,""),"")</f>
        <v/>
      </c>
      <c r="S175" t="str">
        <f>IFERROR(IF($H174+1&lt;'General Info and Liability'!$B$15+1,'General Info and Liability'!$D$17,""),"")</f>
        <v/>
      </c>
      <c r="T175" t="str">
        <f>IFERROR(IF($H174+1&lt;'General Info and Liability'!$B$15+1,'General Info and Liability'!$D$18,""),"")</f>
        <v/>
      </c>
      <c r="U175" t="str">
        <f>IFERROR(IF($H174+1&lt;'General Info and Liability'!$B$15+1,'General Info and Liability'!$D$19,""),"")</f>
        <v/>
      </c>
      <c r="V175" t="str">
        <f>IFERROR(IF($H174+1&lt;'General Info and Liability'!$B$15+1,'General Info and Liability'!$B$14,""),"")</f>
        <v/>
      </c>
      <c r="W175" t="str">
        <f>IFERROR(IF($H174+1&lt;'General Info and Liability'!$B$15+1,'General Info and Liability'!$D$20,""),"")</f>
        <v/>
      </c>
    </row>
    <row r="176" spans="8:23" ht="16.5" customHeight="1">
      <c r="H176" t="str">
        <f>IFERROR(IF(H175+1&lt;'General Info and Liability'!$B$15+1,'Property Schedule'!H175+1,""),"")</f>
        <v/>
      </c>
      <c r="J176" s="8"/>
      <c r="K176" s="7" t="str">
        <f>IFERROR(IF($H175+1&lt;'General Info and Liability'!$B$15+1,'General Info and Liability'!$B$18/'General Info and Liability'!$B$10*$L176,""),"")</f>
        <v/>
      </c>
      <c r="L176" s="8"/>
      <c r="M176" s="31" t="str">
        <f>IFERROR(IF($H175+1&lt;'General Info and Liability'!$B$15+1,'General Info and Liability'!$D$14/'General Info and Liability'!$B$10*$L176,""),"")</f>
        <v/>
      </c>
      <c r="N176" s="32" t="str">
        <f>IFERROR(IF($H175+1&lt;'General Info and Liability'!$B$15+1,'General Info and Liability'!$D$15/'General Info and Liability'!$B$10*$L176,""),"")</f>
        <v/>
      </c>
      <c r="O176" s="8"/>
      <c r="P176" s="8"/>
      <c r="Q176" t="str">
        <f>IFERROR(IF($H176+1&gt;0,'General Info and Liability'!$D$16,""),"")</f>
        <v/>
      </c>
      <c r="R176" t="str">
        <f>IFERROR(IF($H176+1&gt;0,'General Info and Liability'!$B$16,""),"")</f>
        <v/>
      </c>
      <c r="S176" t="str">
        <f>IFERROR(IF($H175+1&lt;'General Info and Liability'!$B$15+1,'General Info and Liability'!$D$17,""),"")</f>
        <v/>
      </c>
      <c r="T176" t="str">
        <f>IFERROR(IF($H175+1&lt;'General Info and Liability'!$B$15+1,'General Info and Liability'!$D$18,""),"")</f>
        <v/>
      </c>
      <c r="U176" t="str">
        <f>IFERROR(IF($H175+1&lt;'General Info and Liability'!$B$15+1,'General Info and Liability'!$D$19,""),"")</f>
        <v/>
      </c>
      <c r="V176" t="str">
        <f>IFERROR(IF($H175+1&lt;'General Info and Liability'!$B$15+1,'General Info and Liability'!$B$14,""),"")</f>
        <v/>
      </c>
      <c r="W176" t="str">
        <f>IFERROR(IF($H175+1&lt;'General Info and Liability'!$B$15+1,'General Info and Liability'!$D$20,""),"")</f>
        <v/>
      </c>
    </row>
    <row r="177" spans="8:23" ht="16.5" customHeight="1">
      <c r="H177" t="str">
        <f>IFERROR(IF(H176+1&lt;'General Info and Liability'!$B$15+1,'Property Schedule'!H176+1,""),"")</f>
        <v/>
      </c>
      <c r="J177" s="8"/>
      <c r="K177" s="7" t="str">
        <f>IFERROR(IF($H176+1&lt;'General Info and Liability'!$B$15+1,'General Info and Liability'!$B$18/'General Info and Liability'!$B$10*$L177,""),"")</f>
        <v/>
      </c>
      <c r="L177" s="8"/>
      <c r="M177" s="31" t="str">
        <f>IFERROR(IF($H176+1&lt;'General Info and Liability'!$B$15+1,'General Info and Liability'!$D$14/'General Info and Liability'!$B$10*$L177,""),"")</f>
        <v/>
      </c>
      <c r="N177" s="32" t="str">
        <f>IFERROR(IF($H176+1&lt;'General Info and Liability'!$B$15+1,'General Info and Liability'!$D$15/'General Info and Liability'!$B$10*$L177,""),"")</f>
        <v/>
      </c>
      <c r="O177" s="8"/>
      <c r="P177" s="8"/>
      <c r="Q177" t="str">
        <f>IFERROR(IF($H177+1&gt;0,'General Info and Liability'!$D$16,""),"")</f>
        <v/>
      </c>
      <c r="R177" t="str">
        <f>IFERROR(IF($H177+1&gt;0,'General Info and Liability'!$B$16,""),"")</f>
        <v/>
      </c>
      <c r="S177" t="str">
        <f>IFERROR(IF($H176+1&lt;'General Info and Liability'!$B$15+1,'General Info and Liability'!$D$17,""),"")</f>
        <v/>
      </c>
      <c r="T177" t="str">
        <f>IFERROR(IF($H176+1&lt;'General Info and Liability'!$B$15+1,'General Info and Liability'!$D$18,""),"")</f>
        <v/>
      </c>
      <c r="U177" t="str">
        <f>IFERROR(IF($H176+1&lt;'General Info and Liability'!$B$15+1,'General Info and Liability'!$D$19,""),"")</f>
        <v/>
      </c>
      <c r="V177" t="str">
        <f>IFERROR(IF($H176+1&lt;'General Info and Liability'!$B$15+1,'General Info and Liability'!$B$14,""),"")</f>
        <v/>
      </c>
      <c r="W177" t="str">
        <f>IFERROR(IF($H176+1&lt;'General Info and Liability'!$B$15+1,'General Info and Liability'!$D$20,""),"")</f>
        <v/>
      </c>
    </row>
    <row r="178" spans="8:23" ht="16.5" customHeight="1">
      <c r="H178" t="str">
        <f>IFERROR(IF(H177+1&lt;'General Info and Liability'!$B$15+1,'Property Schedule'!H177+1,""),"")</f>
        <v/>
      </c>
      <c r="J178" s="8"/>
      <c r="K178" s="7" t="str">
        <f>IFERROR(IF($H177+1&lt;'General Info and Liability'!$B$15+1,'General Info and Liability'!$B$18/'General Info and Liability'!$B$10*$L178,""),"")</f>
        <v/>
      </c>
      <c r="L178" s="8"/>
      <c r="M178" s="31" t="str">
        <f>IFERROR(IF($H177+1&lt;'General Info and Liability'!$B$15+1,'General Info and Liability'!$D$14/'General Info and Liability'!$B$10*$L178,""),"")</f>
        <v/>
      </c>
      <c r="N178" s="32" t="str">
        <f>IFERROR(IF($H177+1&lt;'General Info and Liability'!$B$15+1,'General Info and Liability'!$D$15/'General Info and Liability'!$B$10*$L178,""),"")</f>
        <v/>
      </c>
      <c r="O178" s="8"/>
      <c r="P178" s="8"/>
      <c r="Q178" t="str">
        <f>IFERROR(IF($H178+1&gt;0,'General Info and Liability'!$D$16,""),"")</f>
        <v/>
      </c>
      <c r="R178" t="str">
        <f>IFERROR(IF($H178+1&gt;0,'General Info and Liability'!$B$16,""),"")</f>
        <v/>
      </c>
      <c r="S178" t="str">
        <f>IFERROR(IF($H177+1&lt;'General Info and Liability'!$B$15+1,'General Info and Liability'!$D$17,""),"")</f>
        <v/>
      </c>
      <c r="T178" t="str">
        <f>IFERROR(IF($H177+1&lt;'General Info and Liability'!$B$15+1,'General Info and Liability'!$D$18,""),"")</f>
        <v/>
      </c>
      <c r="U178" t="str">
        <f>IFERROR(IF($H177+1&lt;'General Info and Liability'!$B$15+1,'General Info and Liability'!$D$19,""),"")</f>
        <v/>
      </c>
      <c r="V178" t="str">
        <f>IFERROR(IF($H177+1&lt;'General Info and Liability'!$B$15+1,'General Info and Liability'!$B$14,""),"")</f>
        <v/>
      </c>
      <c r="W178" t="str">
        <f>IFERROR(IF($H177+1&lt;'General Info and Liability'!$B$15+1,'General Info and Liability'!$D$20,""),"")</f>
        <v/>
      </c>
    </row>
    <row r="179" spans="8:23" ht="16.5" customHeight="1">
      <c r="H179" t="str">
        <f>IFERROR(IF(H178+1&lt;'General Info and Liability'!$B$15+1,'Property Schedule'!H178+1,""),"")</f>
        <v/>
      </c>
      <c r="J179" s="8"/>
      <c r="K179" s="7" t="str">
        <f>IFERROR(IF($H178+1&lt;'General Info and Liability'!$B$15+1,'General Info and Liability'!$B$18/'General Info and Liability'!$B$10*$L179,""),"")</f>
        <v/>
      </c>
      <c r="L179" s="8"/>
      <c r="M179" s="31" t="str">
        <f>IFERROR(IF($H178+1&lt;'General Info and Liability'!$B$15+1,'General Info and Liability'!$D$14/'General Info and Liability'!$B$10*$L179,""),"")</f>
        <v/>
      </c>
      <c r="N179" s="32" t="str">
        <f>IFERROR(IF($H178+1&lt;'General Info and Liability'!$B$15+1,'General Info and Liability'!$D$15/'General Info and Liability'!$B$10*$L179,""),"")</f>
        <v/>
      </c>
      <c r="O179" s="8"/>
      <c r="P179" s="8"/>
      <c r="Q179" t="str">
        <f>IFERROR(IF($H179+1&gt;0,'General Info and Liability'!$D$16,""),"")</f>
        <v/>
      </c>
      <c r="R179" t="str">
        <f>IFERROR(IF($H179+1&gt;0,'General Info and Liability'!$B$16,""),"")</f>
        <v/>
      </c>
      <c r="S179" t="str">
        <f>IFERROR(IF($H178+1&lt;'General Info and Liability'!$B$15+1,'General Info and Liability'!$D$17,""),"")</f>
        <v/>
      </c>
      <c r="T179" t="str">
        <f>IFERROR(IF($H178+1&lt;'General Info and Liability'!$B$15+1,'General Info and Liability'!$D$18,""),"")</f>
        <v/>
      </c>
      <c r="U179" t="str">
        <f>IFERROR(IF($H178+1&lt;'General Info and Liability'!$B$15+1,'General Info and Liability'!$D$19,""),"")</f>
        <v/>
      </c>
      <c r="V179" t="str">
        <f>IFERROR(IF($H178+1&lt;'General Info and Liability'!$B$15+1,'General Info and Liability'!$B$14,""),"")</f>
        <v/>
      </c>
      <c r="W179" t="str">
        <f>IFERROR(IF($H178+1&lt;'General Info and Liability'!$B$15+1,'General Info and Liability'!$D$20,""),"")</f>
        <v/>
      </c>
    </row>
    <row r="180" spans="8:23" ht="16.5" customHeight="1">
      <c r="H180" t="str">
        <f>IFERROR(IF(H179+1&lt;'General Info and Liability'!$B$15+1,'Property Schedule'!H179+1,""),"")</f>
        <v/>
      </c>
      <c r="J180" s="8"/>
      <c r="K180" s="7" t="str">
        <f>IFERROR(IF($H179+1&lt;'General Info and Liability'!$B$15+1,'General Info and Liability'!$B$18/'General Info and Liability'!$B$10*$L180,""),"")</f>
        <v/>
      </c>
      <c r="L180" s="8"/>
      <c r="M180" s="31" t="str">
        <f>IFERROR(IF($H179+1&lt;'General Info and Liability'!$B$15+1,'General Info and Liability'!$D$14/'General Info and Liability'!$B$10*$L180,""),"")</f>
        <v/>
      </c>
      <c r="N180" s="32" t="str">
        <f>IFERROR(IF($H179+1&lt;'General Info and Liability'!$B$15+1,'General Info and Liability'!$D$15/'General Info and Liability'!$B$10*$L180,""),"")</f>
        <v/>
      </c>
      <c r="O180" s="8"/>
      <c r="P180" s="8"/>
      <c r="Q180" t="str">
        <f>IFERROR(IF($H180+1&gt;0,'General Info and Liability'!$D$16,""),"")</f>
        <v/>
      </c>
      <c r="R180" t="str">
        <f>IFERROR(IF($H180+1&gt;0,'General Info and Liability'!$B$16,""),"")</f>
        <v/>
      </c>
      <c r="S180" t="str">
        <f>IFERROR(IF($H179+1&lt;'General Info and Liability'!$B$15+1,'General Info and Liability'!$D$17,""),"")</f>
        <v/>
      </c>
      <c r="T180" t="str">
        <f>IFERROR(IF($H179+1&lt;'General Info and Liability'!$B$15+1,'General Info and Liability'!$D$18,""),"")</f>
        <v/>
      </c>
      <c r="U180" t="str">
        <f>IFERROR(IF($H179+1&lt;'General Info and Liability'!$B$15+1,'General Info and Liability'!$D$19,""),"")</f>
        <v/>
      </c>
      <c r="V180" t="str">
        <f>IFERROR(IF($H179+1&lt;'General Info and Liability'!$B$15+1,'General Info and Liability'!$B$14,""),"")</f>
        <v/>
      </c>
      <c r="W180" t="str">
        <f>IFERROR(IF($H179+1&lt;'General Info and Liability'!$B$15+1,'General Info and Liability'!$D$20,""),"")</f>
        <v/>
      </c>
    </row>
    <row r="181" spans="8:23" ht="16.5" customHeight="1">
      <c r="H181" t="str">
        <f>IFERROR(IF(H180+1&lt;'General Info and Liability'!$B$15+1,'Property Schedule'!H180+1,""),"")</f>
        <v/>
      </c>
      <c r="J181" s="8"/>
      <c r="K181" s="7" t="str">
        <f>IFERROR(IF($H180+1&lt;'General Info and Liability'!$B$15+1,'General Info and Liability'!$B$18/'General Info and Liability'!$B$10*$L181,""),"")</f>
        <v/>
      </c>
      <c r="L181" s="8"/>
      <c r="M181" s="31" t="str">
        <f>IFERROR(IF($H180+1&lt;'General Info and Liability'!$B$15+1,'General Info and Liability'!$D$14/'General Info and Liability'!$B$10*$L181,""),"")</f>
        <v/>
      </c>
      <c r="N181" s="32" t="str">
        <f>IFERROR(IF($H180+1&lt;'General Info and Liability'!$B$15+1,'General Info and Liability'!$D$15/'General Info and Liability'!$B$10*$L181,""),"")</f>
        <v/>
      </c>
      <c r="O181" s="8"/>
      <c r="P181" s="8"/>
      <c r="Q181" t="str">
        <f>IFERROR(IF($H181+1&gt;0,'General Info and Liability'!$D$16,""),"")</f>
        <v/>
      </c>
      <c r="R181" t="str">
        <f>IFERROR(IF($H181+1&gt;0,'General Info and Liability'!$B$16,""),"")</f>
        <v/>
      </c>
      <c r="S181" t="str">
        <f>IFERROR(IF($H180+1&lt;'General Info and Liability'!$B$15+1,'General Info and Liability'!$D$17,""),"")</f>
        <v/>
      </c>
      <c r="T181" t="str">
        <f>IFERROR(IF($H180+1&lt;'General Info and Liability'!$B$15+1,'General Info and Liability'!$D$18,""),"")</f>
        <v/>
      </c>
      <c r="U181" t="str">
        <f>IFERROR(IF($H180+1&lt;'General Info and Liability'!$B$15+1,'General Info and Liability'!$D$19,""),"")</f>
        <v/>
      </c>
      <c r="V181" t="str">
        <f>IFERROR(IF($H180+1&lt;'General Info and Liability'!$B$15+1,'General Info and Liability'!$B$14,""),"")</f>
        <v/>
      </c>
      <c r="W181" t="str">
        <f>IFERROR(IF($H180+1&lt;'General Info and Liability'!$B$15+1,'General Info and Liability'!$D$20,""),"")</f>
        <v/>
      </c>
    </row>
    <row r="182" spans="8:23" ht="16.5" customHeight="1">
      <c r="H182" t="str">
        <f>IFERROR(IF(H181+1&lt;'General Info and Liability'!$B$15+1,'Property Schedule'!H181+1,""),"")</f>
        <v/>
      </c>
      <c r="J182" s="8"/>
      <c r="K182" s="7" t="str">
        <f>IFERROR(IF($H181+1&lt;'General Info and Liability'!$B$15+1,'General Info and Liability'!$B$18/'General Info and Liability'!$B$10*$L182,""),"")</f>
        <v/>
      </c>
      <c r="L182" s="8"/>
      <c r="M182" s="31" t="str">
        <f>IFERROR(IF($H181+1&lt;'General Info and Liability'!$B$15+1,'General Info and Liability'!$D$14/'General Info and Liability'!$B$10*$L182,""),"")</f>
        <v/>
      </c>
      <c r="N182" s="32" t="str">
        <f>IFERROR(IF($H181+1&lt;'General Info and Liability'!$B$15+1,'General Info and Liability'!$D$15/'General Info and Liability'!$B$10*$L182,""),"")</f>
        <v/>
      </c>
      <c r="O182" s="8"/>
      <c r="P182" s="8"/>
      <c r="Q182" t="str">
        <f>IFERROR(IF($H182+1&gt;0,'General Info and Liability'!$D$16,""),"")</f>
        <v/>
      </c>
      <c r="R182" t="str">
        <f>IFERROR(IF($H182+1&gt;0,'General Info and Liability'!$B$16,""),"")</f>
        <v/>
      </c>
      <c r="S182" t="str">
        <f>IFERROR(IF($H181+1&lt;'General Info and Liability'!$B$15+1,'General Info and Liability'!$D$17,""),"")</f>
        <v/>
      </c>
      <c r="T182" t="str">
        <f>IFERROR(IF($H181+1&lt;'General Info and Liability'!$B$15+1,'General Info and Liability'!$D$18,""),"")</f>
        <v/>
      </c>
      <c r="U182" t="str">
        <f>IFERROR(IF($H181+1&lt;'General Info and Liability'!$B$15+1,'General Info and Liability'!$D$19,""),"")</f>
        <v/>
      </c>
      <c r="V182" t="str">
        <f>IFERROR(IF($H181+1&lt;'General Info and Liability'!$B$15+1,'General Info and Liability'!$B$14,""),"")</f>
        <v/>
      </c>
      <c r="W182" t="str">
        <f>IFERROR(IF($H181+1&lt;'General Info and Liability'!$B$15+1,'General Info and Liability'!$D$20,""),"")</f>
        <v/>
      </c>
    </row>
    <row r="183" spans="8:23" ht="16.5" customHeight="1">
      <c r="H183" t="str">
        <f>IFERROR(IF(H182+1&lt;'General Info and Liability'!$B$15+1,'Property Schedule'!H182+1,""),"")</f>
        <v/>
      </c>
      <c r="J183" s="8"/>
      <c r="K183" s="7" t="str">
        <f>IFERROR(IF($H182+1&lt;'General Info and Liability'!$B$15+1,'General Info and Liability'!$B$18/'General Info and Liability'!$B$10*$L183,""),"")</f>
        <v/>
      </c>
      <c r="L183" s="8"/>
      <c r="M183" s="31" t="str">
        <f>IFERROR(IF($H182+1&lt;'General Info and Liability'!$B$15+1,'General Info and Liability'!$D$14/'General Info and Liability'!$B$10*$L183,""),"")</f>
        <v/>
      </c>
      <c r="N183" s="32" t="str">
        <f>IFERROR(IF($H182+1&lt;'General Info and Liability'!$B$15+1,'General Info and Liability'!$D$15/'General Info and Liability'!$B$10*$L183,""),"")</f>
        <v/>
      </c>
      <c r="O183" s="8"/>
      <c r="P183" s="8"/>
      <c r="Q183" t="str">
        <f>IFERROR(IF($H183+1&gt;0,'General Info and Liability'!$D$16,""),"")</f>
        <v/>
      </c>
      <c r="R183" t="str">
        <f>IFERROR(IF($H183+1&gt;0,'General Info and Liability'!$B$16,""),"")</f>
        <v/>
      </c>
      <c r="S183" t="str">
        <f>IFERROR(IF($H182+1&lt;'General Info and Liability'!$B$15+1,'General Info and Liability'!$D$17,""),"")</f>
        <v/>
      </c>
      <c r="T183" t="str">
        <f>IFERROR(IF($H182+1&lt;'General Info and Liability'!$B$15+1,'General Info and Liability'!$D$18,""),"")</f>
        <v/>
      </c>
      <c r="U183" t="str">
        <f>IFERROR(IF($H182+1&lt;'General Info and Liability'!$B$15+1,'General Info and Liability'!$D$19,""),"")</f>
        <v/>
      </c>
      <c r="V183" t="str">
        <f>IFERROR(IF($H182+1&lt;'General Info and Liability'!$B$15+1,'General Info and Liability'!$B$14,""),"")</f>
        <v/>
      </c>
      <c r="W183" t="str">
        <f>IFERROR(IF($H182+1&lt;'General Info and Liability'!$B$15+1,'General Info and Liability'!$D$20,""),"")</f>
        <v/>
      </c>
    </row>
    <row r="184" spans="8:23" ht="16.5" customHeight="1">
      <c r="H184" t="str">
        <f>IFERROR(IF(H183+1&lt;'General Info and Liability'!$B$15+1,'Property Schedule'!H183+1,""),"")</f>
        <v/>
      </c>
      <c r="J184" s="8"/>
      <c r="K184" s="7" t="str">
        <f>IFERROR(IF($H183+1&lt;'General Info and Liability'!$B$15+1,'General Info and Liability'!$B$18/'General Info and Liability'!$B$10*$L184,""),"")</f>
        <v/>
      </c>
      <c r="L184" s="8"/>
      <c r="M184" s="31" t="str">
        <f>IFERROR(IF($H183+1&lt;'General Info and Liability'!$B$15+1,'General Info and Liability'!$D$14/'General Info and Liability'!$B$10*$L184,""),"")</f>
        <v/>
      </c>
      <c r="N184" s="32" t="str">
        <f>IFERROR(IF($H183+1&lt;'General Info and Liability'!$B$15+1,'General Info and Liability'!$D$15/'General Info and Liability'!$B$10*$L184,""),"")</f>
        <v/>
      </c>
      <c r="O184" s="8"/>
      <c r="P184" s="8"/>
      <c r="Q184" t="str">
        <f>IFERROR(IF($H184+1&gt;0,'General Info and Liability'!$D$16,""),"")</f>
        <v/>
      </c>
      <c r="R184" t="str">
        <f>IFERROR(IF($H184+1&gt;0,'General Info and Liability'!$B$16,""),"")</f>
        <v/>
      </c>
      <c r="S184" t="str">
        <f>IFERROR(IF($H183+1&lt;'General Info and Liability'!$B$15+1,'General Info and Liability'!$D$17,""),"")</f>
        <v/>
      </c>
      <c r="T184" t="str">
        <f>IFERROR(IF($H183+1&lt;'General Info and Liability'!$B$15+1,'General Info and Liability'!$D$18,""),"")</f>
        <v/>
      </c>
      <c r="U184" t="str">
        <f>IFERROR(IF($H183+1&lt;'General Info and Liability'!$B$15+1,'General Info and Liability'!$D$19,""),"")</f>
        <v/>
      </c>
      <c r="V184" t="str">
        <f>IFERROR(IF($H183+1&lt;'General Info and Liability'!$B$15+1,'General Info and Liability'!$B$14,""),"")</f>
        <v/>
      </c>
      <c r="W184" t="str">
        <f>IFERROR(IF($H183+1&lt;'General Info and Liability'!$B$15+1,'General Info and Liability'!$D$20,""),"")</f>
        <v/>
      </c>
    </row>
    <row r="185" spans="8:23" ht="16.5" customHeight="1">
      <c r="H185" t="str">
        <f>IFERROR(IF(H184+1&lt;'General Info and Liability'!$B$15+1,'Property Schedule'!H184+1,""),"")</f>
        <v/>
      </c>
      <c r="J185" s="8"/>
      <c r="K185" s="7" t="str">
        <f>IFERROR(IF($H184+1&lt;'General Info and Liability'!$B$15+1,'General Info and Liability'!$B$18/'General Info and Liability'!$B$10*$L185,""),"")</f>
        <v/>
      </c>
      <c r="L185" s="8"/>
      <c r="M185" s="31" t="str">
        <f>IFERROR(IF($H184+1&lt;'General Info and Liability'!$B$15+1,'General Info and Liability'!$D$14/'General Info and Liability'!$B$10*$L185,""),"")</f>
        <v/>
      </c>
      <c r="N185" s="32" t="str">
        <f>IFERROR(IF($H184+1&lt;'General Info and Liability'!$B$15+1,'General Info and Liability'!$D$15/'General Info and Liability'!$B$10*$L185,""),"")</f>
        <v/>
      </c>
      <c r="O185" s="8"/>
      <c r="P185" s="8"/>
      <c r="Q185" t="str">
        <f>IFERROR(IF($H185+1&gt;0,'General Info and Liability'!$D$16,""),"")</f>
        <v/>
      </c>
      <c r="R185" t="str">
        <f>IFERROR(IF($H185+1&gt;0,'General Info and Liability'!$B$16,""),"")</f>
        <v/>
      </c>
      <c r="S185" t="str">
        <f>IFERROR(IF($H184+1&lt;'General Info and Liability'!$B$15+1,'General Info and Liability'!$D$17,""),"")</f>
        <v/>
      </c>
      <c r="T185" t="str">
        <f>IFERROR(IF($H184+1&lt;'General Info and Liability'!$B$15+1,'General Info and Liability'!$D$18,""),"")</f>
        <v/>
      </c>
      <c r="U185" t="str">
        <f>IFERROR(IF($H184+1&lt;'General Info and Liability'!$B$15+1,'General Info and Liability'!$D$19,""),"")</f>
        <v/>
      </c>
      <c r="V185" t="str">
        <f>IFERROR(IF($H184+1&lt;'General Info and Liability'!$B$15+1,'General Info and Liability'!$B$14,""),"")</f>
        <v/>
      </c>
      <c r="W185" t="str">
        <f>IFERROR(IF($H184+1&lt;'General Info and Liability'!$B$15+1,'General Info and Liability'!$D$20,""),"")</f>
        <v/>
      </c>
    </row>
    <row r="186" spans="8:23" ht="16.5" customHeight="1">
      <c r="H186" t="str">
        <f>IFERROR(IF(H185+1&lt;'General Info and Liability'!$B$15+1,'Property Schedule'!H185+1,""),"")</f>
        <v/>
      </c>
      <c r="J186" s="8"/>
      <c r="K186" s="7" t="str">
        <f>IFERROR(IF($H185+1&lt;'General Info and Liability'!$B$15+1,'General Info and Liability'!$B$18/'General Info and Liability'!$B$10*$L186,""),"")</f>
        <v/>
      </c>
      <c r="L186" s="8"/>
      <c r="M186" s="31" t="str">
        <f>IFERROR(IF($H185+1&lt;'General Info and Liability'!$B$15+1,'General Info and Liability'!$D$14/'General Info and Liability'!$B$10*$L186,""),"")</f>
        <v/>
      </c>
      <c r="N186" s="32" t="str">
        <f>IFERROR(IF($H185+1&lt;'General Info and Liability'!$B$15+1,'General Info and Liability'!$D$15/'General Info and Liability'!$B$10*$L186,""),"")</f>
        <v/>
      </c>
      <c r="O186" s="8"/>
      <c r="P186" s="8"/>
      <c r="Q186" t="str">
        <f>IFERROR(IF($H186+1&gt;0,'General Info and Liability'!$D$16,""),"")</f>
        <v/>
      </c>
      <c r="R186" t="str">
        <f>IFERROR(IF($H186+1&gt;0,'General Info and Liability'!$B$16,""),"")</f>
        <v/>
      </c>
      <c r="S186" t="str">
        <f>IFERROR(IF($H185+1&lt;'General Info and Liability'!$B$15+1,'General Info and Liability'!$D$17,""),"")</f>
        <v/>
      </c>
      <c r="T186" t="str">
        <f>IFERROR(IF($H185+1&lt;'General Info and Liability'!$B$15+1,'General Info and Liability'!$D$18,""),"")</f>
        <v/>
      </c>
      <c r="U186" t="str">
        <f>IFERROR(IF($H185+1&lt;'General Info and Liability'!$B$15+1,'General Info and Liability'!$D$19,""),"")</f>
        <v/>
      </c>
      <c r="V186" t="str">
        <f>IFERROR(IF($H185+1&lt;'General Info and Liability'!$B$15+1,'General Info and Liability'!$B$14,""),"")</f>
        <v/>
      </c>
      <c r="W186" t="str">
        <f>IFERROR(IF($H185+1&lt;'General Info and Liability'!$B$15+1,'General Info and Liability'!$D$20,""),"")</f>
        <v/>
      </c>
    </row>
    <row r="187" spans="8:23" ht="16.5" customHeight="1">
      <c r="H187" t="str">
        <f>IFERROR(IF(H186+1&lt;'General Info and Liability'!$B$15+1,'Property Schedule'!H186+1,""),"")</f>
        <v/>
      </c>
      <c r="J187" s="8"/>
      <c r="K187" s="7" t="str">
        <f>IFERROR(IF($H186+1&lt;'General Info and Liability'!$B$15+1,'General Info and Liability'!$B$18/'General Info and Liability'!$B$10*$L187,""),"")</f>
        <v/>
      </c>
      <c r="L187" s="8"/>
      <c r="M187" s="31" t="str">
        <f>IFERROR(IF($H186+1&lt;'General Info and Liability'!$B$15+1,'General Info and Liability'!$D$14/'General Info and Liability'!$B$10*$L187,""),"")</f>
        <v/>
      </c>
      <c r="N187" s="32" t="str">
        <f>IFERROR(IF($H186+1&lt;'General Info and Liability'!$B$15+1,'General Info and Liability'!$D$15/'General Info and Liability'!$B$10*$L187,""),"")</f>
        <v/>
      </c>
      <c r="O187" s="8"/>
      <c r="P187" s="8"/>
      <c r="Q187" t="str">
        <f>IFERROR(IF($H187+1&gt;0,'General Info and Liability'!$D$16,""),"")</f>
        <v/>
      </c>
      <c r="R187" t="str">
        <f>IFERROR(IF($H187+1&gt;0,'General Info and Liability'!$B$16,""),"")</f>
        <v/>
      </c>
      <c r="S187" t="str">
        <f>IFERROR(IF($H186+1&lt;'General Info and Liability'!$B$15+1,'General Info and Liability'!$D$17,""),"")</f>
        <v/>
      </c>
      <c r="T187" t="str">
        <f>IFERROR(IF($H186+1&lt;'General Info and Liability'!$B$15+1,'General Info and Liability'!$D$18,""),"")</f>
        <v/>
      </c>
      <c r="U187" t="str">
        <f>IFERROR(IF($H186+1&lt;'General Info and Liability'!$B$15+1,'General Info and Liability'!$D$19,""),"")</f>
        <v/>
      </c>
      <c r="V187" t="str">
        <f>IFERROR(IF($H186+1&lt;'General Info and Liability'!$B$15+1,'General Info and Liability'!$B$14,""),"")</f>
        <v/>
      </c>
      <c r="W187" t="str">
        <f>IFERROR(IF($H186+1&lt;'General Info and Liability'!$B$15+1,'General Info and Liability'!$D$20,""),"")</f>
        <v/>
      </c>
    </row>
    <row r="188" spans="8:23" ht="16.5" customHeight="1">
      <c r="H188" t="str">
        <f>IFERROR(IF(H187+1&lt;'General Info and Liability'!$B$15+1,'Property Schedule'!H187+1,""),"")</f>
        <v/>
      </c>
      <c r="J188" s="8"/>
      <c r="K188" s="7" t="str">
        <f>IFERROR(IF($H187+1&lt;'General Info and Liability'!$B$15+1,'General Info and Liability'!$B$18/'General Info and Liability'!$B$10*$L188,""),"")</f>
        <v/>
      </c>
      <c r="L188" s="8"/>
      <c r="M188" s="31" t="str">
        <f>IFERROR(IF($H187+1&lt;'General Info and Liability'!$B$15+1,'General Info and Liability'!$D$14/'General Info and Liability'!$B$10*$L188,""),"")</f>
        <v/>
      </c>
      <c r="N188" s="32" t="str">
        <f>IFERROR(IF($H187+1&lt;'General Info and Liability'!$B$15+1,'General Info and Liability'!$D$15/'General Info and Liability'!$B$10*$L188,""),"")</f>
        <v/>
      </c>
      <c r="O188" s="8"/>
      <c r="P188" s="8"/>
      <c r="Q188" t="str">
        <f>IFERROR(IF($H188+1&gt;0,'General Info and Liability'!$D$16,""),"")</f>
        <v/>
      </c>
      <c r="R188" t="str">
        <f>IFERROR(IF($H188+1&gt;0,'General Info and Liability'!$B$16,""),"")</f>
        <v/>
      </c>
      <c r="S188" t="str">
        <f>IFERROR(IF($H187+1&lt;'General Info and Liability'!$B$15+1,'General Info and Liability'!$D$17,""),"")</f>
        <v/>
      </c>
      <c r="T188" t="str">
        <f>IFERROR(IF($H187+1&lt;'General Info and Liability'!$B$15+1,'General Info and Liability'!$D$18,""),"")</f>
        <v/>
      </c>
      <c r="U188" t="str">
        <f>IFERROR(IF($H187+1&lt;'General Info and Liability'!$B$15+1,'General Info and Liability'!$D$19,""),"")</f>
        <v/>
      </c>
      <c r="V188" t="str">
        <f>IFERROR(IF($H187+1&lt;'General Info and Liability'!$B$15+1,'General Info and Liability'!$B$14,""),"")</f>
        <v/>
      </c>
      <c r="W188" t="str">
        <f>IFERROR(IF($H187+1&lt;'General Info and Liability'!$B$15+1,'General Info and Liability'!$D$20,""),"")</f>
        <v/>
      </c>
    </row>
    <row r="189" spans="8:23" ht="16.5" customHeight="1">
      <c r="H189" t="str">
        <f>IFERROR(IF(H188+1&lt;'General Info and Liability'!$B$15+1,'Property Schedule'!H188+1,""),"")</f>
        <v/>
      </c>
      <c r="J189" s="8"/>
      <c r="K189" s="7" t="str">
        <f>IFERROR(IF($H188+1&lt;'General Info and Liability'!$B$15+1,'General Info and Liability'!$B$18/'General Info and Liability'!$B$10*$L189,""),"")</f>
        <v/>
      </c>
      <c r="L189" s="8"/>
      <c r="M189" s="31" t="str">
        <f>IFERROR(IF($H188+1&lt;'General Info and Liability'!$B$15+1,'General Info and Liability'!$D$14/'General Info and Liability'!$B$10*$L189,""),"")</f>
        <v/>
      </c>
      <c r="N189" s="32" t="str">
        <f>IFERROR(IF($H188+1&lt;'General Info and Liability'!$B$15+1,'General Info and Liability'!$D$15/'General Info and Liability'!$B$10*$L189,""),"")</f>
        <v/>
      </c>
      <c r="O189" s="8"/>
      <c r="P189" s="8"/>
      <c r="Q189" t="str">
        <f>IFERROR(IF($H189+1&gt;0,'General Info and Liability'!$D$16,""),"")</f>
        <v/>
      </c>
      <c r="R189" t="str">
        <f>IFERROR(IF($H189+1&gt;0,'General Info and Liability'!$B$16,""),"")</f>
        <v/>
      </c>
      <c r="S189" t="str">
        <f>IFERROR(IF($H188+1&lt;'General Info and Liability'!$B$15+1,'General Info and Liability'!$D$17,""),"")</f>
        <v/>
      </c>
      <c r="T189" t="str">
        <f>IFERROR(IF($H188+1&lt;'General Info and Liability'!$B$15+1,'General Info and Liability'!$D$18,""),"")</f>
        <v/>
      </c>
      <c r="U189" t="str">
        <f>IFERROR(IF($H188+1&lt;'General Info and Liability'!$B$15+1,'General Info and Liability'!$D$19,""),"")</f>
        <v/>
      </c>
      <c r="V189" t="str">
        <f>IFERROR(IF($H188+1&lt;'General Info and Liability'!$B$15+1,'General Info and Liability'!$B$14,""),"")</f>
        <v/>
      </c>
      <c r="W189" t="str">
        <f>IFERROR(IF($H188+1&lt;'General Info and Liability'!$B$15+1,'General Info and Liability'!$D$20,""),"")</f>
        <v/>
      </c>
    </row>
    <row r="190" spans="8:23" ht="16.5" customHeight="1">
      <c r="H190" t="str">
        <f>IFERROR(IF(H189+1&lt;'General Info and Liability'!$B$15+1,'Property Schedule'!H189+1,""),"")</f>
        <v/>
      </c>
      <c r="J190" s="8"/>
      <c r="K190" s="7" t="str">
        <f>IFERROR(IF($H189+1&lt;'General Info and Liability'!$B$15+1,'General Info and Liability'!$B$18/'General Info and Liability'!$B$10*$L190,""),"")</f>
        <v/>
      </c>
      <c r="L190" s="8"/>
      <c r="M190" s="31" t="str">
        <f>IFERROR(IF($H189+1&lt;'General Info and Liability'!$B$15+1,'General Info and Liability'!$D$14/'General Info and Liability'!$B$10*$L190,""),"")</f>
        <v/>
      </c>
      <c r="N190" s="32" t="str">
        <f>IFERROR(IF($H189+1&lt;'General Info and Liability'!$B$15+1,'General Info and Liability'!$D$15/'General Info and Liability'!$B$10*$L190,""),"")</f>
        <v/>
      </c>
      <c r="O190" s="8"/>
      <c r="P190" s="8"/>
      <c r="Q190" t="str">
        <f>IFERROR(IF($H190+1&gt;0,'General Info and Liability'!$D$16,""),"")</f>
        <v/>
      </c>
      <c r="R190" t="str">
        <f>IFERROR(IF($H190+1&gt;0,'General Info and Liability'!$B$16,""),"")</f>
        <v/>
      </c>
      <c r="S190" t="str">
        <f>IFERROR(IF($H189+1&lt;'General Info and Liability'!$B$15+1,'General Info and Liability'!$D$17,""),"")</f>
        <v/>
      </c>
      <c r="T190" t="str">
        <f>IFERROR(IF($H189+1&lt;'General Info and Liability'!$B$15+1,'General Info and Liability'!$D$18,""),"")</f>
        <v/>
      </c>
      <c r="U190" t="str">
        <f>IFERROR(IF($H189+1&lt;'General Info and Liability'!$B$15+1,'General Info and Liability'!$D$19,""),"")</f>
        <v/>
      </c>
      <c r="V190" t="str">
        <f>IFERROR(IF($H189+1&lt;'General Info and Liability'!$B$15+1,'General Info and Liability'!$B$14,""),"")</f>
        <v/>
      </c>
      <c r="W190" t="str">
        <f>IFERROR(IF($H189+1&lt;'General Info and Liability'!$B$15+1,'General Info and Liability'!$D$20,""),"")</f>
        <v/>
      </c>
    </row>
    <row r="191" spans="8:23" ht="16.5" customHeight="1">
      <c r="H191" t="str">
        <f>IFERROR(IF(H190+1&lt;'General Info and Liability'!$B$15+1,'Property Schedule'!H190+1,""),"")</f>
        <v/>
      </c>
      <c r="J191" s="8"/>
      <c r="K191" s="7" t="str">
        <f>IFERROR(IF($H190+1&lt;'General Info and Liability'!$B$15+1,'General Info and Liability'!$B$18/'General Info and Liability'!$B$10*$L191,""),"")</f>
        <v/>
      </c>
      <c r="L191" s="8"/>
      <c r="M191" s="31" t="str">
        <f>IFERROR(IF($H190+1&lt;'General Info and Liability'!$B$15+1,'General Info and Liability'!$D$14/'General Info and Liability'!$B$10*$L191,""),"")</f>
        <v/>
      </c>
      <c r="N191" s="32" t="str">
        <f>IFERROR(IF($H190+1&lt;'General Info and Liability'!$B$15+1,'General Info and Liability'!$D$15/'General Info and Liability'!$B$10*$L191,""),"")</f>
        <v/>
      </c>
      <c r="O191" s="8"/>
      <c r="P191" s="8"/>
      <c r="Q191" t="str">
        <f>IFERROR(IF($H191+1&gt;0,'General Info and Liability'!$D$16,""),"")</f>
        <v/>
      </c>
      <c r="R191" t="str">
        <f>IFERROR(IF($H191+1&gt;0,'General Info and Liability'!$B$16,""),"")</f>
        <v/>
      </c>
      <c r="S191" t="str">
        <f>IFERROR(IF($H190+1&lt;'General Info and Liability'!$B$15+1,'General Info and Liability'!$D$17,""),"")</f>
        <v/>
      </c>
      <c r="T191" t="str">
        <f>IFERROR(IF($H190+1&lt;'General Info and Liability'!$B$15+1,'General Info and Liability'!$D$18,""),"")</f>
        <v/>
      </c>
      <c r="U191" t="str">
        <f>IFERROR(IF($H190+1&lt;'General Info and Liability'!$B$15+1,'General Info and Liability'!$D$19,""),"")</f>
        <v/>
      </c>
      <c r="V191" t="str">
        <f>IFERROR(IF($H190+1&lt;'General Info and Liability'!$B$15+1,'General Info and Liability'!$B$14,""),"")</f>
        <v/>
      </c>
      <c r="W191" t="str">
        <f>IFERROR(IF($H190+1&lt;'General Info and Liability'!$B$15+1,'General Info and Liability'!$D$20,""),"")</f>
        <v/>
      </c>
    </row>
    <row r="192" spans="8:23" ht="16.5" customHeight="1">
      <c r="H192" t="str">
        <f>IFERROR(IF(H191+1&lt;'General Info and Liability'!$B$15+1,'Property Schedule'!H191+1,""),"")</f>
        <v/>
      </c>
      <c r="J192" s="8"/>
      <c r="K192" s="7" t="str">
        <f>IFERROR(IF($H191+1&lt;'General Info and Liability'!$B$15+1,'General Info and Liability'!$B$18/'General Info and Liability'!$B$10*$L192,""),"")</f>
        <v/>
      </c>
      <c r="L192" s="8"/>
      <c r="M192" s="31" t="str">
        <f>IFERROR(IF($H191+1&lt;'General Info and Liability'!$B$15+1,'General Info and Liability'!$D$14/'General Info and Liability'!$B$10*$L192,""),"")</f>
        <v/>
      </c>
      <c r="N192" s="32" t="str">
        <f>IFERROR(IF($H191+1&lt;'General Info and Liability'!$B$15+1,'General Info and Liability'!$D$15/'General Info and Liability'!$B$10*$L192,""),"")</f>
        <v/>
      </c>
      <c r="O192" s="8"/>
      <c r="P192" s="8"/>
      <c r="Q192" t="str">
        <f>IFERROR(IF($H192+1&gt;0,'General Info and Liability'!$D$16,""),"")</f>
        <v/>
      </c>
      <c r="R192" t="str">
        <f>IFERROR(IF($H192+1&gt;0,'General Info and Liability'!$B$16,""),"")</f>
        <v/>
      </c>
      <c r="S192" t="str">
        <f>IFERROR(IF($H191+1&lt;'General Info and Liability'!$B$15+1,'General Info and Liability'!$D$17,""),"")</f>
        <v/>
      </c>
      <c r="T192" t="str">
        <f>IFERROR(IF($H191+1&lt;'General Info and Liability'!$B$15+1,'General Info and Liability'!$D$18,""),"")</f>
        <v/>
      </c>
      <c r="U192" t="str">
        <f>IFERROR(IF($H191+1&lt;'General Info and Liability'!$B$15+1,'General Info and Liability'!$D$19,""),"")</f>
        <v/>
      </c>
      <c r="V192" t="str">
        <f>IFERROR(IF($H191+1&lt;'General Info and Liability'!$B$15+1,'General Info and Liability'!$B$14,""),"")</f>
        <v/>
      </c>
      <c r="W192" t="str">
        <f>IFERROR(IF($H191+1&lt;'General Info and Liability'!$B$15+1,'General Info and Liability'!$D$20,""),"")</f>
        <v/>
      </c>
    </row>
    <row r="193" spans="8:23" ht="16.5" customHeight="1">
      <c r="H193" t="str">
        <f>IFERROR(IF(H192+1&lt;'General Info and Liability'!$B$15+1,'Property Schedule'!H192+1,""),"")</f>
        <v/>
      </c>
      <c r="J193" s="8"/>
      <c r="K193" s="7" t="str">
        <f>IFERROR(IF($H192+1&lt;'General Info and Liability'!$B$15+1,'General Info and Liability'!$B$18/'General Info and Liability'!$B$10*$L193,""),"")</f>
        <v/>
      </c>
      <c r="L193" s="8"/>
      <c r="M193" s="31" t="str">
        <f>IFERROR(IF($H192+1&lt;'General Info and Liability'!$B$15+1,'General Info and Liability'!$D$14/'General Info and Liability'!$B$10*$L193,""),"")</f>
        <v/>
      </c>
      <c r="N193" s="32" t="str">
        <f>IFERROR(IF($H192+1&lt;'General Info and Liability'!$B$15+1,'General Info and Liability'!$D$15/'General Info and Liability'!$B$10*$L193,""),"")</f>
        <v/>
      </c>
      <c r="O193" s="8"/>
      <c r="P193" s="8"/>
      <c r="Q193" t="str">
        <f>IFERROR(IF($H193+1&gt;0,'General Info and Liability'!$D$16,""),"")</f>
        <v/>
      </c>
      <c r="R193" t="str">
        <f>IFERROR(IF($H193+1&gt;0,'General Info and Liability'!$B$16,""),"")</f>
        <v/>
      </c>
      <c r="S193" t="str">
        <f>IFERROR(IF($H192+1&lt;'General Info and Liability'!$B$15+1,'General Info and Liability'!$D$17,""),"")</f>
        <v/>
      </c>
      <c r="T193" t="str">
        <f>IFERROR(IF($H192+1&lt;'General Info and Liability'!$B$15+1,'General Info and Liability'!$D$18,""),"")</f>
        <v/>
      </c>
      <c r="U193" t="str">
        <f>IFERROR(IF($H192+1&lt;'General Info and Liability'!$B$15+1,'General Info and Liability'!$D$19,""),"")</f>
        <v/>
      </c>
      <c r="V193" t="str">
        <f>IFERROR(IF($H192+1&lt;'General Info and Liability'!$B$15+1,'General Info and Liability'!$B$14,""),"")</f>
        <v/>
      </c>
      <c r="W193" t="str">
        <f>IFERROR(IF($H192+1&lt;'General Info and Liability'!$B$15+1,'General Info and Liability'!$D$20,""),"")</f>
        <v/>
      </c>
    </row>
    <row r="194" spans="8:23" ht="16.5" customHeight="1">
      <c r="H194" t="str">
        <f>IFERROR(IF(H193+1&lt;'General Info and Liability'!$B$15+1,'Property Schedule'!H193+1,""),"")</f>
        <v/>
      </c>
      <c r="J194" s="8"/>
      <c r="K194" s="7" t="str">
        <f>IFERROR(IF($H193+1&lt;'General Info and Liability'!$B$15+1,'General Info and Liability'!$B$18/'General Info and Liability'!$B$10*$L194,""),"")</f>
        <v/>
      </c>
      <c r="L194" s="8"/>
      <c r="M194" s="31" t="str">
        <f>IFERROR(IF($H193+1&lt;'General Info and Liability'!$B$15+1,'General Info and Liability'!$D$14/'General Info and Liability'!$B$10*$L194,""),"")</f>
        <v/>
      </c>
      <c r="N194" s="32" t="str">
        <f>IFERROR(IF($H193+1&lt;'General Info and Liability'!$B$15+1,'General Info and Liability'!$D$15/'General Info and Liability'!$B$10*$L194,""),"")</f>
        <v/>
      </c>
      <c r="O194" s="8"/>
      <c r="P194" s="8"/>
      <c r="Q194" t="str">
        <f>IFERROR(IF($H194+1&gt;0,'General Info and Liability'!$D$16,""),"")</f>
        <v/>
      </c>
      <c r="R194" t="str">
        <f>IFERROR(IF($H194+1&gt;0,'General Info and Liability'!$B$16,""),"")</f>
        <v/>
      </c>
      <c r="S194" t="str">
        <f>IFERROR(IF($H193+1&lt;'General Info and Liability'!$B$15+1,'General Info and Liability'!$D$17,""),"")</f>
        <v/>
      </c>
      <c r="T194" t="str">
        <f>IFERROR(IF($H193+1&lt;'General Info and Liability'!$B$15+1,'General Info and Liability'!$D$18,""),"")</f>
        <v/>
      </c>
      <c r="U194" t="str">
        <f>IFERROR(IF($H193+1&lt;'General Info and Liability'!$B$15+1,'General Info and Liability'!$D$19,""),"")</f>
        <v/>
      </c>
      <c r="V194" t="str">
        <f>IFERROR(IF($H193+1&lt;'General Info and Liability'!$B$15+1,'General Info and Liability'!$B$14,""),"")</f>
        <v/>
      </c>
      <c r="W194" t="str">
        <f>IFERROR(IF($H193+1&lt;'General Info and Liability'!$B$15+1,'General Info and Liability'!$D$20,""),"")</f>
        <v/>
      </c>
    </row>
    <row r="195" spans="8:23" ht="16.5" customHeight="1">
      <c r="H195" t="str">
        <f>IFERROR(IF(H194+1&lt;'General Info and Liability'!$B$15+1,'Property Schedule'!H194+1,""),"")</f>
        <v/>
      </c>
      <c r="J195" s="8"/>
      <c r="K195" s="7" t="str">
        <f>IFERROR(IF($H194+1&lt;'General Info and Liability'!$B$15+1,'General Info and Liability'!$B$18/'General Info and Liability'!$B$10*$L195,""),"")</f>
        <v/>
      </c>
      <c r="L195" s="8"/>
      <c r="M195" s="31" t="str">
        <f>IFERROR(IF($H194+1&lt;'General Info and Liability'!$B$15+1,'General Info and Liability'!$D$14/'General Info and Liability'!$B$10*$L195,""),"")</f>
        <v/>
      </c>
      <c r="N195" s="32" t="str">
        <f>IFERROR(IF($H194+1&lt;'General Info and Liability'!$B$15+1,'General Info and Liability'!$D$15/'General Info and Liability'!$B$10*$L195,""),"")</f>
        <v/>
      </c>
      <c r="O195" s="8"/>
      <c r="P195" s="8"/>
      <c r="Q195" t="str">
        <f>IFERROR(IF($H195+1&gt;0,'General Info and Liability'!$D$16,""),"")</f>
        <v/>
      </c>
      <c r="R195" t="str">
        <f>IFERROR(IF($H195+1&gt;0,'General Info and Liability'!$B$16,""),"")</f>
        <v/>
      </c>
      <c r="S195" t="str">
        <f>IFERROR(IF($H194+1&lt;'General Info and Liability'!$B$15+1,'General Info and Liability'!$D$17,""),"")</f>
        <v/>
      </c>
      <c r="T195" t="str">
        <f>IFERROR(IF($H194+1&lt;'General Info and Liability'!$B$15+1,'General Info and Liability'!$D$18,""),"")</f>
        <v/>
      </c>
      <c r="U195" t="str">
        <f>IFERROR(IF($H194+1&lt;'General Info and Liability'!$B$15+1,'General Info and Liability'!$D$19,""),"")</f>
        <v/>
      </c>
      <c r="V195" t="str">
        <f>IFERROR(IF($H194+1&lt;'General Info and Liability'!$B$15+1,'General Info and Liability'!$B$14,""),"")</f>
        <v/>
      </c>
      <c r="W195" t="str">
        <f>IFERROR(IF($H194+1&lt;'General Info and Liability'!$B$15+1,'General Info and Liability'!$D$20,""),"")</f>
        <v/>
      </c>
    </row>
    <row r="196" spans="8:23" ht="16.5" customHeight="1">
      <c r="H196" t="str">
        <f>IFERROR(IF(H195+1&lt;'General Info and Liability'!$B$15+1,'Property Schedule'!H195+1,""),"")</f>
        <v/>
      </c>
      <c r="J196" s="8"/>
      <c r="K196" s="7" t="str">
        <f>IFERROR(IF($H195+1&lt;'General Info and Liability'!$B$15+1,'General Info and Liability'!$B$18/'General Info and Liability'!$B$10*$L196,""),"")</f>
        <v/>
      </c>
      <c r="L196" s="8"/>
      <c r="M196" s="31" t="str">
        <f>IFERROR(IF($H195+1&lt;'General Info and Liability'!$B$15+1,'General Info and Liability'!$D$14/'General Info and Liability'!$B$10*$L196,""),"")</f>
        <v/>
      </c>
      <c r="N196" s="32" t="str">
        <f>IFERROR(IF($H195+1&lt;'General Info and Liability'!$B$15+1,'General Info and Liability'!$D$15/'General Info and Liability'!$B$10*$L196,""),"")</f>
        <v/>
      </c>
      <c r="O196" s="8"/>
      <c r="P196" s="8"/>
      <c r="Q196" t="str">
        <f>IFERROR(IF($H196+1&gt;0,'General Info and Liability'!$D$16,""),"")</f>
        <v/>
      </c>
      <c r="R196" t="str">
        <f>IFERROR(IF($H196+1&gt;0,'General Info and Liability'!$B$16,""),"")</f>
        <v/>
      </c>
      <c r="S196" t="str">
        <f>IFERROR(IF($H195+1&lt;'General Info and Liability'!$B$15+1,'General Info and Liability'!$D$17,""),"")</f>
        <v/>
      </c>
      <c r="T196" t="str">
        <f>IFERROR(IF($H195+1&lt;'General Info and Liability'!$B$15+1,'General Info and Liability'!$D$18,""),"")</f>
        <v/>
      </c>
      <c r="U196" t="str">
        <f>IFERROR(IF($H195+1&lt;'General Info and Liability'!$B$15+1,'General Info and Liability'!$D$19,""),"")</f>
        <v/>
      </c>
      <c r="V196" t="str">
        <f>IFERROR(IF($H195+1&lt;'General Info and Liability'!$B$15+1,'General Info and Liability'!$B$14,""),"")</f>
        <v/>
      </c>
      <c r="W196" t="str">
        <f>IFERROR(IF($H195+1&lt;'General Info and Liability'!$B$15+1,'General Info and Liability'!$D$20,""),"")</f>
        <v/>
      </c>
    </row>
    <row r="197" spans="8:23" ht="16.5" customHeight="1">
      <c r="H197" t="str">
        <f>IFERROR(IF(H196+1&lt;'General Info and Liability'!$B$15+1,'Property Schedule'!H196+1,""),"")</f>
        <v/>
      </c>
      <c r="J197" s="8"/>
      <c r="K197" s="7" t="str">
        <f>IFERROR(IF($H196+1&lt;'General Info and Liability'!$B$15+1,'General Info and Liability'!$B$18/'General Info and Liability'!$B$10*$L197,""),"")</f>
        <v/>
      </c>
      <c r="L197" s="8"/>
      <c r="M197" s="31" t="str">
        <f>IFERROR(IF($H196+1&lt;'General Info and Liability'!$B$15+1,'General Info and Liability'!$D$14/'General Info and Liability'!$B$10*$L197,""),"")</f>
        <v/>
      </c>
      <c r="N197" s="32" t="str">
        <f>IFERROR(IF($H196+1&lt;'General Info and Liability'!$B$15+1,'General Info and Liability'!$D$15/'General Info and Liability'!$B$10*$L197,""),"")</f>
        <v/>
      </c>
      <c r="O197" s="8"/>
      <c r="P197" s="8"/>
      <c r="Q197" t="str">
        <f>IFERROR(IF($H197+1&gt;0,'General Info and Liability'!$D$16,""),"")</f>
        <v/>
      </c>
      <c r="R197" t="str">
        <f>IFERROR(IF($H197+1&gt;0,'General Info and Liability'!$B$16,""),"")</f>
        <v/>
      </c>
      <c r="S197" t="str">
        <f>IFERROR(IF($H196+1&lt;'General Info and Liability'!$B$15+1,'General Info and Liability'!$D$17,""),"")</f>
        <v/>
      </c>
      <c r="T197" t="str">
        <f>IFERROR(IF($H196+1&lt;'General Info and Liability'!$B$15+1,'General Info and Liability'!$D$18,""),"")</f>
        <v/>
      </c>
      <c r="U197" t="str">
        <f>IFERROR(IF($H196+1&lt;'General Info and Liability'!$B$15+1,'General Info and Liability'!$D$19,""),"")</f>
        <v/>
      </c>
      <c r="V197" t="str">
        <f>IFERROR(IF($H196+1&lt;'General Info and Liability'!$B$15+1,'General Info and Liability'!$B$14,""),"")</f>
        <v/>
      </c>
      <c r="W197" t="str">
        <f>IFERROR(IF($H196+1&lt;'General Info and Liability'!$B$15+1,'General Info and Liability'!$D$20,""),"")</f>
        <v/>
      </c>
    </row>
    <row r="198" spans="8:23" ht="16.5" customHeight="1">
      <c r="H198" t="str">
        <f>IFERROR(IF(H197+1&lt;'General Info and Liability'!$B$15+1,'Property Schedule'!H197+1,""),"")</f>
        <v/>
      </c>
      <c r="J198" s="8"/>
      <c r="K198" s="7" t="str">
        <f>IFERROR(IF($H197+1&lt;'General Info and Liability'!$B$15+1,'General Info and Liability'!$B$18/'General Info and Liability'!$B$10*$L198,""),"")</f>
        <v/>
      </c>
      <c r="L198" s="8"/>
      <c r="M198" s="31" t="str">
        <f>IFERROR(IF($H197+1&lt;'General Info and Liability'!$B$15+1,'General Info and Liability'!$D$14/'General Info and Liability'!$B$10*$L198,""),"")</f>
        <v/>
      </c>
      <c r="N198" s="32" t="str">
        <f>IFERROR(IF($H197+1&lt;'General Info and Liability'!$B$15+1,'General Info and Liability'!$D$15/'General Info and Liability'!$B$10*$L198,""),"")</f>
        <v/>
      </c>
      <c r="O198" s="8"/>
      <c r="P198" s="8"/>
      <c r="Q198" t="str">
        <f>IFERROR(IF($H198+1&gt;0,'General Info and Liability'!$D$16,""),"")</f>
        <v/>
      </c>
      <c r="R198" t="str">
        <f>IFERROR(IF($H198+1&gt;0,'General Info and Liability'!$B$16,""),"")</f>
        <v/>
      </c>
      <c r="S198" t="str">
        <f>IFERROR(IF($H197+1&lt;'General Info and Liability'!$B$15+1,'General Info and Liability'!$D$17,""),"")</f>
        <v/>
      </c>
      <c r="T198" t="str">
        <f>IFERROR(IF($H197+1&lt;'General Info and Liability'!$B$15+1,'General Info and Liability'!$D$18,""),"")</f>
        <v/>
      </c>
      <c r="U198" t="str">
        <f>IFERROR(IF($H197+1&lt;'General Info and Liability'!$B$15+1,'General Info and Liability'!$D$19,""),"")</f>
        <v/>
      </c>
      <c r="V198" t="str">
        <f>IFERROR(IF($H197+1&lt;'General Info and Liability'!$B$15+1,'General Info and Liability'!$B$14,""),"")</f>
        <v/>
      </c>
      <c r="W198" t="str">
        <f>IFERROR(IF($H197+1&lt;'General Info and Liability'!$B$15+1,'General Info and Liability'!$D$20,""),"")</f>
        <v/>
      </c>
    </row>
    <row r="199" spans="8:23" ht="16.5" customHeight="1">
      <c r="H199" t="str">
        <f>IFERROR(IF(H198+1&lt;'General Info and Liability'!$B$15+1,'Property Schedule'!H198+1,""),"")</f>
        <v/>
      </c>
      <c r="J199" s="8"/>
      <c r="K199" s="7" t="str">
        <f>IFERROR(IF($H198+1&lt;'General Info and Liability'!$B$15+1,'General Info and Liability'!$B$18/'General Info and Liability'!$B$10*$L199,""),"")</f>
        <v/>
      </c>
      <c r="L199" s="8"/>
      <c r="M199" s="31" t="str">
        <f>IFERROR(IF($H198+1&lt;'General Info and Liability'!$B$15+1,'General Info and Liability'!$D$14/'General Info and Liability'!$B$10*$L199,""),"")</f>
        <v/>
      </c>
      <c r="N199" s="32" t="str">
        <f>IFERROR(IF($H198+1&lt;'General Info and Liability'!$B$15+1,'General Info and Liability'!$D$15/'General Info and Liability'!$B$10*$L199,""),"")</f>
        <v/>
      </c>
      <c r="O199" s="8"/>
      <c r="P199" s="8"/>
      <c r="Q199" t="str">
        <f>IFERROR(IF($H199+1&gt;0,'General Info and Liability'!$D$16,""),"")</f>
        <v/>
      </c>
      <c r="R199" t="str">
        <f>IFERROR(IF($H199+1&gt;0,'General Info and Liability'!$B$16,""),"")</f>
        <v/>
      </c>
      <c r="S199" t="str">
        <f>IFERROR(IF($H198+1&lt;'General Info and Liability'!$B$15+1,'General Info and Liability'!$D$17,""),"")</f>
        <v/>
      </c>
      <c r="T199" t="str">
        <f>IFERROR(IF($H198+1&lt;'General Info and Liability'!$B$15+1,'General Info and Liability'!$D$18,""),"")</f>
        <v/>
      </c>
      <c r="U199" t="str">
        <f>IFERROR(IF($H198+1&lt;'General Info and Liability'!$B$15+1,'General Info and Liability'!$D$19,""),"")</f>
        <v/>
      </c>
      <c r="V199" t="str">
        <f>IFERROR(IF($H198+1&lt;'General Info and Liability'!$B$15+1,'General Info and Liability'!$B$14,""),"")</f>
        <v/>
      </c>
      <c r="W199" t="str">
        <f>IFERROR(IF($H198+1&lt;'General Info and Liability'!$B$15+1,'General Info and Liability'!$D$20,""),"")</f>
        <v/>
      </c>
    </row>
    <row r="200" spans="8:23" ht="16.5" customHeight="1">
      <c r="H200" t="str">
        <f>IFERROR(IF(H199+1&lt;'General Info and Liability'!$B$15+1,'Property Schedule'!H199+1,""),"")</f>
        <v/>
      </c>
      <c r="J200" s="8"/>
      <c r="K200" s="7" t="str">
        <f>IFERROR(IF($H199+1&lt;'General Info and Liability'!$B$15+1,'General Info and Liability'!$B$18/'General Info and Liability'!$B$10*$L200,""),"")</f>
        <v/>
      </c>
      <c r="L200" s="8"/>
      <c r="M200" s="31" t="str">
        <f>IFERROR(IF($H199+1&lt;'General Info and Liability'!$B$15+1,'General Info and Liability'!$D$14/'General Info and Liability'!$B$10*$L200,""),"")</f>
        <v/>
      </c>
      <c r="N200" s="32" t="str">
        <f>IFERROR(IF($H199+1&lt;'General Info and Liability'!$B$15+1,'General Info and Liability'!$D$15/'General Info and Liability'!$B$10*$L200,""),"")</f>
        <v/>
      </c>
      <c r="O200" s="8"/>
      <c r="P200" s="8"/>
      <c r="Q200" t="str">
        <f>IFERROR(IF($H200+1&gt;0,'General Info and Liability'!$D$16,""),"")</f>
        <v/>
      </c>
      <c r="R200" t="str">
        <f>IFERROR(IF($H200+1&gt;0,'General Info and Liability'!$B$16,""),"")</f>
        <v/>
      </c>
      <c r="S200" t="str">
        <f>IFERROR(IF($H199+1&lt;'General Info and Liability'!$B$15+1,'General Info and Liability'!$D$17,""),"")</f>
        <v/>
      </c>
      <c r="T200" t="str">
        <f>IFERROR(IF($H199+1&lt;'General Info and Liability'!$B$15+1,'General Info and Liability'!$D$18,""),"")</f>
        <v/>
      </c>
      <c r="U200" t="str">
        <f>IFERROR(IF($H199+1&lt;'General Info and Liability'!$B$15+1,'General Info and Liability'!$D$19,""),"")</f>
        <v/>
      </c>
      <c r="V200" t="str">
        <f>IFERROR(IF($H199+1&lt;'General Info and Liability'!$B$15+1,'General Info and Liability'!$B$14,""),"")</f>
        <v/>
      </c>
      <c r="W200" t="str">
        <f>IFERROR(IF($H199+1&lt;'General Info and Liability'!$B$15+1,'General Info and Liability'!$D$20,""),"")</f>
        <v/>
      </c>
    </row>
    <row r="201" spans="8:23" ht="16.5" customHeight="1">
      <c r="H201" t="str">
        <f>IFERROR(IF(H200+1&lt;'General Info and Liability'!$B$15+1,'Property Schedule'!H200+1,""),"")</f>
        <v/>
      </c>
      <c r="J201" s="8"/>
      <c r="K201" s="7" t="str">
        <f>IFERROR(IF($H200+1&lt;'General Info and Liability'!$B$15+1,'General Info and Liability'!$B$18/'General Info and Liability'!$B$10*$L201,""),"")</f>
        <v/>
      </c>
      <c r="L201" s="8"/>
      <c r="M201" s="31" t="str">
        <f>IFERROR(IF($H200+1&lt;'General Info and Liability'!$B$15+1,'General Info and Liability'!$D$14/'General Info and Liability'!$B$10*$L201,""),"")</f>
        <v/>
      </c>
      <c r="N201" s="32" t="str">
        <f>IFERROR(IF($H200+1&lt;'General Info and Liability'!$B$15+1,'General Info and Liability'!$D$15/'General Info and Liability'!$B$10*$L201,""),"")</f>
        <v/>
      </c>
      <c r="O201" s="8"/>
      <c r="P201" s="8"/>
      <c r="Q201" t="str">
        <f>IFERROR(IF($H201+1&gt;0,'General Info and Liability'!$D$16,""),"")</f>
        <v/>
      </c>
      <c r="R201" t="str">
        <f>IFERROR(IF($H201+1&gt;0,'General Info and Liability'!$B$16,""),"")</f>
        <v/>
      </c>
      <c r="S201" t="str">
        <f>IFERROR(IF($H200+1&lt;'General Info and Liability'!$B$15+1,'General Info and Liability'!$D$17,""),"")</f>
        <v/>
      </c>
      <c r="T201" t="str">
        <f>IFERROR(IF($H200+1&lt;'General Info and Liability'!$B$15+1,'General Info and Liability'!$D$18,""),"")</f>
        <v/>
      </c>
      <c r="U201" t="str">
        <f>IFERROR(IF($H200+1&lt;'General Info and Liability'!$B$15+1,'General Info and Liability'!$D$19,""),"")</f>
        <v/>
      </c>
      <c r="V201" t="str">
        <f>IFERROR(IF($H200+1&lt;'General Info and Liability'!$B$15+1,'General Info and Liability'!$B$14,""),"")</f>
        <v/>
      </c>
      <c r="W201" t="str">
        <f>IFERROR(IF($H200+1&lt;'General Info and Liability'!$B$15+1,'General Info and Liability'!$D$20,""),"")</f>
        <v/>
      </c>
    </row>
    <row r="202" spans="8:23" ht="16.5" customHeight="1">
      <c r="H202" t="str">
        <f>IFERROR(IF(H201+1&lt;'General Info and Liability'!$B$15+1,'Property Schedule'!H201+1,""),"")</f>
        <v/>
      </c>
      <c r="J202" s="8"/>
      <c r="K202" s="7" t="str">
        <f>IFERROR(IF($H201+1&lt;'General Info and Liability'!$B$15+1,'General Info and Liability'!$B$18/'General Info and Liability'!$B$10*$L202,""),"")</f>
        <v/>
      </c>
      <c r="L202" s="8"/>
      <c r="M202" s="31" t="str">
        <f>IFERROR(IF($H201+1&lt;'General Info and Liability'!$B$15+1,'General Info and Liability'!$D$14/'General Info and Liability'!$B$10*$L202,""),"")</f>
        <v/>
      </c>
      <c r="N202" s="32" t="str">
        <f>IFERROR(IF($H201+1&lt;'General Info and Liability'!$B$15+1,'General Info and Liability'!$D$15/'General Info and Liability'!$B$10*$L202,""),"")</f>
        <v/>
      </c>
      <c r="O202" s="8"/>
      <c r="P202" s="8"/>
      <c r="Q202" t="str">
        <f>IFERROR(IF($H202+1&gt;0,'General Info and Liability'!$D$16,""),"")</f>
        <v/>
      </c>
      <c r="R202" t="str">
        <f>IFERROR(IF($H202+1&gt;0,'General Info and Liability'!$B$16,""),"")</f>
        <v/>
      </c>
      <c r="S202" t="str">
        <f>IFERROR(IF($H201+1&lt;'General Info and Liability'!$B$15+1,'General Info and Liability'!$D$17,""),"")</f>
        <v/>
      </c>
      <c r="T202" t="str">
        <f>IFERROR(IF($H201+1&lt;'General Info and Liability'!$B$15+1,'General Info and Liability'!$D$18,""),"")</f>
        <v/>
      </c>
      <c r="U202" t="str">
        <f>IFERROR(IF($H201+1&lt;'General Info and Liability'!$B$15+1,'General Info and Liability'!$D$19,""),"")</f>
        <v/>
      </c>
      <c r="V202" t="str">
        <f>IFERROR(IF($H201+1&lt;'General Info and Liability'!$B$15+1,'General Info and Liability'!$B$14,""),"")</f>
        <v/>
      </c>
      <c r="W202" t="str">
        <f>IFERROR(IF($H201+1&lt;'General Info and Liability'!$B$15+1,'General Info and Liability'!$D$20,""),"")</f>
        <v/>
      </c>
    </row>
    <row r="203" spans="8:23" ht="16.5" customHeight="1">
      <c r="H203" t="str">
        <f>IFERROR(IF(H202+1&lt;'General Info and Liability'!$B$15+1,'Property Schedule'!H202+1,""),"")</f>
        <v/>
      </c>
      <c r="J203" s="8"/>
      <c r="K203" s="7" t="str">
        <f>IFERROR(IF($H202+1&lt;'General Info and Liability'!$B$15+1,'General Info and Liability'!$B$18/'General Info and Liability'!$B$10*$L203,""),"")</f>
        <v/>
      </c>
      <c r="L203" s="8"/>
      <c r="M203" s="31" t="str">
        <f>IFERROR(IF($H202+1&lt;'General Info and Liability'!$B$15+1,'General Info and Liability'!$D$14/'General Info and Liability'!$B$10*$L203,""),"")</f>
        <v/>
      </c>
      <c r="N203" s="32" t="str">
        <f>IFERROR(IF($H202+1&lt;'General Info and Liability'!$B$15+1,'General Info and Liability'!$D$15/'General Info and Liability'!$B$10*$L203,""),"")</f>
        <v/>
      </c>
      <c r="O203" s="8"/>
      <c r="P203" s="8"/>
      <c r="Q203" t="str">
        <f>IFERROR(IF($H203+1&gt;0,'General Info and Liability'!$D$16,""),"")</f>
        <v/>
      </c>
      <c r="R203" t="str">
        <f>IFERROR(IF($H203+1&gt;0,'General Info and Liability'!$B$16,""),"")</f>
        <v/>
      </c>
      <c r="S203" t="str">
        <f>IFERROR(IF($H202+1&lt;'General Info and Liability'!$B$15+1,'General Info and Liability'!$D$17,""),"")</f>
        <v/>
      </c>
      <c r="T203" t="str">
        <f>IFERROR(IF($H202+1&lt;'General Info and Liability'!$B$15+1,'General Info and Liability'!$D$18,""),"")</f>
        <v/>
      </c>
      <c r="U203" t="str">
        <f>IFERROR(IF($H202+1&lt;'General Info and Liability'!$B$15+1,'General Info and Liability'!$D$19,""),"")</f>
        <v/>
      </c>
      <c r="V203" t="str">
        <f>IFERROR(IF($H202+1&lt;'General Info and Liability'!$B$15+1,'General Info and Liability'!$B$14,""),"")</f>
        <v/>
      </c>
      <c r="W203" t="str">
        <f>IFERROR(IF($H202+1&lt;'General Info and Liability'!$B$15+1,'General Info and Liability'!$D$20,""),"")</f>
        <v/>
      </c>
    </row>
    <row r="204" spans="8:23" ht="16.5" customHeight="1">
      <c r="H204" t="str">
        <f>IFERROR(IF(H203+1&lt;'General Info and Liability'!$B$15+1,'Property Schedule'!H203+1,""),"")</f>
        <v/>
      </c>
      <c r="J204" s="8"/>
      <c r="K204" s="7" t="str">
        <f>IFERROR(IF($H203+1&lt;'General Info and Liability'!$B$15+1,'General Info and Liability'!$B$18/'General Info and Liability'!$B$10*$L204,""),"")</f>
        <v/>
      </c>
      <c r="L204" s="8"/>
      <c r="M204" s="31" t="str">
        <f>IFERROR(IF($H203+1&lt;'General Info and Liability'!$B$15+1,'General Info and Liability'!$D$14/'General Info and Liability'!$B$10*$L204,""),"")</f>
        <v/>
      </c>
      <c r="N204" s="32" t="str">
        <f>IFERROR(IF($H203+1&lt;'General Info and Liability'!$B$15+1,'General Info and Liability'!$D$15/'General Info and Liability'!$B$10*$L204,""),"")</f>
        <v/>
      </c>
      <c r="O204" s="8"/>
      <c r="P204" s="8"/>
      <c r="Q204" t="str">
        <f>IFERROR(IF($H204+1&gt;0,'General Info and Liability'!$D$16,""),"")</f>
        <v/>
      </c>
      <c r="R204" t="str">
        <f>IFERROR(IF($H204+1&gt;0,'General Info and Liability'!$B$16,""),"")</f>
        <v/>
      </c>
      <c r="S204" t="str">
        <f>IFERROR(IF($H203+1&lt;'General Info and Liability'!$B$15+1,'General Info and Liability'!$D$17,""),"")</f>
        <v/>
      </c>
      <c r="T204" t="str">
        <f>IFERROR(IF($H203+1&lt;'General Info and Liability'!$B$15+1,'General Info and Liability'!$D$18,""),"")</f>
        <v/>
      </c>
      <c r="U204" t="str">
        <f>IFERROR(IF($H203+1&lt;'General Info and Liability'!$B$15+1,'General Info and Liability'!$D$19,""),"")</f>
        <v/>
      </c>
      <c r="V204" t="str">
        <f>IFERROR(IF($H203+1&lt;'General Info and Liability'!$B$15+1,'General Info and Liability'!$B$14,""),"")</f>
        <v/>
      </c>
      <c r="W204" t="str">
        <f>IFERROR(IF($H203+1&lt;'General Info and Liability'!$B$15+1,'General Info and Liability'!$D$20,""),"")</f>
        <v/>
      </c>
    </row>
    <row r="205" spans="8:23" ht="16.5" customHeight="1">
      <c r="H205" t="str">
        <f>IFERROR(IF(H204+1&lt;'General Info and Liability'!$B$15+1,'Property Schedule'!H204+1,""),"")</f>
        <v/>
      </c>
      <c r="J205" s="8"/>
      <c r="K205" s="7" t="str">
        <f>IFERROR(IF($H204+1&lt;'General Info and Liability'!$B$15+1,'General Info and Liability'!$B$18/'General Info and Liability'!$B$10*$L205,""),"")</f>
        <v/>
      </c>
      <c r="L205" s="8"/>
      <c r="M205" s="31" t="str">
        <f>IFERROR(IF($H204+1&lt;'General Info and Liability'!$B$15+1,'General Info and Liability'!$D$14/'General Info and Liability'!$B$10*$L205,""),"")</f>
        <v/>
      </c>
      <c r="N205" s="32" t="str">
        <f>IFERROR(IF($H204+1&lt;'General Info and Liability'!$B$15+1,'General Info and Liability'!$D$15/'General Info and Liability'!$B$10*$L205,""),"")</f>
        <v/>
      </c>
      <c r="O205" s="8"/>
      <c r="P205" s="8"/>
      <c r="Q205" t="str">
        <f>IFERROR(IF($H205+1&gt;0,'General Info and Liability'!$D$16,""),"")</f>
        <v/>
      </c>
      <c r="R205" t="str">
        <f>IFERROR(IF($H205+1&gt;0,'General Info and Liability'!$B$16,""),"")</f>
        <v/>
      </c>
      <c r="S205" t="str">
        <f>IFERROR(IF($H204+1&lt;'General Info and Liability'!$B$15+1,'General Info and Liability'!$D$17,""),"")</f>
        <v/>
      </c>
      <c r="T205" t="str">
        <f>IFERROR(IF($H204+1&lt;'General Info and Liability'!$B$15+1,'General Info and Liability'!$D$18,""),"")</f>
        <v/>
      </c>
      <c r="U205" t="str">
        <f>IFERROR(IF($H204+1&lt;'General Info and Liability'!$B$15+1,'General Info and Liability'!$D$19,""),"")</f>
        <v/>
      </c>
      <c r="V205" t="str">
        <f>IFERROR(IF($H204+1&lt;'General Info and Liability'!$B$15+1,'General Info and Liability'!$B$14,""),"")</f>
        <v/>
      </c>
      <c r="W205" t="str">
        <f>IFERROR(IF($H204+1&lt;'General Info and Liability'!$B$15+1,'General Info and Liability'!$D$20,""),"")</f>
        <v/>
      </c>
    </row>
    <row r="206" spans="8:23" ht="16.5" customHeight="1">
      <c r="H206" t="str">
        <f>IFERROR(IF(H205+1&lt;'General Info and Liability'!$B$15+1,'Property Schedule'!H205+1,""),"")</f>
        <v/>
      </c>
      <c r="J206" s="8"/>
      <c r="K206" s="7" t="str">
        <f>IFERROR(IF($H205+1&lt;'General Info and Liability'!$B$15+1,'General Info and Liability'!$B$18/'General Info and Liability'!$B$10*$L206,""),"")</f>
        <v/>
      </c>
      <c r="L206" s="8"/>
      <c r="M206" s="31" t="str">
        <f>IFERROR(IF($H205+1&lt;'General Info and Liability'!$B$15+1,'General Info and Liability'!$D$14/'General Info and Liability'!$B$10*$L206,""),"")</f>
        <v/>
      </c>
      <c r="N206" s="32" t="str">
        <f>IFERROR(IF($H205+1&lt;'General Info and Liability'!$B$15+1,'General Info and Liability'!$D$15/'General Info and Liability'!$B$10*$L206,""),"")</f>
        <v/>
      </c>
      <c r="O206" s="8"/>
      <c r="P206" s="8"/>
      <c r="Q206" t="str">
        <f>IFERROR(IF($H206+1&gt;0,'General Info and Liability'!$D$16,""),"")</f>
        <v/>
      </c>
      <c r="R206" t="str">
        <f>IFERROR(IF($H206+1&gt;0,'General Info and Liability'!$B$16,""),"")</f>
        <v/>
      </c>
      <c r="S206" t="str">
        <f>IFERROR(IF($H205+1&lt;'General Info and Liability'!$B$15+1,'General Info and Liability'!$D$17,""),"")</f>
        <v/>
      </c>
      <c r="T206" t="str">
        <f>IFERROR(IF($H205+1&lt;'General Info and Liability'!$B$15+1,'General Info and Liability'!$D$18,""),"")</f>
        <v/>
      </c>
      <c r="U206" t="str">
        <f>IFERROR(IF($H205+1&lt;'General Info and Liability'!$B$15+1,'General Info and Liability'!$D$19,""),"")</f>
        <v/>
      </c>
      <c r="V206" t="str">
        <f>IFERROR(IF($H205+1&lt;'General Info and Liability'!$B$15+1,'General Info and Liability'!$B$14,""),"")</f>
        <v/>
      </c>
      <c r="W206" t="str">
        <f>IFERROR(IF($H205+1&lt;'General Info and Liability'!$B$15+1,'General Info and Liability'!$D$20,""),"")</f>
        <v/>
      </c>
    </row>
    <row r="207" spans="8:23" ht="16.5" customHeight="1">
      <c r="H207" t="str">
        <f>IFERROR(IF(H206+1&lt;'General Info and Liability'!$B$15+1,'Property Schedule'!H206+1,""),"")</f>
        <v/>
      </c>
      <c r="J207" s="8"/>
      <c r="K207" s="7" t="str">
        <f>IFERROR(IF($H206+1&lt;'General Info and Liability'!$B$15+1,'General Info and Liability'!$B$18/'General Info and Liability'!$B$10*$L207,""),"")</f>
        <v/>
      </c>
      <c r="L207" s="8"/>
      <c r="M207" s="31" t="str">
        <f>IFERROR(IF($H206+1&lt;'General Info and Liability'!$B$15+1,'General Info and Liability'!$D$14/'General Info and Liability'!$B$10*$L207,""),"")</f>
        <v/>
      </c>
      <c r="N207" s="32" t="str">
        <f>IFERROR(IF($H206+1&lt;'General Info and Liability'!$B$15+1,'General Info and Liability'!$D$15/'General Info and Liability'!$B$10*$L207,""),"")</f>
        <v/>
      </c>
      <c r="O207" s="8"/>
      <c r="P207" s="8"/>
      <c r="Q207" t="str">
        <f>IFERROR(IF($H207+1&gt;0,'General Info and Liability'!$D$16,""),"")</f>
        <v/>
      </c>
      <c r="R207" t="str">
        <f>IFERROR(IF($H207+1&gt;0,'General Info and Liability'!$B$16,""),"")</f>
        <v/>
      </c>
      <c r="S207" t="str">
        <f>IFERROR(IF($H206+1&lt;'General Info and Liability'!$B$15+1,'General Info and Liability'!$D$17,""),"")</f>
        <v/>
      </c>
      <c r="T207" t="str">
        <f>IFERROR(IF($H206+1&lt;'General Info and Liability'!$B$15+1,'General Info and Liability'!$D$18,""),"")</f>
        <v/>
      </c>
      <c r="U207" t="str">
        <f>IFERROR(IF($H206+1&lt;'General Info and Liability'!$B$15+1,'General Info and Liability'!$D$19,""),"")</f>
        <v/>
      </c>
      <c r="V207" t="str">
        <f>IFERROR(IF($H206+1&lt;'General Info and Liability'!$B$15+1,'General Info and Liability'!$B$14,""),"")</f>
        <v/>
      </c>
      <c r="W207" t="str">
        <f>IFERROR(IF($H206+1&lt;'General Info and Liability'!$B$15+1,'General Info and Liability'!$D$20,""),"")</f>
        <v/>
      </c>
    </row>
    <row r="208" spans="8:23" ht="16.5" customHeight="1">
      <c r="H208" t="str">
        <f>IFERROR(IF(H207+1&lt;'General Info and Liability'!$B$15+1,'Property Schedule'!H207+1,""),"")</f>
        <v/>
      </c>
      <c r="J208" s="8"/>
      <c r="K208" s="7" t="str">
        <f>IFERROR(IF($H207+1&lt;'General Info and Liability'!$B$15+1,'General Info and Liability'!$B$18/'General Info and Liability'!$B$10*$L208,""),"")</f>
        <v/>
      </c>
      <c r="L208" s="8"/>
      <c r="M208" s="31" t="str">
        <f>IFERROR(IF($H207+1&lt;'General Info and Liability'!$B$15+1,'General Info and Liability'!$D$14/'General Info and Liability'!$B$10*$L208,""),"")</f>
        <v/>
      </c>
      <c r="N208" s="32" t="str">
        <f>IFERROR(IF($H207+1&lt;'General Info and Liability'!$B$15+1,'General Info and Liability'!$D$15/'General Info and Liability'!$B$10*$L208,""),"")</f>
        <v/>
      </c>
      <c r="O208" s="8"/>
      <c r="P208" s="8"/>
      <c r="Q208" t="str">
        <f>IFERROR(IF($H208+1&gt;0,'General Info and Liability'!$D$16,""),"")</f>
        <v/>
      </c>
      <c r="R208" t="str">
        <f>IFERROR(IF($H208+1&gt;0,'General Info and Liability'!$B$16,""),"")</f>
        <v/>
      </c>
      <c r="S208" t="str">
        <f>IFERROR(IF($H207+1&lt;'General Info and Liability'!$B$15+1,'General Info and Liability'!$D$17,""),"")</f>
        <v/>
      </c>
      <c r="T208" t="str">
        <f>IFERROR(IF($H207+1&lt;'General Info and Liability'!$B$15+1,'General Info and Liability'!$D$18,""),"")</f>
        <v/>
      </c>
      <c r="U208" t="str">
        <f>IFERROR(IF($H207+1&lt;'General Info and Liability'!$B$15+1,'General Info and Liability'!$D$19,""),"")</f>
        <v/>
      </c>
      <c r="V208" t="str">
        <f>IFERROR(IF($H207+1&lt;'General Info and Liability'!$B$15+1,'General Info and Liability'!$B$14,""),"")</f>
        <v/>
      </c>
      <c r="W208" t="str">
        <f>IFERROR(IF($H207+1&lt;'General Info and Liability'!$B$15+1,'General Info and Liability'!$D$20,""),"")</f>
        <v/>
      </c>
    </row>
    <row r="209" spans="8:23" ht="16.5" customHeight="1">
      <c r="H209" t="str">
        <f>IFERROR(IF(H208+1&lt;'General Info and Liability'!$B$15+1,'Property Schedule'!H208+1,""),"")</f>
        <v/>
      </c>
      <c r="J209" s="8"/>
      <c r="K209" s="7" t="str">
        <f>IFERROR(IF($H208+1&lt;'General Info and Liability'!$B$15+1,'General Info and Liability'!$B$18/'General Info and Liability'!$B$10*$L209,""),"")</f>
        <v/>
      </c>
      <c r="L209" s="8"/>
      <c r="M209" s="31" t="str">
        <f>IFERROR(IF($H208+1&lt;'General Info and Liability'!$B$15+1,'General Info and Liability'!$D$14/'General Info and Liability'!$B$10*$L209,""),"")</f>
        <v/>
      </c>
      <c r="N209" s="32" t="str">
        <f>IFERROR(IF($H208+1&lt;'General Info and Liability'!$B$15+1,'General Info and Liability'!$D$15/'General Info and Liability'!$B$10*$L209,""),"")</f>
        <v/>
      </c>
      <c r="O209" s="8"/>
      <c r="P209" s="8"/>
      <c r="Q209" t="str">
        <f>IFERROR(IF($H209+1&gt;0,'General Info and Liability'!$D$16,""),"")</f>
        <v/>
      </c>
      <c r="R209" t="str">
        <f>IFERROR(IF($H209+1&gt;0,'General Info and Liability'!$B$16,""),"")</f>
        <v/>
      </c>
      <c r="S209" t="str">
        <f>IFERROR(IF($H208+1&lt;'General Info and Liability'!$B$15+1,'General Info and Liability'!$D$17,""),"")</f>
        <v/>
      </c>
      <c r="T209" t="str">
        <f>IFERROR(IF($H208+1&lt;'General Info and Liability'!$B$15+1,'General Info and Liability'!$D$18,""),"")</f>
        <v/>
      </c>
      <c r="U209" t="str">
        <f>IFERROR(IF($H208+1&lt;'General Info and Liability'!$B$15+1,'General Info and Liability'!$D$19,""),"")</f>
        <v/>
      </c>
      <c r="V209" t="str">
        <f>IFERROR(IF($H208+1&lt;'General Info and Liability'!$B$15+1,'General Info and Liability'!$B$14,""),"")</f>
        <v/>
      </c>
      <c r="W209" t="str">
        <f>IFERROR(IF($H208+1&lt;'General Info and Liability'!$B$15+1,'General Info and Liability'!$D$20,""),"")</f>
        <v/>
      </c>
    </row>
    <row r="210" spans="8:23" ht="16.5" customHeight="1">
      <c r="H210" t="str">
        <f>IFERROR(IF(H209+1&lt;'General Info and Liability'!$B$15+1,'Property Schedule'!H209+1,""),"")</f>
        <v/>
      </c>
      <c r="J210" s="8"/>
      <c r="K210" s="7" t="str">
        <f>IFERROR(IF($H209+1&lt;'General Info and Liability'!$B$15+1,'General Info and Liability'!$B$18/'General Info and Liability'!$B$10*$L210,""),"")</f>
        <v/>
      </c>
      <c r="L210" s="8"/>
      <c r="M210" s="31" t="str">
        <f>IFERROR(IF($H209+1&lt;'General Info and Liability'!$B$15+1,'General Info and Liability'!$D$14/'General Info and Liability'!$B$10*$L210,""),"")</f>
        <v/>
      </c>
      <c r="N210" s="32" t="str">
        <f>IFERROR(IF($H209+1&lt;'General Info and Liability'!$B$15+1,'General Info and Liability'!$D$15/'General Info and Liability'!$B$10*$L210,""),"")</f>
        <v/>
      </c>
      <c r="O210" s="8"/>
      <c r="P210" s="8"/>
      <c r="Q210" t="str">
        <f>IFERROR(IF($H210+1&gt;0,'General Info and Liability'!$D$16,""),"")</f>
        <v/>
      </c>
      <c r="R210" t="str">
        <f>IFERROR(IF($H210+1&gt;0,'General Info and Liability'!$B$16,""),"")</f>
        <v/>
      </c>
      <c r="S210" t="str">
        <f>IFERROR(IF($H209+1&lt;'General Info and Liability'!$B$15+1,'General Info and Liability'!$D$17,""),"")</f>
        <v/>
      </c>
      <c r="T210" t="str">
        <f>IFERROR(IF($H209+1&lt;'General Info and Liability'!$B$15+1,'General Info and Liability'!$D$18,""),"")</f>
        <v/>
      </c>
      <c r="U210" t="str">
        <f>IFERROR(IF($H209+1&lt;'General Info and Liability'!$B$15+1,'General Info and Liability'!$D$19,""),"")</f>
        <v/>
      </c>
      <c r="V210" t="str">
        <f>IFERROR(IF($H209+1&lt;'General Info and Liability'!$B$15+1,'General Info and Liability'!$B$14,""),"")</f>
        <v/>
      </c>
      <c r="W210" t="str">
        <f>IFERROR(IF($H209+1&lt;'General Info and Liability'!$B$15+1,'General Info and Liability'!$D$20,""),"")</f>
        <v/>
      </c>
    </row>
    <row r="211" spans="8:23" ht="16.5" customHeight="1">
      <c r="H211" t="str">
        <f>IFERROR(IF(H210+1&lt;'General Info and Liability'!$B$15+1,'Property Schedule'!H210+1,""),"")</f>
        <v/>
      </c>
      <c r="J211" s="8"/>
      <c r="K211" s="7" t="str">
        <f>IFERROR(IF($H210+1&lt;'General Info and Liability'!$B$15+1,'General Info and Liability'!$B$18/'General Info and Liability'!$B$10*$L211,""),"")</f>
        <v/>
      </c>
      <c r="L211" s="8"/>
      <c r="M211" s="31" t="str">
        <f>IFERROR(IF($H210+1&lt;'General Info and Liability'!$B$15+1,'General Info and Liability'!$D$14/'General Info and Liability'!$B$10*$L211,""),"")</f>
        <v/>
      </c>
      <c r="N211" s="32" t="str">
        <f>IFERROR(IF($H210+1&lt;'General Info and Liability'!$B$15+1,'General Info and Liability'!$D$15/'General Info and Liability'!$B$10*$L211,""),"")</f>
        <v/>
      </c>
      <c r="O211" s="8"/>
      <c r="P211" s="8"/>
      <c r="Q211" t="str">
        <f>IFERROR(IF($H211+1&gt;0,'General Info and Liability'!$D$16,""),"")</f>
        <v/>
      </c>
      <c r="R211" t="str">
        <f>IFERROR(IF($H211+1&gt;0,'General Info and Liability'!$B$16,""),"")</f>
        <v/>
      </c>
      <c r="S211" t="str">
        <f>IFERROR(IF($H210+1&lt;'General Info and Liability'!$B$15+1,'General Info and Liability'!$D$17,""),"")</f>
        <v/>
      </c>
      <c r="T211" t="str">
        <f>IFERROR(IF($H210+1&lt;'General Info and Liability'!$B$15+1,'General Info and Liability'!$D$18,""),"")</f>
        <v/>
      </c>
      <c r="U211" t="str">
        <f>IFERROR(IF($H210+1&lt;'General Info and Liability'!$B$15+1,'General Info and Liability'!$D$19,""),"")</f>
        <v/>
      </c>
      <c r="V211" t="str">
        <f>IFERROR(IF($H210+1&lt;'General Info and Liability'!$B$15+1,'General Info and Liability'!$B$14,""),"")</f>
        <v/>
      </c>
      <c r="W211" t="str">
        <f>IFERROR(IF($H210+1&lt;'General Info and Liability'!$B$15+1,'General Info and Liability'!$D$20,""),"")</f>
        <v/>
      </c>
    </row>
    <row r="212" spans="8:23" ht="16.5" customHeight="1">
      <c r="H212" t="str">
        <f>IFERROR(IF(H211+1&lt;'General Info and Liability'!$B$15+1,'Property Schedule'!H211+1,""),"")</f>
        <v/>
      </c>
      <c r="J212" s="8"/>
      <c r="K212" s="7" t="str">
        <f>IFERROR(IF($H211+1&lt;'General Info and Liability'!$B$15+1,'General Info and Liability'!$B$18/'General Info and Liability'!$B$10*$L212,""),"")</f>
        <v/>
      </c>
      <c r="L212" s="8"/>
      <c r="M212" s="31" t="str">
        <f>IFERROR(IF($H211+1&lt;'General Info and Liability'!$B$15+1,'General Info and Liability'!$D$14/'General Info and Liability'!$B$10*$L212,""),"")</f>
        <v/>
      </c>
      <c r="N212" s="32" t="str">
        <f>IFERROR(IF($H211+1&lt;'General Info and Liability'!$B$15+1,'General Info and Liability'!$D$15/'General Info and Liability'!$B$10*$L212,""),"")</f>
        <v/>
      </c>
      <c r="O212" s="8"/>
      <c r="P212" s="8"/>
      <c r="Q212" t="str">
        <f>IFERROR(IF($H212+1&gt;0,'General Info and Liability'!$D$16,""),"")</f>
        <v/>
      </c>
      <c r="R212" t="str">
        <f>IFERROR(IF($H212+1&gt;0,'General Info and Liability'!$B$16,""),"")</f>
        <v/>
      </c>
      <c r="S212" t="str">
        <f>IFERROR(IF($H211+1&lt;'General Info and Liability'!$B$15+1,'General Info and Liability'!$D$17,""),"")</f>
        <v/>
      </c>
      <c r="T212" t="str">
        <f>IFERROR(IF($H211+1&lt;'General Info and Liability'!$B$15+1,'General Info and Liability'!$D$18,""),"")</f>
        <v/>
      </c>
      <c r="U212" t="str">
        <f>IFERROR(IF($H211+1&lt;'General Info and Liability'!$B$15+1,'General Info and Liability'!$D$19,""),"")</f>
        <v/>
      </c>
      <c r="V212" t="str">
        <f>IFERROR(IF($H211+1&lt;'General Info and Liability'!$B$15+1,'General Info and Liability'!$B$14,""),"")</f>
        <v/>
      </c>
      <c r="W212" t="str">
        <f>IFERROR(IF($H211+1&lt;'General Info and Liability'!$B$15+1,'General Info and Liability'!$D$20,""),"")</f>
        <v/>
      </c>
    </row>
    <row r="213" spans="8:23" ht="16.5" customHeight="1">
      <c r="H213" t="str">
        <f>IFERROR(IF(H212+1&lt;'General Info and Liability'!$B$15+1,'Property Schedule'!H212+1,""),"")</f>
        <v/>
      </c>
      <c r="J213" s="8"/>
      <c r="K213" s="7" t="str">
        <f>IFERROR(IF($H212+1&lt;'General Info and Liability'!$B$15+1,'General Info and Liability'!$B$18/'General Info and Liability'!$B$10*$L213,""),"")</f>
        <v/>
      </c>
      <c r="L213" s="8"/>
      <c r="M213" s="31" t="str">
        <f>IFERROR(IF($H212+1&lt;'General Info and Liability'!$B$15+1,'General Info and Liability'!$D$14/'General Info and Liability'!$B$10*$L213,""),"")</f>
        <v/>
      </c>
      <c r="N213" s="32" t="str">
        <f>IFERROR(IF($H212+1&lt;'General Info and Liability'!$B$15+1,'General Info and Liability'!$D$15/'General Info and Liability'!$B$10*$L213,""),"")</f>
        <v/>
      </c>
      <c r="O213" s="8"/>
      <c r="P213" s="8"/>
      <c r="Q213" t="str">
        <f>IFERROR(IF($H213+1&gt;0,'General Info and Liability'!$D$16,""),"")</f>
        <v/>
      </c>
      <c r="R213" t="str">
        <f>IFERROR(IF($H213+1&gt;0,'General Info and Liability'!$B$16,""),"")</f>
        <v/>
      </c>
      <c r="S213" t="str">
        <f>IFERROR(IF($H212+1&lt;'General Info and Liability'!$B$15+1,'General Info and Liability'!$D$17,""),"")</f>
        <v/>
      </c>
      <c r="T213" t="str">
        <f>IFERROR(IF($H212+1&lt;'General Info and Liability'!$B$15+1,'General Info and Liability'!$D$18,""),"")</f>
        <v/>
      </c>
      <c r="U213" t="str">
        <f>IFERROR(IF($H212+1&lt;'General Info and Liability'!$B$15+1,'General Info and Liability'!$D$19,""),"")</f>
        <v/>
      </c>
      <c r="V213" t="str">
        <f>IFERROR(IF($H212+1&lt;'General Info and Liability'!$B$15+1,'General Info and Liability'!$B$14,""),"")</f>
        <v/>
      </c>
      <c r="W213" t="str">
        <f>IFERROR(IF($H212+1&lt;'General Info and Liability'!$B$15+1,'General Info and Liability'!$D$20,""),"")</f>
        <v/>
      </c>
    </row>
    <row r="214" spans="8:23" ht="16.5" customHeight="1">
      <c r="H214" t="str">
        <f>IFERROR(IF(H213+1&lt;'General Info and Liability'!$B$15+1,'Property Schedule'!H213+1,""),"")</f>
        <v/>
      </c>
      <c r="J214" s="8"/>
      <c r="K214" s="7" t="str">
        <f>IFERROR(IF($H213+1&lt;'General Info and Liability'!$B$15+1,'General Info and Liability'!$B$18/'General Info and Liability'!$B$10*$L214,""),"")</f>
        <v/>
      </c>
      <c r="L214" s="8"/>
      <c r="M214" s="31" t="str">
        <f>IFERROR(IF($H213+1&lt;'General Info and Liability'!$B$15+1,'General Info and Liability'!$D$14/'General Info and Liability'!$B$10*$L214,""),"")</f>
        <v/>
      </c>
      <c r="N214" s="32" t="str">
        <f>IFERROR(IF($H213+1&lt;'General Info and Liability'!$B$15+1,'General Info and Liability'!$D$15/'General Info and Liability'!$B$10*$L214,""),"")</f>
        <v/>
      </c>
      <c r="O214" s="8"/>
      <c r="P214" s="8"/>
      <c r="Q214" t="str">
        <f>IFERROR(IF($H214+1&gt;0,'General Info and Liability'!$D$16,""),"")</f>
        <v/>
      </c>
      <c r="R214" t="str">
        <f>IFERROR(IF($H214+1&gt;0,'General Info and Liability'!$B$16,""),"")</f>
        <v/>
      </c>
      <c r="S214" t="str">
        <f>IFERROR(IF($H213+1&lt;'General Info and Liability'!$B$15+1,'General Info and Liability'!$D$17,""),"")</f>
        <v/>
      </c>
      <c r="T214" t="str">
        <f>IFERROR(IF($H213+1&lt;'General Info and Liability'!$B$15+1,'General Info and Liability'!$D$18,""),"")</f>
        <v/>
      </c>
      <c r="U214" t="str">
        <f>IFERROR(IF($H213+1&lt;'General Info and Liability'!$B$15+1,'General Info and Liability'!$D$19,""),"")</f>
        <v/>
      </c>
      <c r="V214" t="str">
        <f>IFERROR(IF($H213+1&lt;'General Info and Liability'!$B$15+1,'General Info and Liability'!$B$14,""),"")</f>
        <v/>
      </c>
      <c r="W214" t="str">
        <f>IFERROR(IF($H213+1&lt;'General Info and Liability'!$B$15+1,'General Info and Liability'!$D$20,""),"")</f>
        <v/>
      </c>
    </row>
    <row r="215" spans="8:23" ht="16.5" customHeight="1">
      <c r="H215" t="str">
        <f>IFERROR(IF(H214+1&lt;'General Info and Liability'!$B$15+1,'Property Schedule'!H214+1,""),"")</f>
        <v/>
      </c>
      <c r="J215" s="8"/>
      <c r="K215" s="7" t="str">
        <f>IFERROR(IF($H214+1&lt;'General Info and Liability'!$B$15+1,'General Info and Liability'!$B$18/'General Info and Liability'!$B$10*$L215,""),"")</f>
        <v/>
      </c>
      <c r="L215" s="8"/>
      <c r="M215" s="31" t="str">
        <f>IFERROR(IF($H214+1&lt;'General Info and Liability'!$B$15+1,'General Info and Liability'!$D$14/'General Info and Liability'!$B$10*$L215,""),"")</f>
        <v/>
      </c>
      <c r="N215" s="32" t="str">
        <f>IFERROR(IF($H214+1&lt;'General Info and Liability'!$B$15+1,'General Info and Liability'!$D$15/'General Info and Liability'!$B$10*$L215,""),"")</f>
        <v/>
      </c>
      <c r="O215" s="8"/>
      <c r="P215" s="8"/>
      <c r="Q215" t="str">
        <f>IFERROR(IF($H215+1&gt;0,'General Info and Liability'!$D$16,""),"")</f>
        <v/>
      </c>
      <c r="R215" t="str">
        <f>IFERROR(IF($H215+1&gt;0,'General Info and Liability'!$B$16,""),"")</f>
        <v/>
      </c>
      <c r="S215" t="str">
        <f>IFERROR(IF($H214+1&lt;'General Info and Liability'!$B$15+1,'General Info and Liability'!$D$17,""),"")</f>
        <v/>
      </c>
      <c r="T215" t="str">
        <f>IFERROR(IF($H214+1&lt;'General Info and Liability'!$B$15+1,'General Info and Liability'!$D$18,""),"")</f>
        <v/>
      </c>
      <c r="U215" t="str">
        <f>IFERROR(IF($H214+1&lt;'General Info and Liability'!$B$15+1,'General Info and Liability'!$D$19,""),"")</f>
        <v/>
      </c>
      <c r="V215" t="str">
        <f>IFERROR(IF($H214+1&lt;'General Info and Liability'!$B$15+1,'General Info and Liability'!$B$14,""),"")</f>
        <v/>
      </c>
      <c r="W215" t="str">
        <f>IFERROR(IF($H214+1&lt;'General Info and Liability'!$B$15+1,'General Info and Liability'!$D$20,""),"")</f>
        <v/>
      </c>
    </row>
    <row r="216" spans="8:23" ht="16.5" customHeight="1">
      <c r="H216" t="str">
        <f>IFERROR(IF(H215+1&lt;'General Info and Liability'!$B$15+1,'Property Schedule'!H215+1,""),"")</f>
        <v/>
      </c>
      <c r="J216" s="8"/>
      <c r="K216" s="7" t="str">
        <f>IFERROR(IF($H215+1&lt;'General Info and Liability'!$B$15+1,'General Info and Liability'!$B$18/'General Info and Liability'!$B$10*$L216,""),"")</f>
        <v/>
      </c>
      <c r="L216" s="8"/>
      <c r="M216" s="31" t="str">
        <f>IFERROR(IF($H215+1&lt;'General Info and Liability'!$B$15+1,'General Info and Liability'!$D$14/'General Info and Liability'!$B$10*$L216,""),"")</f>
        <v/>
      </c>
      <c r="N216" s="32" t="str">
        <f>IFERROR(IF($H215+1&lt;'General Info and Liability'!$B$15+1,'General Info and Liability'!$D$15/'General Info and Liability'!$B$10*$L216,""),"")</f>
        <v/>
      </c>
      <c r="O216" s="8"/>
      <c r="P216" s="8"/>
      <c r="Q216" t="str">
        <f>IFERROR(IF($H216+1&gt;0,'General Info and Liability'!$D$16,""),"")</f>
        <v/>
      </c>
      <c r="R216" t="str">
        <f>IFERROR(IF($H216+1&gt;0,'General Info and Liability'!$B$16,""),"")</f>
        <v/>
      </c>
      <c r="S216" t="str">
        <f>IFERROR(IF($H215+1&lt;'General Info and Liability'!$B$15+1,'General Info and Liability'!$D$17,""),"")</f>
        <v/>
      </c>
      <c r="T216" t="str">
        <f>IFERROR(IF($H215+1&lt;'General Info and Liability'!$B$15+1,'General Info and Liability'!$D$18,""),"")</f>
        <v/>
      </c>
      <c r="U216" t="str">
        <f>IFERROR(IF($H215+1&lt;'General Info and Liability'!$B$15+1,'General Info and Liability'!$D$19,""),"")</f>
        <v/>
      </c>
      <c r="V216" t="str">
        <f>IFERROR(IF($H215+1&lt;'General Info and Liability'!$B$15+1,'General Info and Liability'!$B$14,""),"")</f>
        <v/>
      </c>
      <c r="W216" t="str">
        <f>IFERROR(IF($H215+1&lt;'General Info and Liability'!$B$15+1,'General Info and Liability'!$D$20,""),"")</f>
        <v/>
      </c>
    </row>
    <row r="217" spans="8:23" ht="16.5" customHeight="1">
      <c r="H217" t="str">
        <f>IFERROR(IF(H216+1&lt;'General Info and Liability'!$B$15+1,'Property Schedule'!H216+1,""),"")</f>
        <v/>
      </c>
      <c r="J217" s="8"/>
      <c r="K217" s="7" t="str">
        <f>IFERROR(IF($H216+1&lt;'General Info and Liability'!$B$15+1,'General Info and Liability'!$B$18/'General Info and Liability'!$B$10*$L217,""),"")</f>
        <v/>
      </c>
      <c r="L217" s="8"/>
      <c r="M217" s="31" t="str">
        <f>IFERROR(IF($H216+1&lt;'General Info and Liability'!$B$15+1,'General Info and Liability'!$D$14/'General Info and Liability'!$B$10*$L217,""),"")</f>
        <v/>
      </c>
      <c r="N217" s="32" t="str">
        <f>IFERROR(IF($H216+1&lt;'General Info and Liability'!$B$15+1,'General Info and Liability'!$D$15/'General Info and Liability'!$B$10*$L217,""),"")</f>
        <v/>
      </c>
      <c r="O217" s="8"/>
      <c r="P217" s="8"/>
      <c r="Q217" t="str">
        <f>IFERROR(IF($H217+1&gt;0,'General Info and Liability'!$D$16,""),"")</f>
        <v/>
      </c>
      <c r="R217" t="str">
        <f>IFERROR(IF($H217+1&gt;0,'General Info and Liability'!$B$16,""),"")</f>
        <v/>
      </c>
      <c r="S217" t="str">
        <f>IFERROR(IF($H216+1&lt;'General Info and Liability'!$B$15+1,'General Info and Liability'!$D$17,""),"")</f>
        <v/>
      </c>
      <c r="T217" t="str">
        <f>IFERROR(IF($H216+1&lt;'General Info and Liability'!$B$15+1,'General Info and Liability'!$D$18,""),"")</f>
        <v/>
      </c>
      <c r="U217" t="str">
        <f>IFERROR(IF($H216+1&lt;'General Info and Liability'!$B$15+1,'General Info and Liability'!$D$19,""),"")</f>
        <v/>
      </c>
      <c r="V217" t="str">
        <f>IFERROR(IF($H216+1&lt;'General Info and Liability'!$B$15+1,'General Info and Liability'!$B$14,""),"")</f>
        <v/>
      </c>
      <c r="W217" t="str">
        <f>IFERROR(IF($H216+1&lt;'General Info and Liability'!$B$15+1,'General Info and Liability'!$D$20,""),"")</f>
        <v/>
      </c>
    </row>
    <row r="218" spans="8:23" ht="16.5" customHeight="1">
      <c r="H218" t="str">
        <f>IFERROR(IF(H217+1&lt;'General Info and Liability'!$B$15+1,'Property Schedule'!H217+1,""),"")</f>
        <v/>
      </c>
      <c r="J218" s="8"/>
      <c r="K218" s="7" t="str">
        <f>IFERROR(IF($H217+1&lt;'General Info and Liability'!$B$15+1,'General Info and Liability'!$B$18/'General Info and Liability'!$B$10*$L218,""),"")</f>
        <v/>
      </c>
      <c r="L218" s="8"/>
      <c r="M218" s="31" t="str">
        <f>IFERROR(IF($H217+1&lt;'General Info and Liability'!$B$15+1,'General Info and Liability'!$D$14/'General Info and Liability'!$B$10*$L218,""),"")</f>
        <v/>
      </c>
      <c r="N218" s="32" t="str">
        <f>IFERROR(IF($H217+1&lt;'General Info and Liability'!$B$15+1,'General Info and Liability'!$D$15/'General Info and Liability'!$B$10*$L218,""),"")</f>
        <v/>
      </c>
      <c r="O218" s="8"/>
      <c r="P218" s="8"/>
      <c r="Q218" t="str">
        <f>IFERROR(IF($H218+1&gt;0,'General Info and Liability'!$D$16,""),"")</f>
        <v/>
      </c>
      <c r="R218" t="str">
        <f>IFERROR(IF($H218+1&gt;0,'General Info and Liability'!$B$16,""),"")</f>
        <v/>
      </c>
      <c r="S218" t="str">
        <f>IFERROR(IF($H217+1&lt;'General Info and Liability'!$B$15+1,'General Info and Liability'!$D$17,""),"")</f>
        <v/>
      </c>
      <c r="T218" t="str">
        <f>IFERROR(IF($H217+1&lt;'General Info and Liability'!$B$15+1,'General Info and Liability'!$D$18,""),"")</f>
        <v/>
      </c>
      <c r="U218" t="str">
        <f>IFERROR(IF($H217+1&lt;'General Info and Liability'!$B$15+1,'General Info and Liability'!$D$19,""),"")</f>
        <v/>
      </c>
      <c r="V218" t="str">
        <f>IFERROR(IF($H217+1&lt;'General Info and Liability'!$B$15+1,'General Info and Liability'!$B$14,""),"")</f>
        <v/>
      </c>
      <c r="W218" t="str">
        <f>IFERROR(IF($H217+1&lt;'General Info and Liability'!$B$15+1,'General Info and Liability'!$D$20,""),"")</f>
        <v/>
      </c>
    </row>
    <row r="219" spans="8:23" ht="16.5" customHeight="1">
      <c r="H219" t="str">
        <f>IFERROR(IF(H218+1&lt;'General Info and Liability'!$B$15+1,'Property Schedule'!H218+1,""),"")</f>
        <v/>
      </c>
      <c r="J219" s="8"/>
      <c r="K219" s="7" t="str">
        <f>IFERROR(IF($H218+1&lt;'General Info and Liability'!$B$15+1,'General Info and Liability'!$B$18/'General Info and Liability'!$B$10*$L219,""),"")</f>
        <v/>
      </c>
      <c r="L219" s="8"/>
      <c r="M219" s="31" t="str">
        <f>IFERROR(IF($H218+1&lt;'General Info and Liability'!$B$15+1,'General Info and Liability'!$D$14/'General Info and Liability'!$B$10*$L219,""),"")</f>
        <v/>
      </c>
      <c r="N219" s="32" t="str">
        <f>IFERROR(IF($H218+1&lt;'General Info and Liability'!$B$15+1,'General Info and Liability'!$D$15/'General Info and Liability'!$B$10*$L219,""),"")</f>
        <v/>
      </c>
      <c r="O219" s="8"/>
      <c r="P219" s="8"/>
      <c r="Q219" t="str">
        <f>IFERROR(IF($H219+1&gt;0,'General Info and Liability'!$D$16,""),"")</f>
        <v/>
      </c>
      <c r="R219" t="str">
        <f>IFERROR(IF($H219+1&gt;0,'General Info and Liability'!$B$16,""),"")</f>
        <v/>
      </c>
      <c r="S219" t="str">
        <f>IFERROR(IF($H218+1&lt;'General Info and Liability'!$B$15+1,'General Info and Liability'!$D$17,""),"")</f>
        <v/>
      </c>
      <c r="T219" t="str">
        <f>IFERROR(IF($H218+1&lt;'General Info and Liability'!$B$15+1,'General Info and Liability'!$D$18,""),"")</f>
        <v/>
      </c>
      <c r="U219" t="str">
        <f>IFERROR(IF($H218+1&lt;'General Info and Liability'!$B$15+1,'General Info and Liability'!$D$19,""),"")</f>
        <v/>
      </c>
      <c r="V219" t="str">
        <f>IFERROR(IF($H218+1&lt;'General Info and Liability'!$B$15+1,'General Info and Liability'!$B$14,""),"")</f>
        <v/>
      </c>
      <c r="W219" t="str">
        <f>IFERROR(IF($H218+1&lt;'General Info and Liability'!$B$15+1,'General Info and Liability'!$D$20,""),"")</f>
        <v/>
      </c>
    </row>
    <row r="220" spans="8:23" ht="16.5" customHeight="1">
      <c r="H220" t="str">
        <f>IFERROR(IF(H219+1&lt;'General Info and Liability'!$B$15+1,'Property Schedule'!H219+1,""),"")</f>
        <v/>
      </c>
      <c r="J220" s="8"/>
      <c r="K220" s="7" t="str">
        <f>IFERROR(IF($H219+1&lt;'General Info and Liability'!$B$15+1,'General Info and Liability'!$B$18/'General Info and Liability'!$B$10*$L220,""),"")</f>
        <v/>
      </c>
      <c r="L220" s="8"/>
      <c r="M220" s="31" t="str">
        <f>IFERROR(IF($H219+1&lt;'General Info and Liability'!$B$15+1,'General Info and Liability'!$D$14/'General Info and Liability'!$B$10*$L220,""),"")</f>
        <v/>
      </c>
      <c r="N220" s="32" t="str">
        <f>IFERROR(IF($H219+1&lt;'General Info and Liability'!$B$15+1,'General Info and Liability'!$D$15/'General Info and Liability'!$B$10*$L220,""),"")</f>
        <v/>
      </c>
      <c r="O220" s="8"/>
      <c r="P220" s="8"/>
      <c r="Q220" t="str">
        <f>IFERROR(IF($H220+1&gt;0,'General Info and Liability'!$D$16,""),"")</f>
        <v/>
      </c>
      <c r="R220" t="str">
        <f>IFERROR(IF($H220+1&gt;0,'General Info and Liability'!$B$16,""),"")</f>
        <v/>
      </c>
      <c r="S220" t="str">
        <f>IFERROR(IF($H219+1&lt;'General Info and Liability'!$B$15+1,'General Info and Liability'!$D$17,""),"")</f>
        <v/>
      </c>
      <c r="T220" t="str">
        <f>IFERROR(IF($H219+1&lt;'General Info and Liability'!$B$15+1,'General Info and Liability'!$D$18,""),"")</f>
        <v/>
      </c>
      <c r="U220" t="str">
        <f>IFERROR(IF($H219+1&lt;'General Info and Liability'!$B$15+1,'General Info and Liability'!$D$19,""),"")</f>
        <v/>
      </c>
      <c r="V220" t="str">
        <f>IFERROR(IF($H219+1&lt;'General Info and Liability'!$B$15+1,'General Info and Liability'!$B$14,""),"")</f>
        <v/>
      </c>
      <c r="W220" t="str">
        <f>IFERROR(IF($H219+1&lt;'General Info and Liability'!$B$15+1,'General Info and Liability'!$D$20,""),"")</f>
        <v/>
      </c>
    </row>
    <row r="221" spans="8:23" ht="16.5" customHeight="1">
      <c r="H221" t="str">
        <f>IFERROR(IF(H220+1&lt;'General Info and Liability'!$B$15+1,'Property Schedule'!H220+1,""),"")</f>
        <v/>
      </c>
      <c r="J221" s="8"/>
      <c r="K221" s="7" t="str">
        <f>IFERROR(IF($H220+1&lt;'General Info and Liability'!$B$15+1,'General Info and Liability'!$B$18/'General Info and Liability'!$B$10*$L221,""),"")</f>
        <v/>
      </c>
      <c r="L221" s="8"/>
      <c r="M221" s="31" t="str">
        <f>IFERROR(IF($H220+1&lt;'General Info and Liability'!$B$15+1,'General Info and Liability'!$D$14/'General Info and Liability'!$B$10*$L221,""),"")</f>
        <v/>
      </c>
      <c r="N221" s="32" t="str">
        <f>IFERROR(IF($H220+1&lt;'General Info and Liability'!$B$15+1,'General Info and Liability'!$D$15/'General Info and Liability'!$B$10*$L221,""),"")</f>
        <v/>
      </c>
      <c r="O221" s="8"/>
      <c r="P221" s="8"/>
      <c r="Q221" t="str">
        <f>IFERROR(IF($H221+1&gt;0,'General Info and Liability'!$D$16,""),"")</f>
        <v/>
      </c>
      <c r="R221" t="str">
        <f>IFERROR(IF($H221+1&gt;0,'General Info and Liability'!$B$16,""),"")</f>
        <v/>
      </c>
      <c r="S221" t="str">
        <f>IFERROR(IF($H220+1&lt;'General Info and Liability'!$B$15+1,'General Info and Liability'!$D$17,""),"")</f>
        <v/>
      </c>
      <c r="T221" t="str">
        <f>IFERROR(IF($H220+1&lt;'General Info and Liability'!$B$15+1,'General Info and Liability'!$D$18,""),"")</f>
        <v/>
      </c>
      <c r="U221" t="str">
        <f>IFERROR(IF($H220+1&lt;'General Info and Liability'!$B$15+1,'General Info and Liability'!$D$19,""),"")</f>
        <v/>
      </c>
      <c r="V221" t="str">
        <f>IFERROR(IF($H220+1&lt;'General Info and Liability'!$B$15+1,'General Info and Liability'!$B$14,""),"")</f>
        <v/>
      </c>
      <c r="W221" t="str">
        <f>IFERROR(IF($H220+1&lt;'General Info and Liability'!$B$15+1,'General Info and Liability'!$D$20,""),"")</f>
        <v/>
      </c>
    </row>
    <row r="222" spans="8:23" ht="16.5" customHeight="1">
      <c r="H222" t="str">
        <f>IFERROR(IF(H221+1&lt;'General Info and Liability'!$B$15+1,'Property Schedule'!H221+1,""),"")</f>
        <v/>
      </c>
      <c r="J222" s="8"/>
      <c r="K222" s="7" t="str">
        <f>IFERROR(IF($H221+1&lt;'General Info and Liability'!$B$15+1,'General Info and Liability'!$B$18/'General Info and Liability'!$B$10*$L222,""),"")</f>
        <v/>
      </c>
      <c r="L222" s="8"/>
      <c r="M222" s="31" t="str">
        <f>IFERROR(IF($H221+1&lt;'General Info and Liability'!$B$15+1,'General Info and Liability'!$D$14/'General Info and Liability'!$B$10*$L222,""),"")</f>
        <v/>
      </c>
      <c r="N222" s="32" t="str">
        <f>IFERROR(IF($H221+1&lt;'General Info and Liability'!$B$15+1,'General Info and Liability'!$D$15/'General Info and Liability'!$B$10*$L222,""),"")</f>
        <v/>
      </c>
      <c r="O222" s="8"/>
      <c r="P222" s="8"/>
      <c r="Q222" t="str">
        <f>IFERROR(IF($H222+1&gt;0,'General Info and Liability'!$D$16,""),"")</f>
        <v/>
      </c>
      <c r="R222" t="str">
        <f>IFERROR(IF($H222+1&gt;0,'General Info and Liability'!$B$16,""),"")</f>
        <v/>
      </c>
      <c r="S222" t="str">
        <f>IFERROR(IF($H221+1&lt;'General Info and Liability'!$B$15+1,'General Info and Liability'!$D$17,""),"")</f>
        <v/>
      </c>
      <c r="T222" t="str">
        <f>IFERROR(IF($H221+1&lt;'General Info and Liability'!$B$15+1,'General Info and Liability'!$D$18,""),"")</f>
        <v/>
      </c>
      <c r="U222" t="str">
        <f>IFERROR(IF($H221+1&lt;'General Info and Liability'!$B$15+1,'General Info and Liability'!$D$19,""),"")</f>
        <v/>
      </c>
      <c r="V222" t="str">
        <f>IFERROR(IF($H221+1&lt;'General Info and Liability'!$B$15+1,'General Info and Liability'!$B$14,""),"")</f>
        <v/>
      </c>
      <c r="W222" t="str">
        <f>IFERROR(IF($H221+1&lt;'General Info and Liability'!$B$15+1,'General Info and Liability'!$D$20,""),"")</f>
        <v/>
      </c>
    </row>
    <row r="223" spans="8:23" ht="16.5" customHeight="1">
      <c r="H223" t="str">
        <f>IFERROR(IF(H222+1&lt;'General Info and Liability'!$B$15+1,'Property Schedule'!H222+1,""),"")</f>
        <v/>
      </c>
      <c r="J223" s="8"/>
      <c r="K223" s="7" t="str">
        <f>IFERROR(IF($H222+1&lt;'General Info and Liability'!$B$15+1,'General Info and Liability'!$B$18/'General Info and Liability'!$B$10*$L223,""),"")</f>
        <v/>
      </c>
      <c r="L223" s="8"/>
      <c r="M223" s="31" t="str">
        <f>IFERROR(IF($H222+1&lt;'General Info and Liability'!$B$15+1,'General Info and Liability'!$D$14/'General Info and Liability'!$B$10*$L223,""),"")</f>
        <v/>
      </c>
      <c r="N223" s="32" t="str">
        <f>IFERROR(IF($H222+1&lt;'General Info and Liability'!$B$15+1,'General Info and Liability'!$D$15/'General Info and Liability'!$B$10*$L223,""),"")</f>
        <v/>
      </c>
      <c r="O223" s="8"/>
      <c r="P223" s="8"/>
      <c r="Q223" t="str">
        <f>IFERROR(IF($H223+1&gt;0,'General Info and Liability'!$D$16,""),"")</f>
        <v/>
      </c>
      <c r="R223" t="str">
        <f>IFERROR(IF($H223+1&gt;0,'General Info and Liability'!$B$16,""),"")</f>
        <v/>
      </c>
      <c r="S223" t="str">
        <f>IFERROR(IF($H222+1&lt;'General Info and Liability'!$B$15+1,'General Info and Liability'!$D$17,""),"")</f>
        <v/>
      </c>
      <c r="T223" t="str">
        <f>IFERROR(IF($H222+1&lt;'General Info and Liability'!$B$15+1,'General Info and Liability'!$D$18,""),"")</f>
        <v/>
      </c>
      <c r="U223" t="str">
        <f>IFERROR(IF($H222+1&lt;'General Info and Liability'!$B$15+1,'General Info and Liability'!$D$19,""),"")</f>
        <v/>
      </c>
      <c r="V223" t="str">
        <f>IFERROR(IF($H222+1&lt;'General Info and Liability'!$B$15+1,'General Info and Liability'!$B$14,""),"")</f>
        <v/>
      </c>
      <c r="W223" t="str">
        <f>IFERROR(IF($H222+1&lt;'General Info and Liability'!$B$15+1,'General Info and Liability'!$D$20,""),"")</f>
        <v/>
      </c>
    </row>
    <row r="224" spans="8:23" ht="16.5" customHeight="1">
      <c r="H224" t="str">
        <f>IFERROR(IF(H223+1&lt;'General Info and Liability'!$B$15+1,'Property Schedule'!H223+1,""),"")</f>
        <v/>
      </c>
      <c r="J224" s="8"/>
      <c r="K224" s="7" t="str">
        <f>IFERROR(IF($H223+1&lt;'General Info and Liability'!$B$15+1,'General Info and Liability'!$B$18/'General Info and Liability'!$B$10*$L224,""),"")</f>
        <v/>
      </c>
      <c r="L224" s="8"/>
      <c r="M224" s="31" t="str">
        <f>IFERROR(IF($H223+1&lt;'General Info and Liability'!$B$15+1,'General Info and Liability'!$D$14/'General Info and Liability'!$B$10*$L224,""),"")</f>
        <v/>
      </c>
      <c r="N224" s="32" t="str">
        <f>IFERROR(IF($H223+1&lt;'General Info and Liability'!$B$15+1,'General Info and Liability'!$D$15/'General Info and Liability'!$B$10*$L224,""),"")</f>
        <v/>
      </c>
      <c r="O224" s="8"/>
      <c r="P224" s="8"/>
      <c r="Q224" t="str">
        <f>IFERROR(IF($H224+1&gt;0,'General Info and Liability'!$D$16,""),"")</f>
        <v/>
      </c>
      <c r="R224" t="str">
        <f>IFERROR(IF($H224+1&gt;0,'General Info and Liability'!$B$16,""),"")</f>
        <v/>
      </c>
      <c r="S224" t="str">
        <f>IFERROR(IF($H223+1&lt;'General Info and Liability'!$B$15+1,'General Info and Liability'!$D$17,""),"")</f>
        <v/>
      </c>
      <c r="T224" t="str">
        <f>IFERROR(IF($H223+1&lt;'General Info and Liability'!$B$15+1,'General Info and Liability'!$D$18,""),"")</f>
        <v/>
      </c>
      <c r="U224" t="str">
        <f>IFERROR(IF($H223+1&lt;'General Info and Liability'!$B$15+1,'General Info and Liability'!$D$19,""),"")</f>
        <v/>
      </c>
      <c r="V224" t="str">
        <f>IFERROR(IF($H223+1&lt;'General Info and Liability'!$B$15+1,'General Info and Liability'!$B$14,""),"")</f>
        <v/>
      </c>
      <c r="W224" t="str">
        <f>IFERROR(IF($H223+1&lt;'General Info and Liability'!$B$15+1,'General Info and Liability'!$D$20,""),"")</f>
        <v/>
      </c>
    </row>
    <row r="225" spans="8:23" ht="16.5" customHeight="1">
      <c r="H225" t="str">
        <f>IFERROR(IF(H224+1&lt;'General Info and Liability'!$B$15+1,'Property Schedule'!H224+1,""),"")</f>
        <v/>
      </c>
      <c r="J225" s="8"/>
      <c r="K225" s="7" t="str">
        <f>IFERROR(IF($H224+1&lt;'General Info and Liability'!$B$15+1,'General Info and Liability'!$B$18/'General Info and Liability'!$B$10*$L225,""),"")</f>
        <v/>
      </c>
      <c r="L225" s="8"/>
      <c r="M225" s="31" t="str">
        <f>IFERROR(IF($H224+1&lt;'General Info and Liability'!$B$15+1,'General Info and Liability'!$D$14/'General Info and Liability'!$B$10*$L225,""),"")</f>
        <v/>
      </c>
      <c r="N225" s="32" t="str">
        <f>IFERROR(IF($H224+1&lt;'General Info and Liability'!$B$15+1,'General Info and Liability'!$D$15/'General Info and Liability'!$B$10*$L225,""),"")</f>
        <v/>
      </c>
      <c r="O225" s="8"/>
      <c r="P225" s="8"/>
      <c r="Q225" t="str">
        <f>IFERROR(IF($H225+1&gt;0,'General Info and Liability'!$D$16,""),"")</f>
        <v/>
      </c>
      <c r="R225" t="str">
        <f>IFERROR(IF($H225+1&gt;0,'General Info and Liability'!$B$16,""),"")</f>
        <v/>
      </c>
      <c r="S225" t="str">
        <f>IFERROR(IF($H224+1&lt;'General Info and Liability'!$B$15+1,'General Info and Liability'!$D$17,""),"")</f>
        <v/>
      </c>
      <c r="T225" t="str">
        <f>IFERROR(IF($H224+1&lt;'General Info and Liability'!$B$15+1,'General Info and Liability'!$D$18,""),"")</f>
        <v/>
      </c>
      <c r="U225" t="str">
        <f>IFERROR(IF($H224+1&lt;'General Info and Liability'!$B$15+1,'General Info and Liability'!$D$19,""),"")</f>
        <v/>
      </c>
      <c r="V225" t="str">
        <f>IFERROR(IF($H224+1&lt;'General Info and Liability'!$B$15+1,'General Info and Liability'!$B$14,""),"")</f>
        <v/>
      </c>
      <c r="W225" t="str">
        <f>IFERROR(IF($H224+1&lt;'General Info and Liability'!$B$15+1,'General Info and Liability'!$D$20,""),"")</f>
        <v/>
      </c>
    </row>
    <row r="226" spans="8:23" ht="16.5" customHeight="1">
      <c r="H226" t="str">
        <f>IFERROR(IF(H225+1&lt;'General Info and Liability'!$B$15+1,'Property Schedule'!H225+1,""),"")</f>
        <v/>
      </c>
      <c r="J226" s="8"/>
      <c r="K226" s="7" t="str">
        <f>IFERROR(IF($H225+1&lt;'General Info and Liability'!$B$15+1,'General Info and Liability'!$B$18/'General Info and Liability'!$B$10*$L226,""),"")</f>
        <v/>
      </c>
      <c r="L226" s="8"/>
      <c r="M226" s="31" t="str">
        <f>IFERROR(IF($H225+1&lt;'General Info and Liability'!$B$15+1,'General Info and Liability'!$D$14/'General Info and Liability'!$B$10*$L226,""),"")</f>
        <v/>
      </c>
      <c r="N226" s="32" t="str">
        <f>IFERROR(IF($H225+1&lt;'General Info and Liability'!$B$15+1,'General Info and Liability'!$D$15/'General Info and Liability'!$B$10*$L226,""),"")</f>
        <v/>
      </c>
      <c r="O226" s="8"/>
      <c r="P226" s="8"/>
      <c r="Q226" t="str">
        <f>IFERROR(IF($H226+1&gt;0,'General Info and Liability'!$D$16,""),"")</f>
        <v/>
      </c>
      <c r="R226" t="str">
        <f>IFERROR(IF($H226+1&gt;0,'General Info and Liability'!$B$16,""),"")</f>
        <v/>
      </c>
      <c r="S226" t="str">
        <f>IFERROR(IF($H225+1&lt;'General Info and Liability'!$B$15+1,'General Info and Liability'!$D$17,""),"")</f>
        <v/>
      </c>
      <c r="T226" t="str">
        <f>IFERROR(IF($H225+1&lt;'General Info and Liability'!$B$15+1,'General Info and Liability'!$D$18,""),"")</f>
        <v/>
      </c>
      <c r="U226" t="str">
        <f>IFERROR(IF($H225+1&lt;'General Info and Liability'!$B$15+1,'General Info and Liability'!$D$19,""),"")</f>
        <v/>
      </c>
      <c r="V226" t="str">
        <f>IFERROR(IF($H225+1&lt;'General Info and Liability'!$B$15+1,'General Info and Liability'!$B$14,""),"")</f>
        <v/>
      </c>
      <c r="W226" t="str">
        <f>IFERROR(IF($H225+1&lt;'General Info and Liability'!$B$15+1,'General Info and Liability'!$D$20,""),"")</f>
        <v/>
      </c>
    </row>
    <row r="227" spans="8:23" ht="16.5" customHeight="1">
      <c r="H227" t="str">
        <f>IFERROR(IF(H226+1&lt;'General Info and Liability'!$B$15+1,'Property Schedule'!H226+1,""),"")</f>
        <v/>
      </c>
      <c r="J227" s="8"/>
      <c r="K227" s="7" t="str">
        <f>IFERROR(IF($H226+1&lt;'General Info and Liability'!$B$15+1,'General Info and Liability'!$B$18/'General Info and Liability'!$B$10*$L227,""),"")</f>
        <v/>
      </c>
      <c r="L227" s="8"/>
      <c r="M227" s="31" t="str">
        <f>IFERROR(IF($H226+1&lt;'General Info and Liability'!$B$15+1,'General Info and Liability'!$D$14/'General Info and Liability'!$B$10*$L227,""),"")</f>
        <v/>
      </c>
      <c r="N227" s="32" t="str">
        <f>IFERROR(IF($H226+1&lt;'General Info and Liability'!$B$15+1,'General Info and Liability'!$D$15/'General Info and Liability'!$B$10*$L227,""),"")</f>
        <v/>
      </c>
      <c r="O227" s="8"/>
      <c r="P227" s="8"/>
      <c r="Q227" t="str">
        <f>IFERROR(IF($H227+1&gt;0,'General Info and Liability'!$D$16,""),"")</f>
        <v/>
      </c>
      <c r="R227" t="str">
        <f>IFERROR(IF($H227+1&gt;0,'General Info and Liability'!$B$16,""),"")</f>
        <v/>
      </c>
      <c r="S227" t="str">
        <f>IFERROR(IF($H226+1&lt;'General Info and Liability'!$B$15+1,'General Info and Liability'!$D$17,""),"")</f>
        <v/>
      </c>
      <c r="T227" t="str">
        <f>IFERROR(IF($H226+1&lt;'General Info and Liability'!$B$15+1,'General Info and Liability'!$D$18,""),"")</f>
        <v/>
      </c>
      <c r="U227" t="str">
        <f>IFERROR(IF($H226+1&lt;'General Info and Liability'!$B$15+1,'General Info and Liability'!$D$19,""),"")</f>
        <v/>
      </c>
      <c r="V227" t="str">
        <f>IFERROR(IF($H226+1&lt;'General Info and Liability'!$B$15+1,'General Info and Liability'!$B$14,""),"")</f>
        <v/>
      </c>
      <c r="W227" t="str">
        <f>IFERROR(IF($H226+1&lt;'General Info and Liability'!$B$15+1,'General Info and Liability'!$D$20,""),"")</f>
        <v/>
      </c>
    </row>
    <row r="228" spans="8:23" ht="16.5" customHeight="1">
      <c r="H228" t="str">
        <f>IFERROR(IF(H227+1&lt;'General Info and Liability'!$B$15+1,'Property Schedule'!H227+1,""),"")</f>
        <v/>
      </c>
      <c r="J228" s="8"/>
      <c r="K228" s="7" t="str">
        <f>IFERROR(IF($H227+1&lt;'General Info and Liability'!$B$15+1,'General Info and Liability'!$B$18/'General Info and Liability'!$B$10*$L228,""),"")</f>
        <v/>
      </c>
      <c r="L228" s="8"/>
      <c r="M228" s="31" t="str">
        <f>IFERROR(IF($H227+1&lt;'General Info and Liability'!$B$15+1,'General Info and Liability'!$D$14/'General Info and Liability'!$B$10*$L228,""),"")</f>
        <v/>
      </c>
      <c r="N228" s="32" t="str">
        <f>IFERROR(IF($H227+1&lt;'General Info and Liability'!$B$15+1,'General Info and Liability'!$D$15/'General Info and Liability'!$B$10*$L228,""),"")</f>
        <v/>
      </c>
      <c r="O228" s="8"/>
      <c r="P228" s="8"/>
      <c r="Q228" t="str">
        <f>IFERROR(IF($H228+1&gt;0,'General Info and Liability'!$D$16,""),"")</f>
        <v/>
      </c>
      <c r="R228" t="str">
        <f>IFERROR(IF($H228+1&gt;0,'General Info and Liability'!$B$16,""),"")</f>
        <v/>
      </c>
      <c r="S228" t="str">
        <f>IFERROR(IF($H227+1&lt;'General Info and Liability'!$B$15+1,'General Info and Liability'!$D$17,""),"")</f>
        <v/>
      </c>
      <c r="T228" t="str">
        <f>IFERROR(IF($H227+1&lt;'General Info and Liability'!$B$15+1,'General Info and Liability'!$D$18,""),"")</f>
        <v/>
      </c>
      <c r="U228" t="str">
        <f>IFERROR(IF($H227+1&lt;'General Info and Liability'!$B$15+1,'General Info and Liability'!$D$19,""),"")</f>
        <v/>
      </c>
      <c r="V228" t="str">
        <f>IFERROR(IF($H227+1&lt;'General Info and Liability'!$B$15+1,'General Info and Liability'!$B$14,""),"")</f>
        <v/>
      </c>
      <c r="W228" t="str">
        <f>IFERROR(IF($H227+1&lt;'General Info and Liability'!$B$15+1,'General Info and Liability'!$D$20,""),"")</f>
        <v/>
      </c>
    </row>
    <row r="229" spans="8:23" ht="16.5" customHeight="1">
      <c r="H229" t="str">
        <f>IFERROR(IF(H228+1&lt;'General Info and Liability'!$B$15+1,'Property Schedule'!H228+1,""),"")</f>
        <v/>
      </c>
      <c r="J229" s="8"/>
      <c r="K229" s="7" t="str">
        <f>IFERROR(IF($H228+1&lt;'General Info and Liability'!$B$15+1,'General Info and Liability'!$B$18/'General Info and Liability'!$B$10*$L229,""),"")</f>
        <v/>
      </c>
      <c r="L229" s="8"/>
      <c r="M229" s="31" t="str">
        <f>IFERROR(IF($H228+1&lt;'General Info and Liability'!$B$15+1,'General Info and Liability'!$D$14/'General Info and Liability'!$B$10*$L229,""),"")</f>
        <v/>
      </c>
      <c r="N229" s="32" t="str">
        <f>IFERROR(IF($H228+1&lt;'General Info and Liability'!$B$15+1,'General Info and Liability'!$D$15/'General Info and Liability'!$B$10*$L229,""),"")</f>
        <v/>
      </c>
      <c r="O229" s="8"/>
      <c r="P229" s="8"/>
      <c r="Q229" t="str">
        <f>IFERROR(IF($H229+1&gt;0,'General Info and Liability'!$D$16,""),"")</f>
        <v/>
      </c>
      <c r="R229" t="str">
        <f>IFERROR(IF($H229+1&gt;0,'General Info and Liability'!$B$16,""),"")</f>
        <v/>
      </c>
      <c r="S229" t="str">
        <f>IFERROR(IF($H228+1&lt;'General Info and Liability'!$B$15+1,'General Info and Liability'!$D$17,""),"")</f>
        <v/>
      </c>
      <c r="T229" t="str">
        <f>IFERROR(IF($H228+1&lt;'General Info and Liability'!$B$15+1,'General Info and Liability'!$D$18,""),"")</f>
        <v/>
      </c>
      <c r="U229" t="str">
        <f>IFERROR(IF($H228+1&lt;'General Info and Liability'!$B$15+1,'General Info and Liability'!$D$19,""),"")</f>
        <v/>
      </c>
      <c r="V229" t="str">
        <f>IFERROR(IF($H228+1&lt;'General Info and Liability'!$B$15+1,'General Info and Liability'!$B$14,""),"")</f>
        <v/>
      </c>
      <c r="W229" t="str">
        <f>IFERROR(IF($H228+1&lt;'General Info and Liability'!$B$15+1,'General Info and Liability'!$D$20,""),"")</f>
        <v/>
      </c>
    </row>
    <row r="230" spans="8:23" ht="16.5" customHeight="1">
      <c r="H230" t="str">
        <f>IFERROR(IF(H229+1&lt;'General Info and Liability'!$B$15+1,'Property Schedule'!H229+1,""),"")</f>
        <v/>
      </c>
      <c r="J230" s="8"/>
      <c r="K230" s="7" t="str">
        <f>IFERROR(IF($H229+1&lt;'General Info and Liability'!$B$15+1,'General Info and Liability'!$B$18/'General Info and Liability'!$B$10*$L230,""),"")</f>
        <v/>
      </c>
      <c r="L230" s="8"/>
      <c r="M230" s="31" t="str">
        <f>IFERROR(IF($H229+1&lt;'General Info and Liability'!$B$15+1,'General Info and Liability'!$D$14/'General Info and Liability'!$B$10*$L230,""),"")</f>
        <v/>
      </c>
      <c r="N230" s="32" t="str">
        <f>IFERROR(IF($H229+1&lt;'General Info and Liability'!$B$15+1,'General Info and Liability'!$D$15/'General Info and Liability'!$B$10*$L230,""),"")</f>
        <v/>
      </c>
      <c r="O230" s="8"/>
      <c r="P230" s="8"/>
      <c r="Q230" t="str">
        <f>IFERROR(IF($H230+1&gt;0,'General Info and Liability'!$D$16,""),"")</f>
        <v/>
      </c>
      <c r="R230" t="str">
        <f>IFERROR(IF($H230+1&gt;0,'General Info and Liability'!$B$16,""),"")</f>
        <v/>
      </c>
      <c r="S230" t="str">
        <f>IFERROR(IF($H229+1&lt;'General Info and Liability'!$B$15+1,'General Info and Liability'!$D$17,""),"")</f>
        <v/>
      </c>
      <c r="T230" t="str">
        <f>IFERROR(IF($H229+1&lt;'General Info and Liability'!$B$15+1,'General Info and Liability'!$D$18,""),"")</f>
        <v/>
      </c>
      <c r="U230" t="str">
        <f>IFERROR(IF($H229+1&lt;'General Info and Liability'!$B$15+1,'General Info and Liability'!$D$19,""),"")</f>
        <v/>
      </c>
      <c r="V230" t="str">
        <f>IFERROR(IF($H229+1&lt;'General Info and Liability'!$B$15+1,'General Info and Liability'!$B$14,""),"")</f>
        <v/>
      </c>
      <c r="W230" t="str">
        <f>IFERROR(IF($H229+1&lt;'General Info and Liability'!$B$15+1,'General Info and Liability'!$D$20,""),"")</f>
        <v/>
      </c>
    </row>
    <row r="231" spans="8:23" ht="16.5" customHeight="1">
      <c r="H231" t="str">
        <f>IFERROR(IF(H230+1&lt;'General Info and Liability'!$B$15+1,'Property Schedule'!H230+1,""),"")</f>
        <v/>
      </c>
      <c r="J231" s="8"/>
      <c r="K231" s="7" t="str">
        <f>IFERROR(IF($H230+1&lt;'General Info and Liability'!$B$15+1,'General Info and Liability'!$B$18/'General Info and Liability'!$B$10*$L231,""),"")</f>
        <v/>
      </c>
      <c r="L231" s="8"/>
      <c r="M231" s="31" t="str">
        <f>IFERROR(IF($H230+1&lt;'General Info and Liability'!$B$15+1,'General Info and Liability'!$D$14/'General Info and Liability'!$B$10*$L231,""),"")</f>
        <v/>
      </c>
      <c r="N231" s="32" t="str">
        <f>IFERROR(IF($H230+1&lt;'General Info and Liability'!$B$15+1,'General Info and Liability'!$D$15/'General Info and Liability'!$B$10*$L231,""),"")</f>
        <v/>
      </c>
      <c r="O231" s="8"/>
      <c r="P231" s="8"/>
      <c r="Q231" t="str">
        <f>IFERROR(IF($H231+1&gt;0,'General Info and Liability'!$D$16,""),"")</f>
        <v/>
      </c>
      <c r="R231" t="str">
        <f>IFERROR(IF($H231+1&gt;0,'General Info and Liability'!$B$16,""),"")</f>
        <v/>
      </c>
      <c r="S231" t="str">
        <f>IFERROR(IF($H230+1&lt;'General Info and Liability'!$B$15+1,'General Info and Liability'!$D$17,""),"")</f>
        <v/>
      </c>
      <c r="T231" t="str">
        <f>IFERROR(IF($H230+1&lt;'General Info and Liability'!$B$15+1,'General Info and Liability'!$D$18,""),"")</f>
        <v/>
      </c>
      <c r="U231" t="str">
        <f>IFERROR(IF($H230+1&lt;'General Info and Liability'!$B$15+1,'General Info and Liability'!$D$19,""),"")</f>
        <v/>
      </c>
      <c r="V231" t="str">
        <f>IFERROR(IF($H230+1&lt;'General Info and Liability'!$B$15+1,'General Info and Liability'!$B$14,""),"")</f>
        <v/>
      </c>
      <c r="W231" t="str">
        <f>IFERROR(IF($H230+1&lt;'General Info and Liability'!$B$15+1,'General Info and Liability'!$D$20,""),"")</f>
        <v/>
      </c>
    </row>
    <row r="232" spans="8:23" ht="16.5" customHeight="1">
      <c r="H232" t="str">
        <f>IFERROR(IF(H231+1&lt;'General Info and Liability'!$B$15+1,'Property Schedule'!H231+1,""),"")</f>
        <v/>
      </c>
      <c r="J232" s="8"/>
      <c r="K232" s="7" t="str">
        <f>IFERROR(IF($H231+1&lt;'General Info and Liability'!$B$15+1,'General Info and Liability'!$B$18/'General Info and Liability'!$B$10*$L232,""),"")</f>
        <v/>
      </c>
      <c r="L232" s="8"/>
      <c r="M232" s="31" t="str">
        <f>IFERROR(IF($H231+1&lt;'General Info and Liability'!$B$15+1,'General Info and Liability'!$D$14/'General Info and Liability'!$B$10*$L232,""),"")</f>
        <v/>
      </c>
      <c r="N232" s="32" t="str">
        <f>IFERROR(IF($H231+1&lt;'General Info and Liability'!$B$15+1,'General Info and Liability'!$D$15/'General Info and Liability'!$B$10*$L232,""),"")</f>
        <v/>
      </c>
      <c r="O232" s="8"/>
      <c r="P232" s="8"/>
      <c r="Q232" t="str">
        <f>IFERROR(IF($H232+1&gt;0,'General Info and Liability'!$D$16,""),"")</f>
        <v/>
      </c>
      <c r="R232" t="str">
        <f>IFERROR(IF($H232+1&gt;0,'General Info and Liability'!$B$16,""),"")</f>
        <v/>
      </c>
      <c r="S232" t="str">
        <f>IFERROR(IF($H231+1&lt;'General Info and Liability'!$B$15+1,'General Info and Liability'!$D$17,""),"")</f>
        <v/>
      </c>
      <c r="T232" t="str">
        <f>IFERROR(IF($H231+1&lt;'General Info and Liability'!$B$15+1,'General Info and Liability'!$D$18,""),"")</f>
        <v/>
      </c>
      <c r="U232" t="str">
        <f>IFERROR(IF($H231+1&lt;'General Info and Liability'!$B$15+1,'General Info and Liability'!$D$19,""),"")</f>
        <v/>
      </c>
      <c r="V232" t="str">
        <f>IFERROR(IF($H231+1&lt;'General Info and Liability'!$B$15+1,'General Info and Liability'!$B$14,""),"")</f>
        <v/>
      </c>
      <c r="W232" t="str">
        <f>IFERROR(IF($H231+1&lt;'General Info and Liability'!$B$15+1,'General Info and Liability'!$D$20,""),"")</f>
        <v/>
      </c>
    </row>
    <row r="233" spans="8:23" ht="16.5" customHeight="1">
      <c r="H233" t="str">
        <f>IFERROR(IF(H232+1&lt;'General Info and Liability'!$B$15+1,'Property Schedule'!H232+1,""),"")</f>
        <v/>
      </c>
      <c r="J233" s="8"/>
      <c r="K233" s="7" t="str">
        <f>IFERROR(IF($H232+1&lt;'General Info and Liability'!$B$15+1,'General Info and Liability'!$B$18/'General Info and Liability'!$B$10*$L233,""),"")</f>
        <v/>
      </c>
      <c r="L233" s="8"/>
      <c r="M233" s="31" t="str">
        <f>IFERROR(IF($H232+1&lt;'General Info and Liability'!$B$15+1,'General Info and Liability'!$D$14/'General Info and Liability'!$B$10*$L233,""),"")</f>
        <v/>
      </c>
      <c r="N233" s="32" t="str">
        <f>IFERROR(IF($H232+1&lt;'General Info and Liability'!$B$15+1,'General Info and Liability'!$D$15/'General Info and Liability'!$B$10*$L233,""),"")</f>
        <v/>
      </c>
      <c r="O233" s="8"/>
      <c r="P233" s="8"/>
      <c r="Q233" t="str">
        <f>IFERROR(IF($H233+1&gt;0,'General Info and Liability'!$D$16,""),"")</f>
        <v/>
      </c>
      <c r="R233" t="str">
        <f>IFERROR(IF($H233+1&gt;0,'General Info and Liability'!$B$16,""),"")</f>
        <v/>
      </c>
      <c r="S233" t="str">
        <f>IFERROR(IF($H232+1&lt;'General Info and Liability'!$B$15+1,'General Info and Liability'!$D$17,""),"")</f>
        <v/>
      </c>
      <c r="T233" t="str">
        <f>IFERROR(IF($H232+1&lt;'General Info and Liability'!$B$15+1,'General Info and Liability'!$D$18,""),"")</f>
        <v/>
      </c>
      <c r="U233" t="str">
        <f>IFERROR(IF($H232+1&lt;'General Info and Liability'!$B$15+1,'General Info and Liability'!$D$19,""),"")</f>
        <v/>
      </c>
      <c r="V233" t="str">
        <f>IFERROR(IF($H232+1&lt;'General Info and Liability'!$B$15+1,'General Info and Liability'!$B$14,""),"")</f>
        <v/>
      </c>
      <c r="W233" t="str">
        <f>IFERROR(IF($H232+1&lt;'General Info and Liability'!$B$15+1,'General Info and Liability'!$D$20,""),"")</f>
        <v/>
      </c>
    </row>
    <row r="234" spans="8:23" ht="16.5" customHeight="1">
      <c r="H234" t="str">
        <f>IFERROR(IF(H233+1&lt;'General Info and Liability'!$B$15+1,'Property Schedule'!H233+1,""),"")</f>
        <v/>
      </c>
      <c r="J234" s="8"/>
      <c r="K234" s="7" t="str">
        <f>IFERROR(IF($H233+1&lt;'General Info and Liability'!$B$15+1,'General Info and Liability'!$B$18/'General Info and Liability'!$B$10*$L234,""),"")</f>
        <v/>
      </c>
      <c r="L234" s="8"/>
      <c r="M234" s="31" t="str">
        <f>IFERROR(IF($H233+1&lt;'General Info and Liability'!$B$15+1,'General Info and Liability'!$D$14/'General Info and Liability'!$B$10*$L234,""),"")</f>
        <v/>
      </c>
      <c r="N234" s="32" t="str">
        <f>IFERROR(IF($H233+1&lt;'General Info and Liability'!$B$15+1,'General Info and Liability'!$D$15/'General Info and Liability'!$B$10*$L234,""),"")</f>
        <v/>
      </c>
      <c r="O234" s="8"/>
      <c r="P234" s="8"/>
      <c r="Q234" t="str">
        <f>IFERROR(IF($H234+1&gt;0,'General Info and Liability'!$D$16,""),"")</f>
        <v/>
      </c>
      <c r="R234" t="str">
        <f>IFERROR(IF($H234+1&gt;0,'General Info and Liability'!$B$16,""),"")</f>
        <v/>
      </c>
      <c r="S234" t="str">
        <f>IFERROR(IF($H233+1&lt;'General Info and Liability'!$B$15+1,'General Info and Liability'!$D$17,""),"")</f>
        <v/>
      </c>
      <c r="T234" t="str">
        <f>IFERROR(IF($H233+1&lt;'General Info and Liability'!$B$15+1,'General Info and Liability'!$D$18,""),"")</f>
        <v/>
      </c>
      <c r="U234" t="str">
        <f>IFERROR(IF($H233+1&lt;'General Info and Liability'!$B$15+1,'General Info and Liability'!$D$19,""),"")</f>
        <v/>
      </c>
      <c r="V234" t="str">
        <f>IFERROR(IF($H233+1&lt;'General Info and Liability'!$B$15+1,'General Info and Liability'!$B$14,""),"")</f>
        <v/>
      </c>
      <c r="W234" t="str">
        <f>IFERROR(IF($H233+1&lt;'General Info and Liability'!$B$15+1,'General Info and Liability'!$D$20,""),"")</f>
        <v/>
      </c>
    </row>
    <row r="235" spans="8:23" ht="16.5" customHeight="1">
      <c r="H235" t="str">
        <f>IFERROR(IF(H234+1&lt;'General Info and Liability'!$B$15+1,'Property Schedule'!H234+1,""),"")</f>
        <v/>
      </c>
      <c r="J235" s="8"/>
      <c r="K235" s="7" t="str">
        <f>IFERROR(IF($H234+1&lt;'General Info and Liability'!$B$15+1,'General Info and Liability'!$B$18/'General Info and Liability'!$B$10*$L235,""),"")</f>
        <v/>
      </c>
      <c r="L235" s="8"/>
      <c r="M235" s="31" t="str">
        <f>IFERROR(IF($H234+1&lt;'General Info and Liability'!$B$15+1,'General Info and Liability'!$D$14/'General Info and Liability'!$B$10*$L235,""),"")</f>
        <v/>
      </c>
      <c r="N235" s="32" t="str">
        <f>IFERROR(IF($H234+1&lt;'General Info and Liability'!$B$15+1,'General Info and Liability'!$D$15/'General Info and Liability'!$B$10*$L235,""),"")</f>
        <v/>
      </c>
      <c r="O235" s="8"/>
      <c r="P235" s="8"/>
      <c r="Q235" t="str">
        <f>IFERROR(IF($H235+1&gt;0,'General Info and Liability'!$D$16,""),"")</f>
        <v/>
      </c>
      <c r="R235" t="str">
        <f>IFERROR(IF($H235+1&gt;0,'General Info and Liability'!$B$16,""),"")</f>
        <v/>
      </c>
      <c r="S235" t="str">
        <f>IFERROR(IF($H234+1&lt;'General Info and Liability'!$B$15+1,'General Info and Liability'!$D$17,""),"")</f>
        <v/>
      </c>
      <c r="T235" t="str">
        <f>IFERROR(IF($H234+1&lt;'General Info and Liability'!$B$15+1,'General Info and Liability'!$D$18,""),"")</f>
        <v/>
      </c>
      <c r="U235" t="str">
        <f>IFERROR(IF($H234+1&lt;'General Info and Liability'!$B$15+1,'General Info and Liability'!$D$19,""),"")</f>
        <v/>
      </c>
      <c r="V235" t="str">
        <f>IFERROR(IF($H234+1&lt;'General Info and Liability'!$B$15+1,'General Info and Liability'!$B$14,""),"")</f>
        <v/>
      </c>
      <c r="W235" t="str">
        <f>IFERROR(IF($H234+1&lt;'General Info and Liability'!$B$15+1,'General Info and Liability'!$D$20,""),"")</f>
        <v/>
      </c>
    </row>
    <row r="236" spans="8:23" ht="16.5" customHeight="1">
      <c r="H236" t="str">
        <f>IFERROR(IF(H235+1&lt;'General Info and Liability'!$B$15+1,'Property Schedule'!H235+1,""),"")</f>
        <v/>
      </c>
      <c r="J236" s="8"/>
      <c r="K236" s="7" t="str">
        <f>IFERROR(IF($H235+1&lt;'General Info and Liability'!$B$15+1,'General Info and Liability'!$B$18/'General Info and Liability'!$B$10*$L236,""),"")</f>
        <v/>
      </c>
      <c r="L236" s="8"/>
      <c r="M236" s="31" t="str">
        <f>IFERROR(IF($H235+1&lt;'General Info and Liability'!$B$15+1,'General Info and Liability'!$D$14/'General Info and Liability'!$B$10*$L236,""),"")</f>
        <v/>
      </c>
      <c r="N236" s="32" t="str">
        <f>IFERROR(IF($H235+1&lt;'General Info and Liability'!$B$15+1,'General Info and Liability'!$D$15/'General Info and Liability'!$B$10*$L236,""),"")</f>
        <v/>
      </c>
      <c r="O236" s="8"/>
      <c r="P236" s="8"/>
      <c r="Q236" t="str">
        <f>IFERROR(IF($H236+1&gt;0,'General Info and Liability'!$D$16,""),"")</f>
        <v/>
      </c>
      <c r="R236" t="str">
        <f>IFERROR(IF($H236+1&gt;0,'General Info and Liability'!$B$16,""),"")</f>
        <v/>
      </c>
      <c r="S236" t="str">
        <f>IFERROR(IF($H235+1&lt;'General Info and Liability'!$B$15+1,'General Info and Liability'!$D$17,""),"")</f>
        <v/>
      </c>
      <c r="T236" t="str">
        <f>IFERROR(IF($H235+1&lt;'General Info and Liability'!$B$15+1,'General Info and Liability'!$D$18,""),"")</f>
        <v/>
      </c>
      <c r="U236" t="str">
        <f>IFERROR(IF($H235+1&lt;'General Info and Liability'!$B$15+1,'General Info and Liability'!$D$19,""),"")</f>
        <v/>
      </c>
      <c r="V236" t="str">
        <f>IFERROR(IF($H235+1&lt;'General Info and Liability'!$B$15+1,'General Info and Liability'!$B$14,""),"")</f>
        <v/>
      </c>
      <c r="W236" t="str">
        <f>IFERROR(IF($H235+1&lt;'General Info and Liability'!$B$15+1,'General Info and Liability'!$D$20,""),"")</f>
        <v/>
      </c>
    </row>
    <row r="237" spans="8:23" ht="16.5" customHeight="1">
      <c r="H237" t="str">
        <f>IFERROR(IF(H236+1&lt;'General Info and Liability'!$B$15+1,'Property Schedule'!H236+1,""),"")</f>
        <v/>
      </c>
      <c r="J237" s="8"/>
      <c r="K237" s="7" t="str">
        <f>IFERROR(IF($H236+1&lt;'General Info and Liability'!$B$15+1,'General Info and Liability'!$B$18/'General Info and Liability'!$B$10*$L237,""),"")</f>
        <v/>
      </c>
      <c r="L237" s="8"/>
      <c r="M237" s="31" t="str">
        <f>IFERROR(IF($H236+1&lt;'General Info and Liability'!$B$15+1,'General Info and Liability'!$D$14/'General Info and Liability'!$B$10*$L237,""),"")</f>
        <v/>
      </c>
      <c r="N237" s="32" t="str">
        <f>IFERROR(IF($H236+1&lt;'General Info and Liability'!$B$15+1,'General Info and Liability'!$D$15/'General Info and Liability'!$B$10*$L237,""),"")</f>
        <v/>
      </c>
      <c r="O237" s="8"/>
      <c r="P237" s="8"/>
      <c r="Q237" t="str">
        <f>IFERROR(IF($H237+1&gt;0,'General Info and Liability'!$D$16,""),"")</f>
        <v/>
      </c>
      <c r="R237" t="str">
        <f>IFERROR(IF($H237+1&gt;0,'General Info and Liability'!$B$16,""),"")</f>
        <v/>
      </c>
      <c r="S237" t="str">
        <f>IFERROR(IF($H236+1&lt;'General Info and Liability'!$B$15+1,'General Info and Liability'!$D$17,""),"")</f>
        <v/>
      </c>
      <c r="T237" t="str">
        <f>IFERROR(IF($H236+1&lt;'General Info and Liability'!$B$15+1,'General Info and Liability'!$D$18,""),"")</f>
        <v/>
      </c>
      <c r="U237" t="str">
        <f>IFERROR(IF($H236+1&lt;'General Info and Liability'!$B$15+1,'General Info and Liability'!$D$19,""),"")</f>
        <v/>
      </c>
      <c r="V237" t="str">
        <f>IFERROR(IF($H236+1&lt;'General Info and Liability'!$B$15+1,'General Info and Liability'!$B$14,""),"")</f>
        <v/>
      </c>
      <c r="W237" t="str">
        <f>IFERROR(IF($H236+1&lt;'General Info and Liability'!$B$15+1,'General Info and Liability'!$D$20,""),"")</f>
        <v/>
      </c>
    </row>
    <row r="238" spans="8:23" ht="16.5" customHeight="1">
      <c r="H238" t="str">
        <f>IFERROR(IF(H237+1&lt;'General Info and Liability'!$B$15+1,'Property Schedule'!H237+1,""),"")</f>
        <v/>
      </c>
      <c r="J238" s="8"/>
      <c r="K238" s="7" t="str">
        <f>IFERROR(IF($H237+1&lt;'General Info and Liability'!$B$15+1,'General Info and Liability'!$B$18/'General Info and Liability'!$B$10*$L238,""),"")</f>
        <v/>
      </c>
      <c r="L238" s="8"/>
      <c r="M238" s="31" t="str">
        <f>IFERROR(IF($H237+1&lt;'General Info and Liability'!$B$15+1,'General Info and Liability'!$D$14/'General Info and Liability'!$B$10*$L238,""),"")</f>
        <v/>
      </c>
      <c r="N238" s="32" t="str">
        <f>IFERROR(IF($H237+1&lt;'General Info and Liability'!$B$15+1,'General Info and Liability'!$D$15/'General Info and Liability'!$B$10*$L238,""),"")</f>
        <v/>
      </c>
      <c r="O238" s="8"/>
      <c r="P238" s="8"/>
      <c r="Q238" t="str">
        <f>IFERROR(IF($H238+1&gt;0,'General Info and Liability'!$D$16,""),"")</f>
        <v/>
      </c>
      <c r="R238" t="str">
        <f>IFERROR(IF($H238+1&gt;0,'General Info and Liability'!$B$16,""),"")</f>
        <v/>
      </c>
      <c r="S238" t="str">
        <f>IFERROR(IF($H237+1&lt;'General Info and Liability'!$B$15+1,'General Info and Liability'!$D$17,""),"")</f>
        <v/>
      </c>
      <c r="T238" t="str">
        <f>IFERROR(IF($H237+1&lt;'General Info and Liability'!$B$15+1,'General Info and Liability'!$D$18,""),"")</f>
        <v/>
      </c>
      <c r="U238" t="str">
        <f>IFERROR(IF($H237+1&lt;'General Info and Liability'!$B$15+1,'General Info and Liability'!$D$19,""),"")</f>
        <v/>
      </c>
      <c r="V238" t="str">
        <f>IFERROR(IF($H237+1&lt;'General Info and Liability'!$B$15+1,'General Info and Liability'!$B$14,""),"")</f>
        <v/>
      </c>
      <c r="W238" t="str">
        <f>IFERROR(IF($H237+1&lt;'General Info and Liability'!$B$15+1,'General Info and Liability'!$D$20,""),"")</f>
        <v/>
      </c>
    </row>
    <row r="239" spans="8:23" ht="16.5" customHeight="1">
      <c r="H239" t="str">
        <f>IFERROR(IF(H238+1&lt;'General Info and Liability'!$B$15+1,'Property Schedule'!H238+1,""),"")</f>
        <v/>
      </c>
      <c r="J239" s="8"/>
      <c r="K239" s="7" t="str">
        <f>IFERROR(IF($H238+1&lt;'General Info and Liability'!$B$15+1,'General Info and Liability'!$B$18/'General Info and Liability'!$B$10*$L239,""),"")</f>
        <v/>
      </c>
      <c r="L239" s="8"/>
      <c r="M239" s="31" t="str">
        <f>IFERROR(IF($H238+1&lt;'General Info and Liability'!$B$15+1,'General Info and Liability'!$D$14/'General Info and Liability'!$B$10*$L239,""),"")</f>
        <v/>
      </c>
      <c r="N239" s="32" t="str">
        <f>IFERROR(IF($H238+1&lt;'General Info and Liability'!$B$15+1,'General Info and Liability'!$D$15/'General Info and Liability'!$B$10*$L239,""),"")</f>
        <v/>
      </c>
      <c r="O239" s="8"/>
      <c r="P239" s="8"/>
      <c r="Q239" t="str">
        <f>IFERROR(IF($H239+1&gt;0,'General Info and Liability'!$D$16,""),"")</f>
        <v/>
      </c>
      <c r="R239" t="str">
        <f>IFERROR(IF($H239+1&gt;0,'General Info and Liability'!$B$16,""),"")</f>
        <v/>
      </c>
      <c r="S239" t="str">
        <f>IFERROR(IF($H238+1&lt;'General Info and Liability'!$B$15+1,'General Info and Liability'!$D$17,""),"")</f>
        <v/>
      </c>
      <c r="T239" t="str">
        <f>IFERROR(IF($H238+1&lt;'General Info and Liability'!$B$15+1,'General Info and Liability'!$D$18,""),"")</f>
        <v/>
      </c>
      <c r="U239" t="str">
        <f>IFERROR(IF($H238+1&lt;'General Info and Liability'!$B$15+1,'General Info and Liability'!$D$19,""),"")</f>
        <v/>
      </c>
      <c r="V239" t="str">
        <f>IFERROR(IF($H238+1&lt;'General Info and Liability'!$B$15+1,'General Info and Liability'!$B$14,""),"")</f>
        <v/>
      </c>
      <c r="W239" t="str">
        <f>IFERROR(IF($H238+1&lt;'General Info and Liability'!$B$15+1,'General Info and Liability'!$D$20,""),"")</f>
        <v/>
      </c>
    </row>
    <row r="240" spans="8:23" ht="16.5" customHeight="1">
      <c r="H240" t="str">
        <f>IFERROR(IF(H239+1&lt;'General Info and Liability'!$B$15+1,'Property Schedule'!H239+1,""),"")</f>
        <v/>
      </c>
      <c r="J240" s="8"/>
      <c r="K240" s="7" t="str">
        <f>IFERROR(IF($H239+1&lt;'General Info and Liability'!$B$15+1,'General Info and Liability'!$B$18/'General Info and Liability'!$B$10*$L240,""),"")</f>
        <v/>
      </c>
      <c r="L240" s="8"/>
      <c r="M240" s="31" t="str">
        <f>IFERROR(IF($H239+1&lt;'General Info and Liability'!$B$15+1,'General Info and Liability'!$D$14/'General Info and Liability'!$B$10*$L240,""),"")</f>
        <v/>
      </c>
      <c r="N240" s="32" t="str">
        <f>IFERROR(IF($H239+1&lt;'General Info and Liability'!$B$15+1,'General Info and Liability'!$D$15/'General Info and Liability'!$B$10*$L240,""),"")</f>
        <v/>
      </c>
      <c r="O240" s="8"/>
      <c r="P240" s="8"/>
      <c r="Q240" t="str">
        <f>IFERROR(IF($H240+1&gt;0,'General Info and Liability'!$D$16,""),"")</f>
        <v/>
      </c>
      <c r="R240" t="str">
        <f>IFERROR(IF($H240+1&gt;0,'General Info and Liability'!$B$16,""),"")</f>
        <v/>
      </c>
      <c r="S240" t="str">
        <f>IFERROR(IF($H239+1&lt;'General Info and Liability'!$B$15+1,'General Info and Liability'!$D$17,""),"")</f>
        <v/>
      </c>
      <c r="T240" t="str">
        <f>IFERROR(IF($H239+1&lt;'General Info and Liability'!$B$15+1,'General Info and Liability'!$D$18,""),"")</f>
        <v/>
      </c>
      <c r="U240" t="str">
        <f>IFERROR(IF($H239+1&lt;'General Info and Liability'!$B$15+1,'General Info and Liability'!$D$19,""),"")</f>
        <v/>
      </c>
      <c r="V240" t="str">
        <f>IFERROR(IF($H239+1&lt;'General Info and Liability'!$B$15+1,'General Info and Liability'!$B$14,""),"")</f>
        <v/>
      </c>
      <c r="W240" t="str">
        <f>IFERROR(IF($H239+1&lt;'General Info and Liability'!$B$15+1,'General Info and Liability'!$D$20,""),"")</f>
        <v/>
      </c>
    </row>
    <row r="241" spans="8:23" ht="16.5" customHeight="1">
      <c r="H241" t="str">
        <f>IFERROR(IF(H240+1&lt;'General Info and Liability'!$B$15+1,'Property Schedule'!H240+1,""),"")</f>
        <v/>
      </c>
      <c r="J241" s="8"/>
      <c r="K241" s="7" t="str">
        <f>IFERROR(IF($H240+1&lt;'General Info and Liability'!$B$15+1,'General Info and Liability'!$B$18/'General Info and Liability'!$B$10*$L241,""),"")</f>
        <v/>
      </c>
      <c r="L241" s="8"/>
      <c r="M241" s="31" t="str">
        <f>IFERROR(IF($H240+1&lt;'General Info and Liability'!$B$15+1,'General Info and Liability'!$D$14/'General Info and Liability'!$B$10*$L241,""),"")</f>
        <v/>
      </c>
      <c r="N241" s="32" t="str">
        <f>IFERROR(IF($H240+1&lt;'General Info and Liability'!$B$15+1,'General Info and Liability'!$D$15/'General Info and Liability'!$B$10*$L241,""),"")</f>
        <v/>
      </c>
      <c r="O241" s="8"/>
      <c r="P241" s="8"/>
      <c r="Q241" t="str">
        <f>IFERROR(IF($H241+1&gt;0,'General Info and Liability'!$D$16,""),"")</f>
        <v/>
      </c>
      <c r="R241" t="str">
        <f>IFERROR(IF($H241+1&gt;0,'General Info and Liability'!$B$16,""),"")</f>
        <v/>
      </c>
      <c r="S241" t="str">
        <f>IFERROR(IF($H240+1&lt;'General Info and Liability'!$B$15+1,'General Info and Liability'!$D$17,""),"")</f>
        <v/>
      </c>
      <c r="T241" t="str">
        <f>IFERROR(IF($H240+1&lt;'General Info and Liability'!$B$15+1,'General Info and Liability'!$D$18,""),"")</f>
        <v/>
      </c>
      <c r="U241" t="str">
        <f>IFERROR(IF($H240+1&lt;'General Info and Liability'!$B$15+1,'General Info and Liability'!$D$19,""),"")</f>
        <v/>
      </c>
      <c r="V241" t="str">
        <f>IFERROR(IF($H240+1&lt;'General Info and Liability'!$B$15+1,'General Info and Liability'!$B$14,""),"")</f>
        <v/>
      </c>
      <c r="W241" t="str">
        <f>IFERROR(IF($H240+1&lt;'General Info and Liability'!$B$15+1,'General Info and Liability'!$D$20,""),"")</f>
        <v/>
      </c>
    </row>
    <row r="242" spans="8:23" ht="16.5" customHeight="1">
      <c r="H242" t="str">
        <f>IFERROR(IF(H241+1&lt;'General Info and Liability'!$B$15+1,'Property Schedule'!H241+1,""),"")</f>
        <v/>
      </c>
      <c r="J242" s="8"/>
      <c r="K242" s="7" t="str">
        <f>IFERROR(IF($H241+1&lt;'General Info and Liability'!$B$15+1,'General Info and Liability'!$B$18/'General Info and Liability'!$B$10*$L242,""),"")</f>
        <v/>
      </c>
      <c r="L242" s="8"/>
      <c r="M242" s="31" t="str">
        <f>IFERROR(IF($H241+1&lt;'General Info and Liability'!$B$15+1,'General Info and Liability'!$D$14/'General Info and Liability'!$B$10*$L242,""),"")</f>
        <v/>
      </c>
      <c r="N242" s="32" t="str">
        <f>IFERROR(IF($H241+1&lt;'General Info and Liability'!$B$15+1,'General Info and Liability'!$D$15/'General Info and Liability'!$B$10*$L242,""),"")</f>
        <v/>
      </c>
      <c r="O242" s="8"/>
      <c r="P242" s="8"/>
      <c r="Q242" t="str">
        <f>IFERROR(IF($H242+1&gt;0,'General Info and Liability'!$D$16,""),"")</f>
        <v/>
      </c>
      <c r="R242" t="str">
        <f>IFERROR(IF($H242+1&gt;0,'General Info and Liability'!$B$16,""),"")</f>
        <v/>
      </c>
      <c r="S242" t="str">
        <f>IFERROR(IF($H241+1&lt;'General Info and Liability'!$B$15+1,'General Info and Liability'!$D$17,""),"")</f>
        <v/>
      </c>
      <c r="T242" t="str">
        <f>IFERROR(IF($H241+1&lt;'General Info and Liability'!$B$15+1,'General Info and Liability'!$D$18,""),"")</f>
        <v/>
      </c>
      <c r="U242" t="str">
        <f>IFERROR(IF($H241+1&lt;'General Info and Liability'!$B$15+1,'General Info and Liability'!$D$19,""),"")</f>
        <v/>
      </c>
      <c r="V242" t="str">
        <f>IFERROR(IF($H241+1&lt;'General Info and Liability'!$B$15+1,'General Info and Liability'!$B$14,""),"")</f>
        <v/>
      </c>
      <c r="W242" t="str">
        <f>IFERROR(IF($H241+1&lt;'General Info and Liability'!$B$15+1,'General Info and Liability'!$D$20,""),"")</f>
        <v/>
      </c>
    </row>
    <row r="243" spans="8:23" ht="16.5" customHeight="1">
      <c r="H243" t="str">
        <f>IFERROR(IF(H242+1&lt;'General Info and Liability'!$B$15+1,'Property Schedule'!H242+1,""),"")</f>
        <v/>
      </c>
      <c r="J243" s="8"/>
      <c r="K243" s="7" t="str">
        <f>IFERROR(IF($H242+1&lt;'General Info and Liability'!$B$15+1,'General Info and Liability'!$B$18/'General Info and Liability'!$B$10*$L243,""),"")</f>
        <v/>
      </c>
      <c r="L243" s="8"/>
      <c r="M243" s="31" t="str">
        <f>IFERROR(IF($H242+1&lt;'General Info and Liability'!$B$15+1,'General Info and Liability'!$D$14/'General Info and Liability'!$B$10*$L243,""),"")</f>
        <v/>
      </c>
      <c r="N243" s="32" t="str">
        <f>IFERROR(IF($H242+1&lt;'General Info and Liability'!$B$15+1,'General Info and Liability'!$D$15/'General Info and Liability'!$B$10*$L243,""),"")</f>
        <v/>
      </c>
      <c r="O243" s="8"/>
      <c r="P243" s="8"/>
      <c r="Q243" t="str">
        <f>IFERROR(IF($H243+1&gt;0,'General Info and Liability'!$D$16,""),"")</f>
        <v/>
      </c>
      <c r="R243" t="str">
        <f>IFERROR(IF($H243+1&gt;0,'General Info and Liability'!$B$16,""),"")</f>
        <v/>
      </c>
      <c r="S243" t="str">
        <f>IFERROR(IF($H242+1&lt;'General Info and Liability'!$B$15+1,'General Info and Liability'!$D$17,""),"")</f>
        <v/>
      </c>
      <c r="T243" t="str">
        <f>IFERROR(IF($H242+1&lt;'General Info and Liability'!$B$15+1,'General Info and Liability'!$D$18,""),"")</f>
        <v/>
      </c>
      <c r="U243" t="str">
        <f>IFERROR(IF($H242+1&lt;'General Info and Liability'!$B$15+1,'General Info and Liability'!$D$19,""),"")</f>
        <v/>
      </c>
      <c r="V243" t="str">
        <f>IFERROR(IF($H242+1&lt;'General Info and Liability'!$B$15+1,'General Info and Liability'!$B$14,""),"")</f>
        <v/>
      </c>
      <c r="W243" t="str">
        <f>IFERROR(IF($H242+1&lt;'General Info and Liability'!$B$15+1,'General Info and Liability'!$D$20,""),"")</f>
        <v/>
      </c>
    </row>
    <row r="244" spans="8:23" ht="16.5" customHeight="1">
      <c r="H244" t="str">
        <f>IFERROR(IF(H243+1&lt;'General Info and Liability'!$B$15+1,'Property Schedule'!H243+1,""),"")</f>
        <v/>
      </c>
      <c r="J244" s="8"/>
      <c r="K244" s="7" t="str">
        <f>IFERROR(IF($H243+1&lt;'General Info and Liability'!$B$15+1,'General Info and Liability'!$B$18/'General Info and Liability'!$B$10*$L244,""),"")</f>
        <v/>
      </c>
      <c r="L244" s="8"/>
      <c r="M244" s="31" t="str">
        <f>IFERROR(IF($H243+1&lt;'General Info and Liability'!$B$15+1,'General Info and Liability'!$D$14/'General Info and Liability'!$B$10*$L244,""),"")</f>
        <v/>
      </c>
      <c r="N244" s="32" t="str">
        <f>IFERROR(IF($H243+1&lt;'General Info and Liability'!$B$15+1,'General Info and Liability'!$D$15/'General Info and Liability'!$B$10*$L244,""),"")</f>
        <v/>
      </c>
      <c r="O244" s="8"/>
      <c r="P244" s="8"/>
      <c r="Q244" t="str">
        <f>IFERROR(IF($H244+1&gt;0,'General Info and Liability'!$D$16,""),"")</f>
        <v/>
      </c>
      <c r="R244" t="str">
        <f>IFERROR(IF($H244+1&gt;0,'General Info and Liability'!$B$16,""),"")</f>
        <v/>
      </c>
      <c r="S244" t="str">
        <f>IFERROR(IF($H243+1&lt;'General Info and Liability'!$B$15+1,'General Info and Liability'!$D$17,""),"")</f>
        <v/>
      </c>
      <c r="T244" t="str">
        <f>IFERROR(IF($H243+1&lt;'General Info and Liability'!$B$15+1,'General Info and Liability'!$D$18,""),"")</f>
        <v/>
      </c>
      <c r="U244" t="str">
        <f>IFERROR(IF($H243+1&lt;'General Info and Liability'!$B$15+1,'General Info and Liability'!$D$19,""),"")</f>
        <v/>
      </c>
      <c r="V244" t="str">
        <f>IFERROR(IF($H243+1&lt;'General Info and Liability'!$B$15+1,'General Info and Liability'!$B$14,""),"")</f>
        <v/>
      </c>
      <c r="W244" t="str">
        <f>IFERROR(IF($H243+1&lt;'General Info and Liability'!$B$15+1,'General Info and Liability'!$D$20,""),"")</f>
        <v/>
      </c>
    </row>
    <row r="245" spans="8:23" ht="16.5" customHeight="1">
      <c r="H245" t="str">
        <f>IFERROR(IF(H244+1&lt;'General Info and Liability'!$B$15+1,'Property Schedule'!H244+1,""),"")</f>
        <v/>
      </c>
      <c r="J245" s="8"/>
      <c r="K245" s="7" t="str">
        <f>IFERROR(IF($H244+1&lt;'General Info and Liability'!$B$15+1,'General Info and Liability'!$B$18/'General Info and Liability'!$B$10*$L245,""),"")</f>
        <v/>
      </c>
      <c r="L245" s="8"/>
      <c r="M245" s="31" t="str">
        <f>IFERROR(IF($H244+1&lt;'General Info and Liability'!$B$15+1,'General Info and Liability'!$D$14/'General Info and Liability'!$B$10*$L245,""),"")</f>
        <v/>
      </c>
      <c r="N245" s="32" t="str">
        <f>IFERROR(IF($H244+1&lt;'General Info and Liability'!$B$15+1,'General Info and Liability'!$D$15/'General Info and Liability'!$B$10*$L245,""),"")</f>
        <v/>
      </c>
      <c r="O245" s="8"/>
      <c r="P245" s="8"/>
      <c r="Q245" t="str">
        <f>IFERROR(IF($H245+1&gt;0,'General Info and Liability'!$D$16,""),"")</f>
        <v/>
      </c>
      <c r="R245" t="str">
        <f>IFERROR(IF($H245+1&gt;0,'General Info and Liability'!$B$16,""),"")</f>
        <v/>
      </c>
      <c r="S245" t="str">
        <f>IFERROR(IF($H244+1&lt;'General Info and Liability'!$B$15+1,'General Info and Liability'!$D$17,""),"")</f>
        <v/>
      </c>
      <c r="T245" t="str">
        <f>IFERROR(IF($H244+1&lt;'General Info and Liability'!$B$15+1,'General Info and Liability'!$D$18,""),"")</f>
        <v/>
      </c>
      <c r="U245" t="str">
        <f>IFERROR(IF($H244+1&lt;'General Info and Liability'!$B$15+1,'General Info and Liability'!$D$19,""),"")</f>
        <v/>
      </c>
      <c r="V245" t="str">
        <f>IFERROR(IF($H244+1&lt;'General Info and Liability'!$B$15+1,'General Info and Liability'!$B$14,""),"")</f>
        <v/>
      </c>
      <c r="W245" t="str">
        <f>IFERROR(IF($H244+1&lt;'General Info and Liability'!$B$15+1,'General Info and Liability'!$D$20,""),"")</f>
        <v/>
      </c>
    </row>
    <row r="246" spans="8:23" ht="16.5" customHeight="1">
      <c r="H246" t="str">
        <f>IFERROR(IF(H245+1&lt;'General Info and Liability'!$B$15+1,'Property Schedule'!H245+1,""),"")</f>
        <v/>
      </c>
      <c r="J246" s="8"/>
      <c r="K246" s="7" t="str">
        <f>IFERROR(IF($H245+1&lt;'General Info and Liability'!$B$15+1,'General Info and Liability'!$B$18/'General Info and Liability'!$B$10*$L246,""),"")</f>
        <v/>
      </c>
      <c r="L246" s="8"/>
      <c r="M246" s="31" t="str">
        <f>IFERROR(IF($H245+1&lt;'General Info and Liability'!$B$15+1,'General Info and Liability'!$D$14/'General Info and Liability'!$B$10*$L246,""),"")</f>
        <v/>
      </c>
      <c r="N246" s="32" t="str">
        <f>IFERROR(IF($H245+1&lt;'General Info and Liability'!$B$15+1,'General Info and Liability'!$D$15/'General Info and Liability'!$B$10*$L246,""),"")</f>
        <v/>
      </c>
      <c r="O246" s="8"/>
      <c r="P246" s="8"/>
      <c r="Q246" t="str">
        <f>IFERROR(IF($H246+1&gt;0,'General Info and Liability'!$D$16,""),"")</f>
        <v/>
      </c>
      <c r="R246" t="str">
        <f>IFERROR(IF($H246+1&gt;0,'General Info and Liability'!$B$16,""),"")</f>
        <v/>
      </c>
      <c r="S246" t="str">
        <f>IFERROR(IF($H245+1&lt;'General Info and Liability'!$B$15+1,'General Info and Liability'!$D$17,""),"")</f>
        <v/>
      </c>
      <c r="T246" t="str">
        <f>IFERROR(IF($H245+1&lt;'General Info and Liability'!$B$15+1,'General Info and Liability'!$D$18,""),"")</f>
        <v/>
      </c>
      <c r="U246" t="str">
        <f>IFERROR(IF($H245+1&lt;'General Info and Liability'!$B$15+1,'General Info and Liability'!$D$19,""),"")</f>
        <v/>
      </c>
      <c r="V246" t="str">
        <f>IFERROR(IF($H245+1&lt;'General Info and Liability'!$B$15+1,'General Info and Liability'!$B$14,""),"")</f>
        <v/>
      </c>
      <c r="W246" t="str">
        <f>IFERROR(IF($H245+1&lt;'General Info and Liability'!$B$15+1,'General Info and Liability'!$D$20,""),"")</f>
        <v/>
      </c>
    </row>
    <row r="247" spans="8:23" ht="16.5" customHeight="1">
      <c r="H247" t="str">
        <f>IFERROR(IF(H246+1&lt;'General Info and Liability'!$B$15+1,'Property Schedule'!H246+1,""),"")</f>
        <v/>
      </c>
      <c r="J247" s="8"/>
      <c r="K247" s="7" t="str">
        <f>IFERROR(IF($H246+1&lt;'General Info and Liability'!$B$15+1,'General Info and Liability'!$B$18/'General Info and Liability'!$B$10*$L247,""),"")</f>
        <v/>
      </c>
      <c r="L247" s="8"/>
      <c r="M247" s="31" t="str">
        <f>IFERROR(IF($H246+1&lt;'General Info and Liability'!$B$15+1,'General Info and Liability'!$D$14/'General Info and Liability'!$B$10*$L247,""),"")</f>
        <v/>
      </c>
      <c r="N247" s="32" t="str">
        <f>IFERROR(IF($H246+1&lt;'General Info and Liability'!$B$15+1,'General Info and Liability'!$D$15/'General Info and Liability'!$B$10*$L247,""),"")</f>
        <v/>
      </c>
      <c r="O247" s="8"/>
      <c r="P247" s="8"/>
      <c r="Q247" t="str">
        <f>IFERROR(IF($H247+1&gt;0,'General Info and Liability'!$D$16,""),"")</f>
        <v/>
      </c>
      <c r="R247" t="str">
        <f>IFERROR(IF($H247+1&gt;0,'General Info and Liability'!$B$16,""),"")</f>
        <v/>
      </c>
      <c r="S247" t="str">
        <f>IFERROR(IF($H246+1&lt;'General Info and Liability'!$B$15+1,'General Info and Liability'!$D$17,""),"")</f>
        <v/>
      </c>
      <c r="T247" t="str">
        <f>IFERROR(IF($H246+1&lt;'General Info and Liability'!$B$15+1,'General Info and Liability'!$D$18,""),"")</f>
        <v/>
      </c>
      <c r="U247" t="str">
        <f>IFERROR(IF($H246+1&lt;'General Info and Liability'!$B$15+1,'General Info and Liability'!$D$19,""),"")</f>
        <v/>
      </c>
      <c r="V247" t="str">
        <f>IFERROR(IF($H246+1&lt;'General Info and Liability'!$B$15+1,'General Info and Liability'!$B$14,""),"")</f>
        <v/>
      </c>
      <c r="W247" t="str">
        <f>IFERROR(IF($H246+1&lt;'General Info and Liability'!$B$15+1,'General Info and Liability'!$D$20,""),"")</f>
        <v/>
      </c>
    </row>
    <row r="248" spans="8:23" ht="16.5" customHeight="1">
      <c r="H248" t="str">
        <f>IFERROR(IF(H247+1&lt;'General Info and Liability'!$B$15+1,'Property Schedule'!H247+1,""),"")</f>
        <v/>
      </c>
      <c r="J248" s="8"/>
      <c r="K248" s="7" t="str">
        <f>IFERROR(IF($H247+1&lt;'General Info and Liability'!$B$15+1,'General Info and Liability'!$B$18/'General Info and Liability'!$B$10*$L248,""),"")</f>
        <v/>
      </c>
      <c r="L248" s="8"/>
      <c r="M248" s="31" t="str">
        <f>IFERROR(IF($H247+1&lt;'General Info and Liability'!$B$15+1,'General Info and Liability'!$D$14/'General Info and Liability'!$B$10*$L248,""),"")</f>
        <v/>
      </c>
      <c r="N248" s="32" t="str">
        <f>IFERROR(IF($H247+1&lt;'General Info and Liability'!$B$15+1,'General Info and Liability'!$D$15/'General Info and Liability'!$B$10*$L248,""),"")</f>
        <v/>
      </c>
      <c r="O248" s="8"/>
      <c r="P248" s="8"/>
      <c r="Q248" t="str">
        <f>IFERROR(IF($H248+1&gt;0,'General Info and Liability'!$D$16,""),"")</f>
        <v/>
      </c>
      <c r="R248" t="str">
        <f>IFERROR(IF($H248+1&gt;0,'General Info and Liability'!$B$16,""),"")</f>
        <v/>
      </c>
      <c r="S248" t="str">
        <f>IFERROR(IF($H247+1&lt;'General Info and Liability'!$B$15+1,'General Info and Liability'!$D$17,""),"")</f>
        <v/>
      </c>
      <c r="T248" t="str">
        <f>IFERROR(IF($H247+1&lt;'General Info and Liability'!$B$15+1,'General Info and Liability'!$D$18,""),"")</f>
        <v/>
      </c>
      <c r="U248" t="str">
        <f>IFERROR(IF($H247+1&lt;'General Info and Liability'!$B$15+1,'General Info and Liability'!$D$19,""),"")</f>
        <v/>
      </c>
      <c r="V248" t="str">
        <f>IFERROR(IF($H247+1&lt;'General Info and Liability'!$B$15+1,'General Info and Liability'!$B$14,""),"")</f>
        <v/>
      </c>
      <c r="W248" t="str">
        <f>IFERROR(IF($H247+1&lt;'General Info and Liability'!$B$15+1,'General Info and Liability'!$D$20,""),"")</f>
        <v/>
      </c>
    </row>
    <row r="249" spans="8:23" ht="16.5" customHeight="1">
      <c r="H249" t="str">
        <f>IFERROR(IF(H248+1&lt;'General Info and Liability'!$B$15+1,'Property Schedule'!H248+1,""),"")</f>
        <v/>
      </c>
      <c r="J249" s="8"/>
      <c r="K249" s="7" t="str">
        <f>IFERROR(IF($H248+1&lt;'General Info and Liability'!$B$15+1,'General Info and Liability'!$B$18/'General Info and Liability'!$B$10*$L249,""),"")</f>
        <v/>
      </c>
      <c r="L249" s="8"/>
      <c r="M249" s="31" t="str">
        <f>IFERROR(IF($H248+1&lt;'General Info and Liability'!$B$15+1,'General Info and Liability'!$D$14/'General Info and Liability'!$B$10*$L249,""),"")</f>
        <v/>
      </c>
      <c r="N249" s="32" t="str">
        <f>IFERROR(IF($H248+1&lt;'General Info and Liability'!$B$15+1,'General Info and Liability'!$D$15/'General Info and Liability'!$B$10*$L249,""),"")</f>
        <v/>
      </c>
      <c r="O249" s="8"/>
      <c r="P249" s="8"/>
      <c r="Q249" t="str">
        <f>IFERROR(IF($H249+1&gt;0,'General Info and Liability'!$D$16,""),"")</f>
        <v/>
      </c>
      <c r="R249" t="str">
        <f>IFERROR(IF($H249+1&gt;0,'General Info and Liability'!$B$16,""),"")</f>
        <v/>
      </c>
      <c r="S249" t="str">
        <f>IFERROR(IF($H248+1&lt;'General Info and Liability'!$B$15+1,'General Info and Liability'!$D$17,""),"")</f>
        <v/>
      </c>
      <c r="T249" t="str">
        <f>IFERROR(IF($H248+1&lt;'General Info and Liability'!$B$15+1,'General Info and Liability'!$D$18,""),"")</f>
        <v/>
      </c>
      <c r="U249" t="str">
        <f>IFERROR(IF($H248+1&lt;'General Info and Liability'!$B$15+1,'General Info and Liability'!$D$19,""),"")</f>
        <v/>
      </c>
      <c r="V249" t="str">
        <f>IFERROR(IF($H248+1&lt;'General Info and Liability'!$B$15+1,'General Info and Liability'!$B$14,""),"")</f>
        <v/>
      </c>
      <c r="W249" t="str">
        <f>IFERROR(IF($H248+1&lt;'General Info and Liability'!$B$15+1,'General Info and Liability'!$D$20,""),"")</f>
        <v/>
      </c>
    </row>
    <row r="250" spans="8:23" ht="16.5" customHeight="1">
      <c r="H250" t="str">
        <f>IFERROR(IF(H249+1&lt;'General Info and Liability'!$B$15+1,'Property Schedule'!H249+1,""),"")</f>
        <v/>
      </c>
      <c r="J250" s="8"/>
      <c r="K250" s="7" t="str">
        <f>IFERROR(IF($H249+1&lt;'General Info and Liability'!$B$15+1,'General Info and Liability'!$B$18/'General Info and Liability'!$B$10*$L250,""),"")</f>
        <v/>
      </c>
      <c r="L250" s="8"/>
      <c r="M250" s="31" t="str">
        <f>IFERROR(IF($H249+1&lt;'General Info and Liability'!$B$15+1,'General Info and Liability'!$D$14/'General Info and Liability'!$B$10*$L250,""),"")</f>
        <v/>
      </c>
      <c r="N250" s="32" t="str">
        <f>IFERROR(IF($H249+1&lt;'General Info and Liability'!$B$15+1,'General Info and Liability'!$D$15/'General Info and Liability'!$B$10*$L250,""),"")</f>
        <v/>
      </c>
      <c r="O250" s="8"/>
      <c r="P250" s="8"/>
      <c r="Q250" t="str">
        <f>IFERROR(IF($H250+1&gt;0,'General Info and Liability'!$D$16,""),"")</f>
        <v/>
      </c>
      <c r="R250" t="str">
        <f>IFERROR(IF($H250+1&gt;0,'General Info and Liability'!$B$16,""),"")</f>
        <v/>
      </c>
      <c r="S250" t="str">
        <f>IFERROR(IF($H249+1&lt;'General Info and Liability'!$B$15+1,'General Info and Liability'!$D$17,""),"")</f>
        <v/>
      </c>
      <c r="T250" t="str">
        <f>IFERROR(IF($H249+1&lt;'General Info and Liability'!$B$15+1,'General Info and Liability'!$D$18,""),"")</f>
        <v/>
      </c>
      <c r="U250" t="str">
        <f>IFERROR(IF($H249+1&lt;'General Info and Liability'!$B$15+1,'General Info and Liability'!$D$19,""),"")</f>
        <v/>
      </c>
      <c r="V250" t="str">
        <f>IFERROR(IF($H249+1&lt;'General Info and Liability'!$B$15+1,'General Info and Liability'!$B$14,""),"")</f>
        <v/>
      </c>
      <c r="W250" t="str">
        <f>IFERROR(IF($H249+1&lt;'General Info and Liability'!$B$15+1,'General Info and Liability'!$D$20,""),"")</f>
        <v/>
      </c>
    </row>
    <row r="251" spans="8:23" ht="16.5" customHeight="1">
      <c r="H251" t="str">
        <f>IFERROR(IF(H250+1&lt;'General Info and Liability'!$B$15+1,'Property Schedule'!H250+1,""),"")</f>
        <v/>
      </c>
      <c r="J251" s="8"/>
      <c r="K251" s="7" t="str">
        <f>IFERROR(IF($H250+1&lt;'General Info and Liability'!$B$15+1,'General Info and Liability'!$B$18/'General Info and Liability'!$B$10*$L251,""),"")</f>
        <v/>
      </c>
      <c r="L251" s="8"/>
      <c r="M251" s="31" t="str">
        <f>IFERROR(IF($H250+1&lt;'General Info and Liability'!$B$15+1,'General Info and Liability'!$D$14/'General Info and Liability'!$B$10*$L251,""),"")</f>
        <v/>
      </c>
      <c r="N251" s="32" t="str">
        <f>IFERROR(IF($H250+1&lt;'General Info and Liability'!$B$15+1,'General Info and Liability'!$D$15/'General Info and Liability'!$B$10*$L251,""),"")</f>
        <v/>
      </c>
      <c r="O251" s="8"/>
      <c r="P251" s="8"/>
      <c r="Q251" t="str">
        <f>IFERROR(IF($H251+1&gt;0,'General Info and Liability'!$D$16,""),"")</f>
        <v/>
      </c>
      <c r="R251" t="str">
        <f>IFERROR(IF($H251+1&gt;0,'General Info and Liability'!$B$16,""),"")</f>
        <v/>
      </c>
      <c r="S251" t="str">
        <f>IFERROR(IF($H250+1&lt;'General Info and Liability'!$B$15+1,'General Info and Liability'!$D$17,""),"")</f>
        <v/>
      </c>
      <c r="T251" t="str">
        <f>IFERROR(IF($H250+1&lt;'General Info and Liability'!$B$15+1,'General Info and Liability'!$D$18,""),"")</f>
        <v/>
      </c>
      <c r="U251" t="str">
        <f>IFERROR(IF($H250+1&lt;'General Info and Liability'!$B$15+1,'General Info and Liability'!$D$19,""),"")</f>
        <v/>
      </c>
      <c r="V251" t="str">
        <f>IFERROR(IF($H250+1&lt;'General Info and Liability'!$B$15+1,'General Info and Liability'!$B$14,""),"")</f>
        <v/>
      </c>
      <c r="W251" t="str">
        <f>IFERROR(IF($H250+1&lt;'General Info and Liability'!$B$15+1,'General Info and Liability'!$D$20,""),"")</f>
        <v/>
      </c>
    </row>
    <row r="252" spans="8:23" ht="16.5" customHeight="1">
      <c r="H252" t="str">
        <f>IFERROR(IF(H251+1&lt;'General Info and Liability'!$B$15+1,'Property Schedule'!H251+1,""),"")</f>
        <v/>
      </c>
      <c r="J252" s="8"/>
      <c r="K252" s="7" t="str">
        <f>IFERROR(IF($H251+1&lt;'General Info and Liability'!$B$15+1,'General Info and Liability'!$B$18/'General Info and Liability'!$B$10*$L252,""),"")</f>
        <v/>
      </c>
      <c r="L252" s="8"/>
      <c r="M252" s="31" t="str">
        <f>IFERROR(IF($H251+1&lt;'General Info and Liability'!$B$15+1,'General Info and Liability'!$D$14/'General Info and Liability'!$B$10*$L252,""),"")</f>
        <v/>
      </c>
      <c r="N252" s="32" t="str">
        <f>IFERROR(IF($H251+1&lt;'General Info and Liability'!$B$15+1,'General Info and Liability'!$D$15/'General Info and Liability'!$B$10*$L252,""),"")</f>
        <v/>
      </c>
      <c r="O252" s="8"/>
      <c r="P252" s="8"/>
      <c r="Q252" t="str">
        <f>IFERROR(IF($H252+1&gt;0,'General Info and Liability'!$D$16,""),"")</f>
        <v/>
      </c>
      <c r="R252" t="str">
        <f>IFERROR(IF($H252+1&gt;0,'General Info and Liability'!$B$16,""),"")</f>
        <v/>
      </c>
      <c r="S252" t="str">
        <f>IFERROR(IF($H251+1&lt;'General Info and Liability'!$B$15+1,'General Info and Liability'!$D$17,""),"")</f>
        <v/>
      </c>
      <c r="T252" t="str">
        <f>IFERROR(IF($H251+1&lt;'General Info and Liability'!$B$15+1,'General Info and Liability'!$D$18,""),"")</f>
        <v/>
      </c>
      <c r="U252" t="str">
        <f>IFERROR(IF($H251+1&lt;'General Info and Liability'!$B$15+1,'General Info and Liability'!$D$19,""),"")</f>
        <v/>
      </c>
      <c r="V252" t="str">
        <f>IFERROR(IF($H251+1&lt;'General Info and Liability'!$B$15+1,'General Info and Liability'!$B$14,""),"")</f>
        <v/>
      </c>
      <c r="W252" t="str">
        <f>IFERROR(IF($H251+1&lt;'General Info and Liability'!$B$15+1,'General Info and Liability'!$D$20,""),"")</f>
        <v/>
      </c>
    </row>
    <row r="253" spans="8:23" ht="16.5" customHeight="1">
      <c r="H253" t="str">
        <f>IFERROR(IF(H252+1&lt;'General Info and Liability'!$B$15+1,'Property Schedule'!H252+1,""),"")</f>
        <v/>
      </c>
      <c r="J253" s="8"/>
      <c r="K253" s="7" t="str">
        <f>IFERROR(IF($H252+1&lt;'General Info and Liability'!$B$15+1,'General Info and Liability'!$B$18/'General Info and Liability'!$B$10*$L253,""),"")</f>
        <v/>
      </c>
      <c r="L253" s="8"/>
      <c r="M253" s="31" t="str">
        <f>IFERROR(IF($H252+1&lt;'General Info and Liability'!$B$15+1,'General Info and Liability'!$D$14/'General Info and Liability'!$B$10*$L253,""),"")</f>
        <v/>
      </c>
      <c r="N253" s="32" t="str">
        <f>IFERROR(IF($H252+1&lt;'General Info and Liability'!$B$15+1,'General Info and Liability'!$D$15/'General Info and Liability'!$B$10*$L253,""),"")</f>
        <v/>
      </c>
      <c r="O253" s="8"/>
      <c r="P253" s="8"/>
      <c r="Q253" t="str">
        <f>IFERROR(IF($H253+1&gt;0,'General Info and Liability'!$D$16,""),"")</f>
        <v/>
      </c>
      <c r="R253" t="str">
        <f>IFERROR(IF($H253+1&gt;0,'General Info and Liability'!$B$16,""),"")</f>
        <v/>
      </c>
      <c r="S253" t="str">
        <f>IFERROR(IF($H252+1&lt;'General Info and Liability'!$B$15+1,'General Info and Liability'!$D$17,""),"")</f>
        <v/>
      </c>
      <c r="T253" t="str">
        <f>IFERROR(IF($H252+1&lt;'General Info and Liability'!$B$15+1,'General Info and Liability'!$D$18,""),"")</f>
        <v/>
      </c>
      <c r="U253" t="str">
        <f>IFERROR(IF($H252+1&lt;'General Info and Liability'!$B$15+1,'General Info and Liability'!$D$19,""),"")</f>
        <v/>
      </c>
      <c r="V253" t="str">
        <f>IFERROR(IF($H252+1&lt;'General Info and Liability'!$B$15+1,'General Info and Liability'!$B$14,""),"")</f>
        <v/>
      </c>
      <c r="W253" t="str">
        <f>IFERROR(IF($H252+1&lt;'General Info and Liability'!$B$15+1,'General Info and Liability'!$D$20,""),"")</f>
        <v/>
      </c>
    </row>
    <row r="254" spans="8:23" ht="16.5" customHeight="1">
      <c r="H254" t="str">
        <f>IFERROR(IF(H253+1&lt;'General Info and Liability'!$B$15+1,'Property Schedule'!H253+1,""),"")</f>
        <v/>
      </c>
      <c r="J254" s="8"/>
      <c r="K254" s="7" t="str">
        <f>IFERROR(IF($H253+1&lt;'General Info and Liability'!$B$15+1,'General Info and Liability'!$B$18/'General Info and Liability'!$B$10*$L254,""),"")</f>
        <v/>
      </c>
      <c r="L254" s="8"/>
      <c r="M254" s="31" t="str">
        <f>IFERROR(IF($H253+1&lt;'General Info and Liability'!$B$15+1,'General Info and Liability'!$D$14/'General Info and Liability'!$B$10*$L254,""),"")</f>
        <v/>
      </c>
      <c r="N254" s="32" t="str">
        <f>IFERROR(IF($H253+1&lt;'General Info and Liability'!$B$15+1,'General Info and Liability'!$D$15/'General Info and Liability'!$B$10*$L254,""),"")</f>
        <v/>
      </c>
      <c r="O254" s="8"/>
      <c r="P254" s="8"/>
      <c r="Q254" t="str">
        <f>IFERROR(IF($H254+1&gt;0,'General Info and Liability'!$D$16,""),"")</f>
        <v/>
      </c>
      <c r="R254" t="str">
        <f>IFERROR(IF($H254+1&gt;0,'General Info and Liability'!$B$16,""),"")</f>
        <v/>
      </c>
      <c r="S254" t="str">
        <f>IFERROR(IF($H253+1&lt;'General Info and Liability'!$B$15+1,'General Info and Liability'!$D$17,""),"")</f>
        <v/>
      </c>
      <c r="T254" t="str">
        <f>IFERROR(IF($H253+1&lt;'General Info and Liability'!$B$15+1,'General Info and Liability'!$D$18,""),"")</f>
        <v/>
      </c>
      <c r="U254" t="str">
        <f>IFERROR(IF($H253+1&lt;'General Info and Liability'!$B$15+1,'General Info and Liability'!$D$19,""),"")</f>
        <v/>
      </c>
      <c r="V254" t="str">
        <f>IFERROR(IF($H253+1&lt;'General Info and Liability'!$B$15+1,'General Info and Liability'!$B$14,""),"")</f>
        <v/>
      </c>
      <c r="W254" t="str">
        <f>IFERROR(IF($H253+1&lt;'General Info and Liability'!$B$15+1,'General Info and Liability'!$D$20,""),"")</f>
        <v/>
      </c>
    </row>
    <row r="255" spans="8:23" ht="16.5" customHeight="1">
      <c r="H255" t="str">
        <f>IFERROR(IF(H254+1&lt;'General Info and Liability'!$B$15+1,'Property Schedule'!H254+1,""),"")</f>
        <v/>
      </c>
      <c r="J255" s="8"/>
      <c r="K255" s="7" t="str">
        <f>IFERROR(IF($H254+1&lt;'General Info and Liability'!$B$15+1,'General Info and Liability'!$B$18/'General Info and Liability'!$B$10*$L255,""),"")</f>
        <v/>
      </c>
      <c r="L255" s="8"/>
      <c r="M255" s="31" t="str">
        <f>IFERROR(IF($H254+1&lt;'General Info and Liability'!$B$15+1,'General Info and Liability'!$D$14/'General Info and Liability'!$B$10*$L255,""),"")</f>
        <v/>
      </c>
      <c r="N255" s="32" t="str">
        <f>IFERROR(IF($H254+1&lt;'General Info and Liability'!$B$15+1,'General Info and Liability'!$D$15/'General Info and Liability'!$B$10*$L255,""),"")</f>
        <v/>
      </c>
      <c r="O255" s="8"/>
      <c r="P255" s="8"/>
      <c r="Q255" t="str">
        <f>IFERROR(IF($H255+1&gt;0,'General Info and Liability'!$D$16,""),"")</f>
        <v/>
      </c>
      <c r="R255" t="str">
        <f>IFERROR(IF($H255+1&gt;0,'General Info and Liability'!$B$16,""),"")</f>
        <v/>
      </c>
      <c r="S255" t="str">
        <f>IFERROR(IF($H254+1&lt;'General Info and Liability'!$B$15+1,'General Info and Liability'!$D$17,""),"")</f>
        <v/>
      </c>
      <c r="T255" t="str">
        <f>IFERROR(IF($H254+1&lt;'General Info and Liability'!$B$15+1,'General Info and Liability'!$D$18,""),"")</f>
        <v/>
      </c>
      <c r="U255" t="str">
        <f>IFERROR(IF($H254+1&lt;'General Info and Liability'!$B$15+1,'General Info and Liability'!$D$19,""),"")</f>
        <v/>
      </c>
      <c r="V255" t="str">
        <f>IFERROR(IF($H254+1&lt;'General Info and Liability'!$B$15+1,'General Info and Liability'!$B$14,""),"")</f>
        <v/>
      </c>
      <c r="W255" t="str">
        <f>IFERROR(IF($H254+1&lt;'General Info and Liability'!$B$15+1,'General Info and Liability'!$D$20,""),"")</f>
        <v/>
      </c>
    </row>
    <row r="256" spans="8:23" ht="16.5" customHeight="1">
      <c r="H256" t="str">
        <f>IFERROR(IF(H255+1&lt;'General Info and Liability'!$B$15+1,'Property Schedule'!H255+1,""),"")</f>
        <v/>
      </c>
      <c r="J256" s="8"/>
      <c r="K256" s="7" t="str">
        <f>IFERROR(IF($H255+1&lt;'General Info and Liability'!$B$15+1,'General Info and Liability'!$B$18/'General Info and Liability'!$B$10*$L256,""),"")</f>
        <v/>
      </c>
      <c r="L256" s="8"/>
      <c r="M256" s="31" t="str">
        <f>IFERROR(IF($H255+1&lt;'General Info and Liability'!$B$15+1,'General Info and Liability'!$D$14/'General Info and Liability'!$B$10*$L256,""),"")</f>
        <v/>
      </c>
      <c r="N256" s="32" t="str">
        <f>IFERROR(IF($H255+1&lt;'General Info and Liability'!$B$15+1,'General Info and Liability'!$D$15/'General Info and Liability'!$B$10*$L256,""),"")</f>
        <v/>
      </c>
      <c r="O256" s="8"/>
      <c r="P256" s="8"/>
      <c r="Q256" t="str">
        <f>IFERROR(IF($H256+1&gt;0,'General Info and Liability'!$D$16,""),"")</f>
        <v/>
      </c>
      <c r="R256" t="str">
        <f>IFERROR(IF($H256+1&gt;0,'General Info and Liability'!$B$16,""),"")</f>
        <v/>
      </c>
      <c r="S256" t="str">
        <f>IFERROR(IF($H255+1&lt;'General Info and Liability'!$B$15+1,'General Info and Liability'!$D$17,""),"")</f>
        <v/>
      </c>
      <c r="T256" t="str">
        <f>IFERROR(IF($H255+1&lt;'General Info and Liability'!$B$15+1,'General Info and Liability'!$D$18,""),"")</f>
        <v/>
      </c>
      <c r="U256" t="str">
        <f>IFERROR(IF($H255+1&lt;'General Info and Liability'!$B$15+1,'General Info and Liability'!$D$19,""),"")</f>
        <v/>
      </c>
      <c r="V256" t="str">
        <f>IFERROR(IF($H255+1&lt;'General Info and Liability'!$B$15+1,'General Info and Liability'!$B$14,""),"")</f>
        <v/>
      </c>
      <c r="W256" t="str">
        <f>IFERROR(IF($H255+1&lt;'General Info and Liability'!$B$15+1,'General Info and Liability'!$D$20,""),"")</f>
        <v/>
      </c>
    </row>
    <row r="257" spans="8:23" ht="16.5" customHeight="1">
      <c r="H257" t="str">
        <f>IFERROR(IF(H256+1&lt;'General Info and Liability'!$B$15+1,'Property Schedule'!H256+1,""),"")</f>
        <v/>
      </c>
      <c r="J257" s="8"/>
      <c r="K257" s="7" t="str">
        <f>IFERROR(IF($H256+1&lt;'General Info and Liability'!$B$15+1,'General Info and Liability'!$B$18/'General Info and Liability'!$B$10*$L257,""),"")</f>
        <v/>
      </c>
      <c r="L257" s="8"/>
      <c r="M257" s="31" t="str">
        <f>IFERROR(IF($H256+1&lt;'General Info and Liability'!$B$15+1,'General Info and Liability'!$D$14/'General Info and Liability'!$B$10*$L257,""),"")</f>
        <v/>
      </c>
      <c r="N257" s="32" t="str">
        <f>IFERROR(IF($H256+1&lt;'General Info and Liability'!$B$15+1,'General Info and Liability'!$D$15/'General Info and Liability'!$B$10*$L257,""),"")</f>
        <v/>
      </c>
      <c r="O257" s="8"/>
      <c r="P257" s="8"/>
      <c r="Q257" t="str">
        <f>IFERROR(IF($H257+1&gt;0,'General Info and Liability'!$D$16,""),"")</f>
        <v/>
      </c>
      <c r="R257" t="str">
        <f>IFERROR(IF($H257+1&gt;0,'General Info and Liability'!$B$16,""),"")</f>
        <v/>
      </c>
      <c r="S257" t="str">
        <f>IFERROR(IF($H256+1&lt;'General Info and Liability'!$B$15+1,'General Info and Liability'!$D$17,""),"")</f>
        <v/>
      </c>
      <c r="T257" t="str">
        <f>IFERROR(IF($H256+1&lt;'General Info and Liability'!$B$15+1,'General Info and Liability'!$D$18,""),"")</f>
        <v/>
      </c>
      <c r="U257" t="str">
        <f>IFERROR(IF($H256+1&lt;'General Info and Liability'!$B$15+1,'General Info and Liability'!$D$19,""),"")</f>
        <v/>
      </c>
      <c r="V257" t="str">
        <f>IFERROR(IF($H256+1&lt;'General Info and Liability'!$B$15+1,'General Info and Liability'!$B$14,""),"")</f>
        <v/>
      </c>
      <c r="W257" t="str">
        <f>IFERROR(IF($H256+1&lt;'General Info and Liability'!$B$15+1,'General Info and Liability'!$D$20,""),"")</f>
        <v/>
      </c>
    </row>
    <row r="258" spans="8:23" ht="16.5" customHeight="1">
      <c r="H258" t="str">
        <f>IFERROR(IF(H257+1&lt;'General Info and Liability'!$B$15+1,'Property Schedule'!H257+1,""),"")</f>
        <v/>
      </c>
      <c r="J258" s="8"/>
      <c r="K258" s="7" t="str">
        <f>IFERROR(IF($H257+1&lt;'General Info and Liability'!$B$15+1,'General Info and Liability'!$B$18/'General Info and Liability'!$B$10*$L258,""),"")</f>
        <v/>
      </c>
      <c r="L258" s="8"/>
      <c r="M258" s="31" t="str">
        <f>IFERROR(IF($H257+1&lt;'General Info and Liability'!$B$15+1,'General Info and Liability'!$D$14/'General Info and Liability'!$B$10*$L258,""),"")</f>
        <v/>
      </c>
      <c r="N258" s="32" t="str">
        <f>IFERROR(IF($H257+1&lt;'General Info and Liability'!$B$15+1,'General Info and Liability'!$D$15/'General Info and Liability'!$B$10*$L258,""),"")</f>
        <v/>
      </c>
      <c r="O258" s="8"/>
      <c r="P258" s="8"/>
      <c r="Q258" t="str">
        <f>IFERROR(IF($H258+1&gt;0,'General Info and Liability'!$D$16,""),"")</f>
        <v/>
      </c>
      <c r="R258" t="str">
        <f>IFERROR(IF($H258+1&gt;0,'General Info and Liability'!$B$16,""),"")</f>
        <v/>
      </c>
      <c r="S258" t="str">
        <f>IFERROR(IF($H257+1&lt;'General Info and Liability'!$B$15+1,'General Info and Liability'!$D$17,""),"")</f>
        <v/>
      </c>
      <c r="T258" t="str">
        <f>IFERROR(IF($H257+1&lt;'General Info and Liability'!$B$15+1,'General Info and Liability'!$D$18,""),"")</f>
        <v/>
      </c>
      <c r="U258" t="str">
        <f>IFERROR(IF($H257+1&lt;'General Info and Liability'!$B$15+1,'General Info and Liability'!$D$19,""),"")</f>
        <v/>
      </c>
      <c r="V258" t="str">
        <f>IFERROR(IF($H257+1&lt;'General Info and Liability'!$B$15+1,'General Info and Liability'!$B$14,""),"")</f>
        <v/>
      </c>
      <c r="W258" t="str">
        <f>IFERROR(IF($H257+1&lt;'General Info and Liability'!$B$15+1,'General Info and Liability'!$D$20,""),"")</f>
        <v/>
      </c>
    </row>
    <row r="259" spans="8:23" ht="16.5" customHeight="1">
      <c r="H259" t="str">
        <f>IFERROR(IF(H258+1&lt;'General Info and Liability'!$B$15+1,'Property Schedule'!H258+1,""),"")</f>
        <v/>
      </c>
      <c r="J259" s="8"/>
      <c r="K259" s="7" t="str">
        <f>IFERROR(IF($H258+1&lt;'General Info and Liability'!$B$15+1,'General Info and Liability'!$B$18/'General Info and Liability'!$B$10*$L259,""),"")</f>
        <v/>
      </c>
      <c r="L259" s="8"/>
      <c r="M259" s="31" t="str">
        <f>IFERROR(IF($H258+1&lt;'General Info and Liability'!$B$15+1,'General Info and Liability'!$D$14/'General Info and Liability'!$B$10*$L259,""),"")</f>
        <v/>
      </c>
      <c r="N259" s="32" t="str">
        <f>IFERROR(IF($H258+1&lt;'General Info and Liability'!$B$15+1,'General Info and Liability'!$D$15/'General Info and Liability'!$B$10*$L259,""),"")</f>
        <v/>
      </c>
      <c r="O259" s="8"/>
      <c r="P259" s="8"/>
      <c r="Q259" t="str">
        <f>IFERROR(IF($H259+1&gt;0,'General Info and Liability'!$D$16,""),"")</f>
        <v/>
      </c>
      <c r="R259" t="str">
        <f>IFERROR(IF($H259+1&gt;0,'General Info and Liability'!$B$16,""),"")</f>
        <v/>
      </c>
      <c r="S259" t="str">
        <f>IFERROR(IF($H258+1&lt;'General Info and Liability'!$B$15+1,'General Info and Liability'!$D$17,""),"")</f>
        <v/>
      </c>
      <c r="T259" t="str">
        <f>IFERROR(IF($H258+1&lt;'General Info and Liability'!$B$15+1,'General Info and Liability'!$D$18,""),"")</f>
        <v/>
      </c>
      <c r="U259" t="str">
        <f>IFERROR(IF($H258+1&lt;'General Info and Liability'!$B$15+1,'General Info and Liability'!$D$19,""),"")</f>
        <v/>
      </c>
      <c r="V259" t="str">
        <f>IFERROR(IF($H258+1&lt;'General Info and Liability'!$B$15+1,'General Info and Liability'!$B$14,""),"")</f>
        <v/>
      </c>
      <c r="W259" t="str">
        <f>IFERROR(IF($H258+1&lt;'General Info and Liability'!$B$15+1,'General Info and Liability'!$D$20,""),"")</f>
        <v/>
      </c>
    </row>
    <row r="260" spans="8:23" ht="16.5" customHeight="1">
      <c r="H260" t="str">
        <f>IFERROR(IF(H259+1&lt;'General Info and Liability'!$B$15+1,'Property Schedule'!H259+1,""),"")</f>
        <v/>
      </c>
      <c r="J260" s="8"/>
      <c r="K260" s="7" t="str">
        <f>IFERROR(IF($H259+1&lt;'General Info and Liability'!$B$15+1,'General Info and Liability'!$B$18/'General Info and Liability'!$B$10*$L260,""),"")</f>
        <v/>
      </c>
      <c r="L260" s="8"/>
      <c r="M260" s="31" t="str">
        <f>IFERROR(IF($H259+1&lt;'General Info and Liability'!$B$15+1,'General Info and Liability'!$D$14/'General Info and Liability'!$B$10*$L260,""),"")</f>
        <v/>
      </c>
      <c r="N260" s="32" t="str">
        <f>IFERROR(IF($H259+1&lt;'General Info and Liability'!$B$15+1,'General Info and Liability'!$D$15/'General Info and Liability'!$B$10*$L260,""),"")</f>
        <v/>
      </c>
      <c r="O260" s="8"/>
      <c r="P260" s="8"/>
      <c r="Q260" t="str">
        <f>IFERROR(IF($H260+1&gt;0,'General Info and Liability'!$D$16,""),"")</f>
        <v/>
      </c>
      <c r="R260" t="str">
        <f>IFERROR(IF($H260+1&gt;0,'General Info and Liability'!$B$16,""),"")</f>
        <v/>
      </c>
      <c r="S260" t="str">
        <f>IFERROR(IF($H259+1&lt;'General Info and Liability'!$B$15+1,'General Info and Liability'!$D$17,""),"")</f>
        <v/>
      </c>
      <c r="T260" t="str">
        <f>IFERROR(IF($H259+1&lt;'General Info and Liability'!$B$15+1,'General Info and Liability'!$D$18,""),"")</f>
        <v/>
      </c>
      <c r="U260" t="str">
        <f>IFERROR(IF($H259+1&lt;'General Info and Liability'!$B$15+1,'General Info and Liability'!$D$19,""),"")</f>
        <v/>
      </c>
      <c r="V260" t="str">
        <f>IFERROR(IF($H259+1&lt;'General Info and Liability'!$B$15+1,'General Info and Liability'!$B$14,""),"")</f>
        <v/>
      </c>
      <c r="W260" t="str">
        <f>IFERROR(IF($H259+1&lt;'General Info and Liability'!$B$15+1,'General Info and Liability'!$D$20,""),"")</f>
        <v/>
      </c>
    </row>
    <row r="261" spans="8:23" ht="16.5" customHeight="1">
      <c r="H261" t="str">
        <f>IFERROR(IF(H260+1&lt;'General Info and Liability'!$B$15+1,'Property Schedule'!H260+1,""),"")</f>
        <v/>
      </c>
      <c r="J261" s="8"/>
      <c r="K261" s="7" t="str">
        <f>IFERROR(IF($H260+1&lt;'General Info and Liability'!$B$15+1,'General Info and Liability'!$B$18/'General Info and Liability'!$B$10*$L261,""),"")</f>
        <v/>
      </c>
      <c r="L261" s="8"/>
      <c r="M261" s="31" t="str">
        <f>IFERROR(IF($H260+1&lt;'General Info and Liability'!$B$15+1,'General Info and Liability'!$D$14/'General Info and Liability'!$B$10*$L261,""),"")</f>
        <v/>
      </c>
      <c r="N261" s="32" t="str">
        <f>IFERROR(IF($H260+1&lt;'General Info and Liability'!$B$15+1,'General Info and Liability'!$D$15/'General Info and Liability'!$B$10*$L261,""),"")</f>
        <v/>
      </c>
      <c r="O261" s="8"/>
      <c r="P261" s="8"/>
      <c r="Q261" t="str">
        <f>IFERROR(IF($H261+1&gt;0,'General Info and Liability'!$D$16,""),"")</f>
        <v/>
      </c>
      <c r="R261" t="str">
        <f>IFERROR(IF($H261+1&gt;0,'General Info and Liability'!$B$16,""),"")</f>
        <v/>
      </c>
      <c r="S261" t="str">
        <f>IFERROR(IF($H260+1&lt;'General Info and Liability'!$B$15+1,'General Info and Liability'!$D$17,""),"")</f>
        <v/>
      </c>
      <c r="T261" t="str">
        <f>IFERROR(IF($H260+1&lt;'General Info and Liability'!$B$15+1,'General Info and Liability'!$D$18,""),"")</f>
        <v/>
      </c>
      <c r="U261" t="str">
        <f>IFERROR(IF($H260+1&lt;'General Info and Liability'!$B$15+1,'General Info and Liability'!$D$19,""),"")</f>
        <v/>
      </c>
      <c r="V261" t="str">
        <f>IFERROR(IF($H260+1&lt;'General Info and Liability'!$B$15+1,'General Info and Liability'!$B$14,""),"")</f>
        <v/>
      </c>
      <c r="W261" t="str">
        <f>IFERROR(IF($H260+1&lt;'General Info and Liability'!$B$15+1,'General Info and Liability'!$D$20,""),"")</f>
        <v/>
      </c>
    </row>
    <row r="262" spans="8:23" ht="16.5" customHeight="1">
      <c r="H262" t="str">
        <f>IFERROR(IF(H261+1&lt;'General Info and Liability'!$B$15+1,'Property Schedule'!H261+1,""),"")</f>
        <v/>
      </c>
      <c r="J262" s="8"/>
      <c r="K262" s="7" t="str">
        <f>IFERROR(IF($H261+1&lt;'General Info and Liability'!$B$15+1,'General Info and Liability'!$B$18/'General Info and Liability'!$B$10*$L262,""),"")</f>
        <v/>
      </c>
      <c r="L262" s="8"/>
      <c r="M262" s="31" t="str">
        <f>IFERROR(IF($H261+1&lt;'General Info and Liability'!$B$15+1,'General Info and Liability'!$D$14/'General Info and Liability'!$B$10*$L262,""),"")</f>
        <v/>
      </c>
      <c r="N262" s="32" t="str">
        <f>IFERROR(IF($H261+1&lt;'General Info and Liability'!$B$15+1,'General Info and Liability'!$D$15/'General Info and Liability'!$B$10*$L262,""),"")</f>
        <v/>
      </c>
      <c r="O262" s="8"/>
      <c r="P262" s="8"/>
      <c r="Q262" t="str">
        <f>IFERROR(IF($H262+1&gt;0,'General Info and Liability'!$D$16,""),"")</f>
        <v/>
      </c>
      <c r="R262" t="str">
        <f>IFERROR(IF($H262+1&gt;0,'General Info and Liability'!$B$16,""),"")</f>
        <v/>
      </c>
      <c r="S262" t="str">
        <f>IFERROR(IF($H261+1&lt;'General Info and Liability'!$B$15+1,'General Info and Liability'!$D$17,""),"")</f>
        <v/>
      </c>
      <c r="T262" t="str">
        <f>IFERROR(IF($H261+1&lt;'General Info and Liability'!$B$15+1,'General Info and Liability'!$D$18,""),"")</f>
        <v/>
      </c>
      <c r="U262" t="str">
        <f>IFERROR(IF($H261+1&lt;'General Info and Liability'!$B$15+1,'General Info and Liability'!$D$19,""),"")</f>
        <v/>
      </c>
      <c r="V262" t="str">
        <f>IFERROR(IF($H261+1&lt;'General Info and Liability'!$B$15+1,'General Info and Liability'!$B$14,""),"")</f>
        <v/>
      </c>
      <c r="W262" t="str">
        <f>IFERROR(IF($H261+1&lt;'General Info and Liability'!$B$15+1,'General Info and Liability'!$D$20,""),"")</f>
        <v/>
      </c>
    </row>
    <row r="263" spans="8:23" ht="16.5" customHeight="1">
      <c r="H263" t="str">
        <f>IFERROR(IF(H262+1&lt;'General Info and Liability'!$B$15+1,'Property Schedule'!H262+1,""),"")</f>
        <v/>
      </c>
      <c r="J263" s="8"/>
      <c r="K263" s="7" t="str">
        <f>IFERROR(IF($H262+1&lt;'General Info and Liability'!$B$15+1,'General Info and Liability'!$B$18/'General Info and Liability'!$B$10*$L263,""),"")</f>
        <v/>
      </c>
      <c r="L263" s="8"/>
      <c r="M263" s="31" t="str">
        <f>IFERROR(IF($H262+1&lt;'General Info and Liability'!$B$15+1,'General Info and Liability'!$D$14/'General Info and Liability'!$B$10*$L263,""),"")</f>
        <v/>
      </c>
      <c r="N263" s="32" t="str">
        <f>IFERROR(IF($H262+1&lt;'General Info and Liability'!$B$15+1,'General Info and Liability'!$D$15/'General Info and Liability'!$B$10*$L263,""),"")</f>
        <v/>
      </c>
      <c r="O263" s="8"/>
      <c r="P263" s="8"/>
      <c r="Q263" t="str">
        <f>IFERROR(IF($H263+1&gt;0,'General Info and Liability'!$D$16,""),"")</f>
        <v/>
      </c>
      <c r="R263" t="str">
        <f>IFERROR(IF($H263+1&gt;0,'General Info and Liability'!$B$16,""),"")</f>
        <v/>
      </c>
      <c r="S263" t="str">
        <f>IFERROR(IF($H262+1&lt;'General Info and Liability'!$B$15+1,'General Info and Liability'!$D$17,""),"")</f>
        <v/>
      </c>
      <c r="T263" t="str">
        <f>IFERROR(IF($H262+1&lt;'General Info and Liability'!$B$15+1,'General Info and Liability'!$D$18,""),"")</f>
        <v/>
      </c>
      <c r="U263" t="str">
        <f>IFERROR(IF($H262+1&lt;'General Info and Liability'!$B$15+1,'General Info and Liability'!$D$19,""),"")</f>
        <v/>
      </c>
      <c r="V263" t="str">
        <f>IFERROR(IF($H262+1&lt;'General Info and Liability'!$B$15+1,'General Info and Liability'!$B$14,""),"")</f>
        <v/>
      </c>
      <c r="W263" t="str">
        <f>IFERROR(IF($H262+1&lt;'General Info and Liability'!$B$15+1,'General Info and Liability'!$D$20,""),"")</f>
        <v/>
      </c>
    </row>
    <row r="264" spans="8:23" ht="16.5" customHeight="1">
      <c r="H264" t="str">
        <f>IFERROR(IF(H263+1&lt;'General Info and Liability'!$B$15+1,'Property Schedule'!H263+1,""),"")</f>
        <v/>
      </c>
      <c r="J264" s="8"/>
      <c r="K264" s="7" t="str">
        <f>IFERROR(IF($H263+1&lt;'General Info and Liability'!$B$15+1,'General Info and Liability'!$B$18/'General Info and Liability'!$B$10*$L264,""),"")</f>
        <v/>
      </c>
      <c r="L264" s="8"/>
      <c r="M264" s="31" t="str">
        <f>IFERROR(IF($H263+1&lt;'General Info and Liability'!$B$15+1,'General Info and Liability'!$D$14/'General Info and Liability'!$B$10*$L264,""),"")</f>
        <v/>
      </c>
      <c r="N264" s="32" t="str">
        <f>IFERROR(IF($H263+1&lt;'General Info and Liability'!$B$15+1,'General Info and Liability'!$D$15/'General Info and Liability'!$B$10*$L264,""),"")</f>
        <v/>
      </c>
      <c r="O264" s="8"/>
      <c r="P264" s="8"/>
      <c r="Q264" t="str">
        <f>IFERROR(IF($H264+1&gt;0,'General Info and Liability'!$D$16,""),"")</f>
        <v/>
      </c>
      <c r="R264" t="str">
        <f>IFERROR(IF($H264+1&gt;0,'General Info and Liability'!$B$16,""),"")</f>
        <v/>
      </c>
      <c r="S264" t="str">
        <f>IFERROR(IF($H263+1&lt;'General Info and Liability'!$B$15+1,'General Info and Liability'!$D$17,""),"")</f>
        <v/>
      </c>
      <c r="T264" t="str">
        <f>IFERROR(IF($H263+1&lt;'General Info and Liability'!$B$15+1,'General Info and Liability'!$D$18,""),"")</f>
        <v/>
      </c>
      <c r="U264" t="str">
        <f>IFERROR(IF($H263+1&lt;'General Info and Liability'!$B$15+1,'General Info and Liability'!$D$19,""),"")</f>
        <v/>
      </c>
      <c r="V264" t="str">
        <f>IFERROR(IF($H263+1&lt;'General Info and Liability'!$B$15+1,'General Info and Liability'!$B$14,""),"")</f>
        <v/>
      </c>
      <c r="W264" t="str">
        <f>IFERROR(IF($H263+1&lt;'General Info and Liability'!$B$15+1,'General Info and Liability'!$D$20,""),"")</f>
        <v/>
      </c>
    </row>
    <row r="265" spans="8:23" ht="16.5" customHeight="1">
      <c r="H265" t="str">
        <f>IFERROR(IF(H264+1&lt;'General Info and Liability'!$B$15+1,'Property Schedule'!H264+1,""),"")</f>
        <v/>
      </c>
      <c r="J265" s="8"/>
      <c r="K265" s="7" t="str">
        <f>IFERROR(IF($H264+1&lt;'General Info and Liability'!$B$15+1,'General Info and Liability'!$B$18/'General Info and Liability'!$B$10*$L265,""),"")</f>
        <v/>
      </c>
      <c r="L265" s="8"/>
      <c r="M265" s="31" t="str">
        <f>IFERROR(IF($H264+1&lt;'General Info and Liability'!$B$15+1,'General Info and Liability'!$D$14/'General Info and Liability'!$B$10*$L265,""),"")</f>
        <v/>
      </c>
      <c r="N265" s="32" t="str">
        <f>IFERROR(IF($H264+1&lt;'General Info and Liability'!$B$15+1,'General Info and Liability'!$D$15/'General Info and Liability'!$B$10*$L265,""),"")</f>
        <v/>
      </c>
      <c r="O265" s="8"/>
      <c r="P265" s="8"/>
      <c r="Q265" t="str">
        <f>IFERROR(IF($H265+1&gt;0,'General Info and Liability'!$D$16,""),"")</f>
        <v/>
      </c>
      <c r="R265" t="str">
        <f>IFERROR(IF($H265+1&gt;0,'General Info and Liability'!$B$16,""),"")</f>
        <v/>
      </c>
      <c r="S265" t="str">
        <f>IFERROR(IF($H264+1&lt;'General Info and Liability'!$B$15+1,'General Info and Liability'!$D$17,""),"")</f>
        <v/>
      </c>
      <c r="T265" t="str">
        <f>IFERROR(IF($H264+1&lt;'General Info and Liability'!$B$15+1,'General Info and Liability'!$D$18,""),"")</f>
        <v/>
      </c>
      <c r="U265" t="str">
        <f>IFERROR(IF($H264+1&lt;'General Info and Liability'!$B$15+1,'General Info and Liability'!$D$19,""),"")</f>
        <v/>
      </c>
      <c r="V265" t="str">
        <f>IFERROR(IF($H264+1&lt;'General Info and Liability'!$B$15+1,'General Info and Liability'!$B$14,""),"")</f>
        <v/>
      </c>
      <c r="W265" t="str">
        <f>IFERROR(IF($H264+1&lt;'General Info and Liability'!$B$15+1,'General Info and Liability'!$D$20,""),"")</f>
        <v/>
      </c>
    </row>
    <row r="266" spans="8:23" ht="16.5" customHeight="1">
      <c r="H266" t="str">
        <f>IFERROR(IF(H265+1&lt;'General Info and Liability'!$B$15+1,'Property Schedule'!H265+1,""),"")</f>
        <v/>
      </c>
      <c r="J266" s="8"/>
      <c r="K266" s="7" t="str">
        <f>IFERROR(IF($H265+1&lt;'General Info and Liability'!$B$15+1,'General Info and Liability'!$B$18/'General Info and Liability'!$B$10*$L266,""),"")</f>
        <v/>
      </c>
      <c r="L266" s="8"/>
      <c r="M266" s="31" t="str">
        <f>IFERROR(IF($H265+1&lt;'General Info and Liability'!$B$15+1,'General Info and Liability'!$D$14/'General Info and Liability'!$B$10*$L266,""),"")</f>
        <v/>
      </c>
      <c r="N266" s="32" t="str">
        <f>IFERROR(IF($H265+1&lt;'General Info and Liability'!$B$15+1,'General Info and Liability'!$D$15/'General Info and Liability'!$B$10*$L266,""),"")</f>
        <v/>
      </c>
      <c r="O266" s="8"/>
      <c r="P266" s="8"/>
      <c r="Q266" t="str">
        <f>IFERROR(IF($H266+1&gt;0,'General Info and Liability'!$D$16,""),"")</f>
        <v/>
      </c>
      <c r="R266" t="str">
        <f>IFERROR(IF($H266+1&gt;0,'General Info and Liability'!$B$16,""),"")</f>
        <v/>
      </c>
      <c r="S266" t="str">
        <f>IFERROR(IF($H265+1&lt;'General Info and Liability'!$B$15+1,'General Info and Liability'!$D$17,""),"")</f>
        <v/>
      </c>
      <c r="T266" t="str">
        <f>IFERROR(IF($H265+1&lt;'General Info and Liability'!$B$15+1,'General Info and Liability'!$D$18,""),"")</f>
        <v/>
      </c>
      <c r="U266" t="str">
        <f>IFERROR(IF($H265+1&lt;'General Info and Liability'!$B$15+1,'General Info and Liability'!$D$19,""),"")</f>
        <v/>
      </c>
      <c r="V266" t="str">
        <f>IFERROR(IF($H265+1&lt;'General Info and Liability'!$B$15+1,'General Info and Liability'!$B$14,""),"")</f>
        <v/>
      </c>
      <c r="W266" t="str">
        <f>IFERROR(IF($H265+1&lt;'General Info and Liability'!$B$15+1,'General Info and Liability'!$D$20,""),"")</f>
        <v/>
      </c>
    </row>
    <row r="267" spans="8:23" ht="16.5" customHeight="1">
      <c r="H267" t="str">
        <f>IFERROR(IF(H266+1&lt;'General Info and Liability'!$B$15+1,'Property Schedule'!H266+1,""),"")</f>
        <v/>
      </c>
      <c r="J267" s="8"/>
      <c r="K267" s="7" t="str">
        <f>IFERROR(IF($H266+1&lt;'General Info and Liability'!$B$15+1,'General Info and Liability'!$B$18/'General Info and Liability'!$B$10*$L267,""),"")</f>
        <v/>
      </c>
      <c r="L267" s="8"/>
      <c r="M267" s="31" t="str">
        <f>IFERROR(IF($H266+1&lt;'General Info and Liability'!$B$15+1,'General Info and Liability'!$D$14/'General Info and Liability'!$B$10*$L267,""),"")</f>
        <v/>
      </c>
      <c r="N267" s="32" t="str">
        <f>IFERROR(IF($H266+1&lt;'General Info and Liability'!$B$15+1,'General Info and Liability'!$D$15/'General Info and Liability'!$B$10*$L267,""),"")</f>
        <v/>
      </c>
      <c r="O267" s="8"/>
      <c r="P267" s="8"/>
      <c r="Q267" t="str">
        <f>IFERROR(IF($H267+1&gt;0,'General Info and Liability'!$D$16,""),"")</f>
        <v/>
      </c>
      <c r="R267" t="str">
        <f>IFERROR(IF($H267+1&gt;0,'General Info and Liability'!$B$16,""),"")</f>
        <v/>
      </c>
      <c r="S267" t="str">
        <f>IFERROR(IF($H266+1&lt;'General Info and Liability'!$B$15+1,'General Info and Liability'!$D$17,""),"")</f>
        <v/>
      </c>
      <c r="T267" t="str">
        <f>IFERROR(IF($H266+1&lt;'General Info and Liability'!$B$15+1,'General Info and Liability'!$D$18,""),"")</f>
        <v/>
      </c>
      <c r="U267" t="str">
        <f>IFERROR(IF($H266+1&lt;'General Info and Liability'!$B$15+1,'General Info and Liability'!$D$19,""),"")</f>
        <v/>
      </c>
      <c r="V267" t="str">
        <f>IFERROR(IF($H266+1&lt;'General Info and Liability'!$B$15+1,'General Info and Liability'!$B$14,""),"")</f>
        <v/>
      </c>
      <c r="W267" t="str">
        <f>IFERROR(IF($H266+1&lt;'General Info and Liability'!$B$15+1,'General Info and Liability'!$D$20,""),"")</f>
        <v/>
      </c>
    </row>
    <row r="268" spans="8:23" ht="16.5" customHeight="1">
      <c r="H268" t="str">
        <f>IFERROR(IF(H267+1&lt;'General Info and Liability'!$B$15+1,'Property Schedule'!H267+1,""),"")</f>
        <v/>
      </c>
      <c r="J268" s="8"/>
      <c r="K268" s="7" t="str">
        <f>IFERROR(IF($H267+1&lt;'General Info and Liability'!$B$15+1,'General Info and Liability'!$B$18/'General Info and Liability'!$B$10*$L268,""),"")</f>
        <v/>
      </c>
      <c r="L268" s="8"/>
      <c r="M268" s="31" t="str">
        <f>IFERROR(IF($H267+1&lt;'General Info and Liability'!$B$15+1,'General Info and Liability'!$D$14/'General Info and Liability'!$B$10*$L268,""),"")</f>
        <v/>
      </c>
      <c r="N268" s="32" t="str">
        <f>IFERROR(IF($H267+1&lt;'General Info and Liability'!$B$15+1,'General Info and Liability'!$D$15/'General Info and Liability'!$B$10*$L268,""),"")</f>
        <v/>
      </c>
      <c r="O268" s="8"/>
      <c r="P268" s="8"/>
      <c r="Q268" t="str">
        <f>IFERROR(IF($H268+1&gt;0,'General Info and Liability'!$D$16,""),"")</f>
        <v/>
      </c>
      <c r="R268" t="str">
        <f>IFERROR(IF($H268+1&gt;0,'General Info and Liability'!$B$16,""),"")</f>
        <v/>
      </c>
      <c r="S268" t="str">
        <f>IFERROR(IF($H267+1&lt;'General Info and Liability'!$B$15+1,'General Info and Liability'!$D$17,""),"")</f>
        <v/>
      </c>
      <c r="T268" t="str">
        <f>IFERROR(IF($H267+1&lt;'General Info and Liability'!$B$15+1,'General Info and Liability'!$D$18,""),"")</f>
        <v/>
      </c>
      <c r="U268" t="str">
        <f>IFERROR(IF($H267+1&lt;'General Info and Liability'!$B$15+1,'General Info and Liability'!$D$19,""),"")</f>
        <v/>
      </c>
      <c r="V268" t="str">
        <f>IFERROR(IF($H267+1&lt;'General Info and Liability'!$B$15+1,'General Info and Liability'!$B$14,""),"")</f>
        <v/>
      </c>
      <c r="W268" t="str">
        <f>IFERROR(IF($H267+1&lt;'General Info and Liability'!$B$15+1,'General Info and Liability'!$D$20,""),"")</f>
        <v/>
      </c>
    </row>
    <row r="269" spans="8:23" ht="16.5" customHeight="1">
      <c r="H269" t="str">
        <f>IFERROR(IF(H268+1&lt;'General Info and Liability'!$B$15+1,'Property Schedule'!H268+1,""),"")</f>
        <v/>
      </c>
      <c r="J269" s="8"/>
      <c r="K269" s="7" t="str">
        <f>IFERROR(IF($H268+1&lt;'General Info and Liability'!$B$15+1,'General Info and Liability'!$B$18/'General Info and Liability'!$B$10*$L269,""),"")</f>
        <v/>
      </c>
      <c r="L269" s="8"/>
      <c r="M269" s="31" t="str">
        <f>IFERROR(IF($H268+1&lt;'General Info and Liability'!$B$15+1,'General Info and Liability'!$D$14/'General Info and Liability'!$B$10*$L269,""),"")</f>
        <v/>
      </c>
      <c r="N269" s="32" t="str">
        <f>IFERROR(IF($H268+1&lt;'General Info and Liability'!$B$15+1,'General Info and Liability'!$D$15/'General Info and Liability'!$B$10*$L269,""),"")</f>
        <v/>
      </c>
      <c r="O269" s="8"/>
      <c r="P269" s="8"/>
      <c r="Q269" t="str">
        <f>IFERROR(IF($H269+1&gt;0,'General Info and Liability'!$D$16,""),"")</f>
        <v/>
      </c>
      <c r="R269" t="str">
        <f>IFERROR(IF($H269+1&gt;0,'General Info and Liability'!$B$16,""),"")</f>
        <v/>
      </c>
      <c r="S269" t="str">
        <f>IFERROR(IF($H268+1&lt;'General Info and Liability'!$B$15+1,'General Info and Liability'!$D$17,""),"")</f>
        <v/>
      </c>
      <c r="T269" t="str">
        <f>IFERROR(IF($H268+1&lt;'General Info and Liability'!$B$15+1,'General Info and Liability'!$D$18,""),"")</f>
        <v/>
      </c>
      <c r="U269" t="str">
        <f>IFERROR(IF($H268+1&lt;'General Info and Liability'!$B$15+1,'General Info and Liability'!$D$19,""),"")</f>
        <v/>
      </c>
      <c r="V269" t="str">
        <f>IFERROR(IF($H268+1&lt;'General Info and Liability'!$B$15+1,'General Info and Liability'!$B$14,""),"")</f>
        <v/>
      </c>
      <c r="W269" t="str">
        <f>IFERROR(IF($H268+1&lt;'General Info and Liability'!$B$15+1,'General Info and Liability'!$D$20,""),"")</f>
        <v/>
      </c>
    </row>
    <row r="270" spans="8:23" ht="16.5" customHeight="1">
      <c r="H270" t="str">
        <f>IFERROR(IF(H269+1&lt;'General Info and Liability'!$B$15+1,'Property Schedule'!H269+1,""),"")</f>
        <v/>
      </c>
      <c r="J270" s="8"/>
      <c r="K270" s="7" t="str">
        <f>IFERROR(IF($H269+1&lt;'General Info and Liability'!$B$15+1,'General Info and Liability'!$B$18/'General Info and Liability'!$B$10*$L270,""),"")</f>
        <v/>
      </c>
      <c r="L270" s="8"/>
      <c r="M270" s="31" t="str">
        <f>IFERROR(IF($H269+1&lt;'General Info and Liability'!$B$15+1,'General Info and Liability'!$D$14/'General Info and Liability'!$B$10*$L270,""),"")</f>
        <v/>
      </c>
      <c r="N270" s="32" t="str">
        <f>IFERROR(IF($H269+1&lt;'General Info and Liability'!$B$15+1,'General Info and Liability'!$D$15/'General Info and Liability'!$B$10*$L270,""),"")</f>
        <v/>
      </c>
      <c r="O270" s="8"/>
      <c r="P270" s="8"/>
      <c r="Q270" t="str">
        <f>IFERROR(IF($H270+1&gt;0,'General Info and Liability'!$D$16,""),"")</f>
        <v/>
      </c>
      <c r="R270" t="str">
        <f>IFERROR(IF($H270+1&gt;0,'General Info and Liability'!$B$16,""),"")</f>
        <v/>
      </c>
      <c r="S270" t="str">
        <f>IFERROR(IF($H269+1&lt;'General Info and Liability'!$B$15+1,'General Info and Liability'!$D$17,""),"")</f>
        <v/>
      </c>
      <c r="T270" t="str">
        <f>IFERROR(IF($H269+1&lt;'General Info and Liability'!$B$15+1,'General Info and Liability'!$D$18,""),"")</f>
        <v/>
      </c>
      <c r="U270" t="str">
        <f>IFERROR(IF($H269+1&lt;'General Info and Liability'!$B$15+1,'General Info and Liability'!$D$19,""),"")</f>
        <v/>
      </c>
      <c r="V270" t="str">
        <f>IFERROR(IF($H269+1&lt;'General Info and Liability'!$B$15+1,'General Info and Liability'!$B$14,""),"")</f>
        <v/>
      </c>
      <c r="W270" t="str">
        <f>IFERROR(IF($H269+1&lt;'General Info and Liability'!$B$15+1,'General Info and Liability'!$D$20,""),"")</f>
        <v/>
      </c>
    </row>
    <row r="271" spans="8:23" ht="16.5" customHeight="1">
      <c r="H271" t="str">
        <f>IFERROR(IF(H270+1&lt;'General Info and Liability'!$B$15+1,'Property Schedule'!H270+1,""),"")</f>
        <v/>
      </c>
      <c r="J271" s="8"/>
      <c r="K271" s="7" t="str">
        <f>IFERROR(IF($H270+1&lt;'General Info and Liability'!$B$15+1,'General Info and Liability'!$B$18/'General Info and Liability'!$B$10*$L271,""),"")</f>
        <v/>
      </c>
      <c r="L271" s="8"/>
      <c r="M271" s="31" t="str">
        <f>IFERROR(IF($H270+1&lt;'General Info and Liability'!$B$15+1,'General Info and Liability'!$D$14/'General Info and Liability'!$B$10*$L271,""),"")</f>
        <v/>
      </c>
      <c r="N271" s="32" t="str">
        <f>IFERROR(IF($H270+1&lt;'General Info and Liability'!$B$15+1,'General Info and Liability'!$D$15/'General Info and Liability'!$B$10*$L271,""),"")</f>
        <v/>
      </c>
      <c r="O271" s="8"/>
      <c r="P271" s="8"/>
      <c r="Q271" t="str">
        <f>IFERROR(IF($H271+1&gt;0,'General Info and Liability'!$D$16,""),"")</f>
        <v/>
      </c>
      <c r="R271" t="str">
        <f>IFERROR(IF($H271+1&gt;0,'General Info and Liability'!$B$16,""),"")</f>
        <v/>
      </c>
      <c r="S271" t="str">
        <f>IFERROR(IF($H270+1&lt;'General Info and Liability'!$B$15+1,'General Info and Liability'!$D$17,""),"")</f>
        <v/>
      </c>
      <c r="T271" t="str">
        <f>IFERROR(IF($H270+1&lt;'General Info and Liability'!$B$15+1,'General Info and Liability'!$D$18,""),"")</f>
        <v/>
      </c>
      <c r="U271" t="str">
        <f>IFERROR(IF($H270+1&lt;'General Info and Liability'!$B$15+1,'General Info and Liability'!$D$19,""),"")</f>
        <v/>
      </c>
      <c r="V271" t="str">
        <f>IFERROR(IF($H270+1&lt;'General Info and Liability'!$B$15+1,'General Info and Liability'!$B$14,""),"")</f>
        <v/>
      </c>
      <c r="W271" t="str">
        <f>IFERROR(IF($H270+1&lt;'General Info and Liability'!$B$15+1,'General Info and Liability'!$D$20,""),"")</f>
        <v/>
      </c>
    </row>
    <row r="272" spans="8:23" ht="16.5" customHeight="1">
      <c r="H272" t="str">
        <f>IFERROR(IF(H271+1&lt;'General Info and Liability'!$B$15+1,'Property Schedule'!H271+1,""),"")</f>
        <v/>
      </c>
      <c r="J272" s="8"/>
      <c r="K272" s="7" t="str">
        <f>IFERROR(IF($H271+1&lt;'General Info and Liability'!$B$15+1,'General Info and Liability'!$B$18/'General Info and Liability'!$B$10*$L272,""),"")</f>
        <v/>
      </c>
      <c r="L272" s="8"/>
      <c r="M272" s="31" t="str">
        <f>IFERROR(IF($H271+1&lt;'General Info and Liability'!$B$15+1,'General Info and Liability'!$D$14/'General Info and Liability'!$B$10*$L272,""),"")</f>
        <v/>
      </c>
      <c r="N272" s="32" t="str">
        <f>IFERROR(IF($H271+1&lt;'General Info and Liability'!$B$15+1,'General Info and Liability'!$D$15/'General Info and Liability'!$B$10*$L272,""),"")</f>
        <v/>
      </c>
      <c r="O272" s="8"/>
      <c r="P272" s="8"/>
      <c r="Q272" t="str">
        <f>IFERROR(IF($H272+1&gt;0,'General Info and Liability'!$D$16,""),"")</f>
        <v/>
      </c>
      <c r="R272" t="str">
        <f>IFERROR(IF($H272+1&gt;0,'General Info and Liability'!$B$16,""),"")</f>
        <v/>
      </c>
      <c r="S272" t="str">
        <f>IFERROR(IF($H271+1&lt;'General Info and Liability'!$B$15+1,'General Info and Liability'!$D$17,""),"")</f>
        <v/>
      </c>
      <c r="T272" t="str">
        <f>IFERROR(IF($H271+1&lt;'General Info and Liability'!$B$15+1,'General Info and Liability'!$D$18,""),"")</f>
        <v/>
      </c>
      <c r="U272" t="str">
        <f>IFERROR(IF($H271+1&lt;'General Info and Liability'!$B$15+1,'General Info and Liability'!$D$19,""),"")</f>
        <v/>
      </c>
      <c r="V272" t="str">
        <f>IFERROR(IF($H271+1&lt;'General Info and Liability'!$B$15+1,'General Info and Liability'!$B$14,""),"")</f>
        <v/>
      </c>
      <c r="W272" t="str">
        <f>IFERROR(IF($H271+1&lt;'General Info and Liability'!$B$15+1,'General Info and Liability'!$D$20,""),"")</f>
        <v/>
      </c>
    </row>
    <row r="273" spans="8:23" ht="16.5" customHeight="1">
      <c r="H273" t="str">
        <f>IFERROR(IF(H272+1&lt;'General Info and Liability'!$B$15+1,'Property Schedule'!H272+1,""),"")</f>
        <v/>
      </c>
      <c r="J273" s="8"/>
      <c r="K273" s="7" t="str">
        <f>IFERROR(IF($H272+1&lt;'General Info and Liability'!$B$15+1,'General Info and Liability'!$B$18/'General Info and Liability'!$B$10*$L273,""),"")</f>
        <v/>
      </c>
      <c r="L273" s="8"/>
      <c r="M273" s="31" t="str">
        <f>IFERROR(IF($H272+1&lt;'General Info and Liability'!$B$15+1,'General Info and Liability'!$D$14/'General Info and Liability'!$B$10*$L273,""),"")</f>
        <v/>
      </c>
      <c r="N273" s="32" t="str">
        <f>IFERROR(IF($H272+1&lt;'General Info and Liability'!$B$15+1,'General Info and Liability'!$D$15/'General Info and Liability'!$B$10*$L273,""),"")</f>
        <v/>
      </c>
      <c r="O273" s="8"/>
      <c r="P273" s="8"/>
      <c r="Q273" t="str">
        <f>IFERROR(IF($H273+1&gt;0,'General Info and Liability'!$D$16,""),"")</f>
        <v/>
      </c>
      <c r="R273" t="str">
        <f>IFERROR(IF($H273+1&gt;0,'General Info and Liability'!$B$16,""),"")</f>
        <v/>
      </c>
      <c r="S273" t="str">
        <f>IFERROR(IF($H272+1&lt;'General Info and Liability'!$B$15+1,'General Info and Liability'!$D$17,""),"")</f>
        <v/>
      </c>
      <c r="T273" t="str">
        <f>IFERROR(IF($H272+1&lt;'General Info and Liability'!$B$15+1,'General Info and Liability'!$D$18,""),"")</f>
        <v/>
      </c>
      <c r="U273" t="str">
        <f>IFERROR(IF($H272+1&lt;'General Info and Liability'!$B$15+1,'General Info and Liability'!$D$19,""),"")</f>
        <v/>
      </c>
      <c r="V273" t="str">
        <f>IFERROR(IF($H272+1&lt;'General Info and Liability'!$B$15+1,'General Info and Liability'!$B$14,""),"")</f>
        <v/>
      </c>
      <c r="W273" t="str">
        <f>IFERROR(IF($H272+1&lt;'General Info and Liability'!$B$15+1,'General Info and Liability'!$D$20,""),"")</f>
        <v/>
      </c>
    </row>
    <row r="274" spans="8:23" ht="16.5" customHeight="1">
      <c r="H274" t="str">
        <f>IFERROR(IF(H273+1&lt;'General Info and Liability'!$B$15+1,'Property Schedule'!H273+1,""),"")</f>
        <v/>
      </c>
      <c r="J274" s="8"/>
      <c r="K274" s="7" t="str">
        <f>IFERROR(IF($H273+1&lt;'General Info and Liability'!$B$15+1,'General Info and Liability'!$B$18/'General Info and Liability'!$B$10*$L274,""),"")</f>
        <v/>
      </c>
      <c r="L274" s="8"/>
      <c r="M274" s="31" t="str">
        <f>IFERROR(IF($H273+1&lt;'General Info and Liability'!$B$15+1,'General Info and Liability'!$D$14/'General Info and Liability'!$B$10*$L274,""),"")</f>
        <v/>
      </c>
      <c r="N274" s="32" t="str">
        <f>IFERROR(IF($H273+1&lt;'General Info and Liability'!$B$15+1,'General Info and Liability'!$D$15/'General Info and Liability'!$B$10*$L274,""),"")</f>
        <v/>
      </c>
      <c r="O274" s="8"/>
      <c r="P274" s="8"/>
      <c r="Q274" t="str">
        <f>IFERROR(IF($H274+1&gt;0,'General Info and Liability'!$D$16,""),"")</f>
        <v/>
      </c>
      <c r="R274" t="str">
        <f>IFERROR(IF($H274+1&gt;0,'General Info and Liability'!$B$16,""),"")</f>
        <v/>
      </c>
      <c r="S274" t="str">
        <f>IFERROR(IF($H273+1&lt;'General Info and Liability'!$B$15+1,'General Info and Liability'!$D$17,""),"")</f>
        <v/>
      </c>
      <c r="T274" t="str">
        <f>IFERROR(IF($H273+1&lt;'General Info and Liability'!$B$15+1,'General Info and Liability'!$D$18,""),"")</f>
        <v/>
      </c>
      <c r="U274" t="str">
        <f>IFERROR(IF($H273+1&lt;'General Info and Liability'!$B$15+1,'General Info and Liability'!$D$19,""),"")</f>
        <v/>
      </c>
      <c r="V274" t="str">
        <f>IFERROR(IF($H273+1&lt;'General Info and Liability'!$B$15+1,'General Info and Liability'!$B$14,""),"")</f>
        <v/>
      </c>
      <c r="W274" t="str">
        <f>IFERROR(IF($H273+1&lt;'General Info and Liability'!$B$15+1,'General Info and Liability'!$D$20,""),"")</f>
        <v/>
      </c>
    </row>
    <row r="275" spans="8:23" ht="16.5" customHeight="1">
      <c r="H275" t="str">
        <f>IFERROR(IF(H274+1&lt;'General Info and Liability'!$B$15+1,'Property Schedule'!H274+1,""),"")</f>
        <v/>
      </c>
      <c r="J275" s="8"/>
      <c r="K275" s="7" t="str">
        <f>IFERROR(IF($H274+1&lt;'General Info and Liability'!$B$15+1,'General Info and Liability'!$B$18/'General Info and Liability'!$B$10*$L275,""),"")</f>
        <v/>
      </c>
      <c r="L275" s="8"/>
      <c r="M275" s="31" t="str">
        <f>IFERROR(IF($H274+1&lt;'General Info and Liability'!$B$15+1,'General Info and Liability'!$D$14/'General Info and Liability'!$B$10*$L275,""),"")</f>
        <v/>
      </c>
      <c r="N275" s="32" t="str">
        <f>IFERROR(IF($H274+1&lt;'General Info and Liability'!$B$15+1,'General Info and Liability'!$D$15/'General Info and Liability'!$B$10*$L275,""),"")</f>
        <v/>
      </c>
      <c r="O275" s="8"/>
      <c r="P275" s="8"/>
      <c r="Q275" t="str">
        <f>IFERROR(IF($H275+1&gt;0,'General Info and Liability'!$D$16,""),"")</f>
        <v/>
      </c>
      <c r="R275" t="str">
        <f>IFERROR(IF($H275+1&gt;0,'General Info and Liability'!$B$16,""),"")</f>
        <v/>
      </c>
      <c r="S275" t="str">
        <f>IFERROR(IF($H274+1&lt;'General Info and Liability'!$B$15+1,'General Info and Liability'!$D$17,""),"")</f>
        <v/>
      </c>
      <c r="T275" t="str">
        <f>IFERROR(IF($H274+1&lt;'General Info and Liability'!$B$15+1,'General Info and Liability'!$D$18,""),"")</f>
        <v/>
      </c>
      <c r="U275" t="str">
        <f>IFERROR(IF($H274+1&lt;'General Info and Liability'!$B$15+1,'General Info and Liability'!$D$19,""),"")</f>
        <v/>
      </c>
      <c r="V275" t="str">
        <f>IFERROR(IF($H274+1&lt;'General Info and Liability'!$B$15+1,'General Info and Liability'!$B$14,""),"")</f>
        <v/>
      </c>
      <c r="W275" t="str">
        <f>IFERROR(IF($H274+1&lt;'General Info and Liability'!$B$15+1,'General Info and Liability'!$D$20,""),"")</f>
        <v/>
      </c>
    </row>
    <row r="276" spans="8:23" ht="16.5" customHeight="1">
      <c r="H276" t="str">
        <f>IFERROR(IF(H275+1&lt;'General Info and Liability'!$B$15+1,'Property Schedule'!H275+1,""),"")</f>
        <v/>
      </c>
      <c r="J276" s="8"/>
      <c r="K276" s="7" t="str">
        <f>IFERROR(IF($H275+1&lt;'General Info and Liability'!$B$15+1,'General Info and Liability'!$B$18/'General Info and Liability'!$B$10*$L276,""),"")</f>
        <v/>
      </c>
      <c r="L276" s="8"/>
      <c r="M276" s="31" t="str">
        <f>IFERROR(IF($H275+1&lt;'General Info and Liability'!$B$15+1,'General Info and Liability'!$D$14/'General Info and Liability'!$B$10*$L276,""),"")</f>
        <v/>
      </c>
      <c r="N276" s="32" t="str">
        <f>IFERROR(IF($H275+1&lt;'General Info and Liability'!$B$15+1,'General Info and Liability'!$D$15/'General Info and Liability'!$B$10*$L276,""),"")</f>
        <v/>
      </c>
      <c r="O276" s="8"/>
      <c r="P276" s="8"/>
      <c r="Q276" t="str">
        <f>IFERROR(IF($H276+1&gt;0,'General Info and Liability'!$D$16,""),"")</f>
        <v/>
      </c>
      <c r="R276" t="str">
        <f>IFERROR(IF($H276+1&gt;0,'General Info and Liability'!$B$16,""),"")</f>
        <v/>
      </c>
      <c r="S276" t="str">
        <f>IFERROR(IF($H275+1&lt;'General Info and Liability'!$B$15+1,'General Info and Liability'!$D$17,""),"")</f>
        <v/>
      </c>
      <c r="T276" t="str">
        <f>IFERROR(IF($H275+1&lt;'General Info and Liability'!$B$15+1,'General Info and Liability'!$D$18,""),"")</f>
        <v/>
      </c>
      <c r="U276" t="str">
        <f>IFERROR(IF($H275+1&lt;'General Info and Liability'!$B$15+1,'General Info and Liability'!$D$19,""),"")</f>
        <v/>
      </c>
      <c r="V276" t="str">
        <f>IFERROR(IF($H275+1&lt;'General Info and Liability'!$B$15+1,'General Info and Liability'!$B$14,""),"")</f>
        <v/>
      </c>
      <c r="W276" t="str">
        <f>IFERROR(IF($H275+1&lt;'General Info and Liability'!$B$15+1,'General Info and Liability'!$D$20,""),"")</f>
        <v/>
      </c>
    </row>
    <row r="277" spans="8:23" ht="16.5" customHeight="1">
      <c r="H277" t="str">
        <f>IFERROR(IF(H276+1&lt;'General Info and Liability'!$B$15+1,'Property Schedule'!H276+1,""),"")</f>
        <v/>
      </c>
      <c r="J277" s="8"/>
      <c r="K277" s="7" t="str">
        <f>IFERROR(IF($H276+1&lt;'General Info and Liability'!$B$15+1,'General Info and Liability'!$B$18/'General Info and Liability'!$B$10*$L277,""),"")</f>
        <v/>
      </c>
      <c r="L277" s="8"/>
      <c r="M277" s="31" t="str">
        <f>IFERROR(IF($H276+1&lt;'General Info and Liability'!$B$15+1,'General Info and Liability'!$D$14/'General Info and Liability'!$B$10*$L277,""),"")</f>
        <v/>
      </c>
      <c r="N277" s="32" t="str">
        <f>IFERROR(IF($H276+1&lt;'General Info and Liability'!$B$15+1,'General Info and Liability'!$D$15/'General Info and Liability'!$B$10*$L277,""),"")</f>
        <v/>
      </c>
      <c r="O277" s="8"/>
      <c r="P277" s="8"/>
      <c r="Q277" t="str">
        <f>IFERROR(IF($H277+1&gt;0,'General Info and Liability'!$D$16,""),"")</f>
        <v/>
      </c>
      <c r="R277" t="str">
        <f>IFERROR(IF($H277+1&gt;0,'General Info and Liability'!$B$16,""),"")</f>
        <v/>
      </c>
      <c r="S277" t="str">
        <f>IFERROR(IF($H276+1&lt;'General Info and Liability'!$B$15+1,'General Info and Liability'!$D$17,""),"")</f>
        <v/>
      </c>
      <c r="T277" t="str">
        <f>IFERROR(IF($H276+1&lt;'General Info and Liability'!$B$15+1,'General Info and Liability'!$D$18,""),"")</f>
        <v/>
      </c>
      <c r="U277" t="str">
        <f>IFERROR(IF($H276+1&lt;'General Info and Liability'!$B$15+1,'General Info and Liability'!$D$19,""),"")</f>
        <v/>
      </c>
      <c r="V277" t="str">
        <f>IFERROR(IF($H276+1&lt;'General Info and Liability'!$B$15+1,'General Info and Liability'!$B$14,""),"")</f>
        <v/>
      </c>
      <c r="W277" t="str">
        <f>IFERROR(IF($H276+1&lt;'General Info and Liability'!$B$15+1,'General Info and Liability'!$D$20,""),"")</f>
        <v/>
      </c>
    </row>
    <row r="278" spans="8:23" ht="16.5" customHeight="1">
      <c r="H278" t="str">
        <f>IFERROR(IF(H277+1&lt;'General Info and Liability'!$B$15+1,'Property Schedule'!H277+1,""),"")</f>
        <v/>
      </c>
      <c r="J278" s="8"/>
      <c r="K278" s="7" t="str">
        <f>IFERROR(IF($H277+1&lt;'General Info and Liability'!$B$15+1,'General Info and Liability'!$B$18/'General Info and Liability'!$B$10*$L278,""),"")</f>
        <v/>
      </c>
      <c r="L278" s="8"/>
      <c r="M278" s="31" t="str">
        <f>IFERROR(IF($H277+1&lt;'General Info and Liability'!$B$15+1,'General Info and Liability'!$D$14/'General Info and Liability'!$B$10*$L278,""),"")</f>
        <v/>
      </c>
      <c r="N278" s="32" t="str">
        <f>IFERROR(IF($H277+1&lt;'General Info and Liability'!$B$15+1,'General Info and Liability'!$D$15/'General Info and Liability'!$B$10*$L278,""),"")</f>
        <v/>
      </c>
      <c r="O278" s="8"/>
      <c r="P278" s="8"/>
      <c r="Q278" t="str">
        <f>IFERROR(IF($H278+1&gt;0,'General Info and Liability'!$D$16,""),"")</f>
        <v/>
      </c>
      <c r="R278" t="str">
        <f>IFERROR(IF($H278+1&gt;0,'General Info and Liability'!$B$16,""),"")</f>
        <v/>
      </c>
      <c r="S278" t="str">
        <f>IFERROR(IF($H277+1&lt;'General Info and Liability'!$B$15+1,'General Info and Liability'!$D$17,""),"")</f>
        <v/>
      </c>
      <c r="T278" t="str">
        <f>IFERROR(IF($H277+1&lt;'General Info and Liability'!$B$15+1,'General Info and Liability'!$D$18,""),"")</f>
        <v/>
      </c>
      <c r="U278" t="str">
        <f>IFERROR(IF($H277+1&lt;'General Info and Liability'!$B$15+1,'General Info and Liability'!$D$19,""),"")</f>
        <v/>
      </c>
      <c r="V278" t="str">
        <f>IFERROR(IF($H277+1&lt;'General Info and Liability'!$B$15+1,'General Info and Liability'!$B$14,""),"")</f>
        <v/>
      </c>
      <c r="W278" t="str">
        <f>IFERROR(IF($H277+1&lt;'General Info and Liability'!$B$15+1,'General Info and Liability'!$D$20,""),"")</f>
        <v/>
      </c>
    </row>
    <row r="279" spans="8:23" ht="16.5" customHeight="1">
      <c r="H279" t="str">
        <f>IFERROR(IF(H278+1&lt;'General Info and Liability'!$B$15+1,'Property Schedule'!H278+1,""),"")</f>
        <v/>
      </c>
      <c r="J279" s="8"/>
      <c r="K279" s="7" t="str">
        <f>IFERROR(IF($H278+1&lt;'General Info and Liability'!$B$15+1,'General Info and Liability'!$B$18/'General Info and Liability'!$B$10*$L279,""),"")</f>
        <v/>
      </c>
      <c r="L279" s="8"/>
      <c r="M279" s="31" t="str">
        <f>IFERROR(IF($H278+1&lt;'General Info and Liability'!$B$15+1,'General Info and Liability'!$D$14/'General Info and Liability'!$B$10*$L279,""),"")</f>
        <v/>
      </c>
      <c r="N279" s="32" t="str">
        <f>IFERROR(IF($H278+1&lt;'General Info and Liability'!$B$15+1,'General Info and Liability'!$D$15/'General Info and Liability'!$B$10*$L279,""),"")</f>
        <v/>
      </c>
      <c r="O279" s="8"/>
      <c r="P279" s="8"/>
      <c r="Q279" t="str">
        <f>IFERROR(IF($H279+1&gt;0,'General Info and Liability'!$D$16,""),"")</f>
        <v/>
      </c>
      <c r="R279" t="str">
        <f>IFERROR(IF($H279+1&gt;0,'General Info and Liability'!$B$16,""),"")</f>
        <v/>
      </c>
      <c r="S279" t="str">
        <f>IFERROR(IF($H278+1&lt;'General Info and Liability'!$B$15+1,'General Info and Liability'!$D$17,""),"")</f>
        <v/>
      </c>
      <c r="T279" t="str">
        <f>IFERROR(IF($H278+1&lt;'General Info and Liability'!$B$15+1,'General Info and Liability'!$D$18,""),"")</f>
        <v/>
      </c>
      <c r="U279" t="str">
        <f>IFERROR(IF($H278+1&lt;'General Info and Liability'!$B$15+1,'General Info and Liability'!$D$19,""),"")</f>
        <v/>
      </c>
      <c r="V279" t="str">
        <f>IFERROR(IF($H278+1&lt;'General Info and Liability'!$B$15+1,'General Info and Liability'!$B$14,""),"")</f>
        <v/>
      </c>
      <c r="W279" t="str">
        <f>IFERROR(IF($H278+1&lt;'General Info and Liability'!$B$15+1,'General Info and Liability'!$D$20,""),"")</f>
        <v/>
      </c>
    </row>
    <row r="280" spans="8:23" ht="16.5" customHeight="1">
      <c r="H280" t="str">
        <f>IFERROR(IF(H279+1&lt;'General Info and Liability'!$B$15+1,'Property Schedule'!H279+1,""),"")</f>
        <v/>
      </c>
      <c r="J280" s="8"/>
      <c r="K280" s="7" t="str">
        <f>IFERROR(IF($H279+1&lt;'General Info and Liability'!$B$15+1,'General Info and Liability'!$B$18/'General Info and Liability'!$B$10*$L280,""),"")</f>
        <v/>
      </c>
      <c r="L280" s="8"/>
      <c r="M280" s="31" t="str">
        <f>IFERROR(IF($H279+1&lt;'General Info and Liability'!$B$15+1,'General Info and Liability'!$D$14/'General Info and Liability'!$B$10*$L280,""),"")</f>
        <v/>
      </c>
      <c r="N280" s="32" t="str">
        <f>IFERROR(IF($H279+1&lt;'General Info and Liability'!$B$15+1,'General Info and Liability'!$D$15/'General Info and Liability'!$B$10*$L280,""),"")</f>
        <v/>
      </c>
      <c r="O280" s="8"/>
      <c r="P280" s="8"/>
      <c r="Q280" t="str">
        <f>IFERROR(IF($H280+1&gt;0,'General Info and Liability'!$D$16,""),"")</f>
        <v/>
      </c>
      <c r="R280" t="str">
        <f>IFERROR(IF($H280+1&gt;0,'General Info and Liability'!$B$16,""),"")</f>
        <v/>
      </c>
      <c r="S280" t="str">
        <f>IFERROR(IF($H279+1&lt;'General Info and Liability'!$B$15+1,'General Info and Liability'!$D$17,""),"")</f>
        <v/>
      </c>
      <c r="T280" t="str">
        <f>IFERROR(IF($H279+1&lt;'General Info and Liability'!$B$15+1,'General Info and Liability'!$D$18,""),"")</f>
        <v/>
      </c>
      <c r="U280" t="str">
        <f>IFERROR(IF($H279+1&lt;'General Info and Liability'!$B$15+1,'General Info and Liability'!$D$19,""),"")</f>
        <v/>
      </c>
      <c r="V280" t="str">
        <f>IFERROR(IF($H279+1&lt;'General Info and Liability'!$B$15+1,'General Info and Liability'!$B$14,""),"")</f>
        <v/>
      </c>
      <c r="W280" t="str">
        <f>IFERROR(IF($H279+1&lt;'General Info and Liability'!$B$15+1,'General Info and Liability'!$D$20,""),"")</f>
        <v/>
      </c>
    </row>
    <row r="281" spans="8:23" ht="16.5" customHeight="1">
      <c r="H281" t="str">
        <f>IFERROR(IF(H280+1&lt;'General Info and Liability'!$B$15+1,'Property Schedule'!H280+1,""),"")</f>
        <v/>
      </c>
      <c r="J281" s="8"/>
      <c r="K281" s="7" t="str">
        <f>IFERROR(IF($H280+1&lt;'General Info and Liability'!$B$15+1,'General Info and Liability'!$B$18/'General Info and Liability'!$B$10*$L281,""),"")</f>
        <v/>
      </c>
      <c r="L281" s="8"/>
      <c r="M281" s="31" t="str">
        <f>IFERROR(IF($H280+1&lt;'General Info and Liability'!$B$15+1,'General Info and Liability'!$D$14/'General Info and Liability'!$B$10*$L281,""),"")</f>
        <v/>
      </c>
      <c r="N281" s="32" t="str">
        <f>IFERROR(IF($H280+1&lt;'General Info and Liability'!$B$15+1,'General Info and Liability'!$D$15/'General Info and Liability'!$B$10*$L281,""),"")</f>
        <v/>
      </c>
      <c r="O281" s="8"/>
      <c r="P281" s="8"/>
      <c r="Q281" t="str">
        <f>IFERROR(IF($H281+1&gt;0,'General Info and Liability'!$D$16,""),"")</f>
        <v/>
      </c>
      <c r="R281" t="str">
        <f>IFERROR(IF($H281+1&gt;0,'General Info and Liability'!$B$16,""),"")</f>
        <v/>
      </c>
      <c r="S281" t="str">
        <f>IFERROR(IF($H280+1&lt;'General Info and Liability'!$B$15+1,'General Info and Liability'!$D$17,""),"")</f>
        <v/>
      </c>
      <c r="T281" t="str">
        <f>IFERROR(IF($H280+1&lt;'General Info and Liability'!$B$15+1,'General Info and Liability'!$D$18,""),"")</f>
        <v/>
      </c>
      <c r="U281" t="str">
        <f>IFERROR(IF($H280+1&lt;'General Info and Liability'!$B$15+1,'General Info and Liability'!$D$19,""),"")</f>
        <v/>
      </c>
      <c r="V281" t="str">
        <f>IFERROR(IF($H280+1&lt;'General Info and Liability'!$B$15+1,'General Info and Liability'!$B$14,""),"")</f>
        <v/>
      </c>
      <c r="W281" t="str">
        <f>IFERROR(IF($H280+1&lt;'General Info and Liability'!$B$15+1,'General Info and Liability'!$D$20,""),"")</f>
        <v/>
      </c>
    </row>
    <row r="282" spans="8:23" ht="16.5" customHeight="1">
      <c r="H282" t="str">
        <f>IFERROR(IF(H281+1&lt;'General Info and Liability'!$B$15+1,'Property Schedule'!H281+1,""),"")</f>
        <v/>
      </c>
      <c r="J282" s="8"/>
      <c r="K282" s="7" t="str">
        <f>IFERROR(IF($H281+1&lt;'General Info and Liability'!$B$15+1,'General Info and Liability'!$B$18/'General Info and Liability'!$B$10*$L282,""),"")</f>
        <v/>
      </c>
      <c r="L282" s="8"/>
      <c r="M282" s="31" t="str">
        <f>IFERROR(IF($H281+1&lt;'General Info and Liability'!$B$15+1,'General Info and Liability'!$D$14/'General Info and Liability'!$B$10*$L282,""),"")</f>
        <v/>
      </c>
      <c r="N282" s="32" t="str">
        <f>IFERROR(IF($H281+1&lt;'General Info and Liability'!$B$15+1,'General Info and Liability'!$D$15/'General Info and Liability'!$B$10*$L282,""),"")</f>
        <v/>
      </c>
      <c r="O282" s="8"/>
      <c r="P282" s="8"/>
      <c r="Q282" t="str">
        <f>IFERROR(IF($H282+1&gt;0,'General Info and Liability'!$D$16,""),"")</f>
        <v/>
      </c>
      <c r="R282" t="str">
        <f>IFERROR(IF($H282+1&gt;0,'General Info and Liability'!$B$16,""),"")</f>
        <v/>
      </c>
      <c r="S282" t="str">
        <f>IFERROR(IF($H281+1&lt;'General Info and Liability'!$B$15+1,'General Info and Liability'!$D$17,""),"")</f>
        <v/>
      </c>
      <c r="T282" t="str">
        <f>IFERROR(IF($H281+1&lt;'General Info and Liability'!$B$15+1,'General Info and Liability'!$D$18,""),"")</f>
        <v/>
      </c>
      <c r="U282" t="str">
        <f>IFERROR(IF($H281+1&lt;'General Info and Liability'!$B$15+1,'General Info and Liability'!$D$19,""),"")</f>
        <v/>
      </c>
      <c r="V282" t="str">
        <f>IFERROR(IF($H281+1&lt;'General Info and Liability'!$B$15+1,'General Info and Liability'!$B$14,""),"")</f>
        <v/>
      </c>
      <c r="W282" t="str">
        <f>IFERROR(IF($H281+1&lt;'General Info and Liability'!$B$15+1,'General Info and Liability'!$D$20,""),"")</f>
        <v/>
      </c>
    </row>
    <row r="283" spans="8:23" ht="16.5" customHeight="1">
      <c r="H283" t="str">
        <f>IFERROR(IF(H282+1&lt;'General Info and Liability'!$B$15+1,'Property Schedule'!H282+1,""),"")</f>
        <v/>
      </c>
      <c r="J283" s="8"/>
      <c r="K283" s="7" t="str">
        <f>IFERROR(IF($H282+1&lt;'General Info and Liability'!$B$15+1,'General Info and Liability'!$B$18/'General Info and Liability'!$B$10*$L283,""),"")</f>
        <v/>
      </c>
      <c r="L283" s="8"/>
      <c r="M283" s="31" t="str">
        <f>IFERROR(IF($H282+1&lt;'General Info and Liability'!$B$15+1,'General Info and Liability'!$D$14/'General Info and Liability'!$B$10*$L283,""),"")</f>
        <v/>
      </c>
      <c r="N283" s="32" t="str">
        <f>IFERROR(IF($H282+1&lt;'General Info and Liability'!$B$15+1,'General Info and Liability'!$D$15/'General Info and Liability'!$B$10*$L283,""),"")</f>
        <v/>
      </c>
      <c r="O283" s="8"/>
      <c r="P283" s="8"/>
      <c r="Q283" t="str">
        <f>IFERROR(IF($H283+1&gt;0,'General Info and Liability'!$D$16,""),"")</f>
        <v/>
      </c>
      <c r="R283" t="str">
        <f>IFERROR(IF($H283+1&gt;0,'General Info and Liability'!$B$16,""),"")</f>
        <v/>
      </c>
      <c r="S283" t="str">
        <f>IFERROR(IF($H282+1&lt;'General Info and Liability'!$B$15+1,'General Info and Liability'!$D$17,""),"")</f>
        <v/>
      </c>
      <c r="T283" t="str">
        <f>IFERROR(IF($H282+1&lt;'General Info and Liability'!$B$15+1,'General Info and Liability'!$D$18,""),"")</f>
        <v/>
      </c>
      <c r="U283" t="str">
        <f>IFERROR(IF($H282+1&lt;'General Info and Liability'!$B$15+1,'General Info and Liability'!$D$19,""),"")</f>
        <v/>
      </c>
      <c r="V283" t="str">
        <f>IFERROR(IF($H282+1&lt;'General Info and Liability'!$B$15+1,'General Info and Liability'!$B$14,""),"")</f>
        <v/>
      </c>
      <c r="W283" t="str">
        <f>IFERROR(IF($H282+1&lt;'General Info and Liability'!$B$15+1,'General Info and Liability'!$D$20,""),"")</f>
        <v/>
      </c>
    </row>
    <row r="284" spans="8:23" ht="16.5" customHeight="1">
      <c r="H284" t="str">
        <f>IFERROR(IF(H283+1&lt;'General Info and Liability'!$B$15+1,'Property Schedule'!H283+1,""),"")</f>
        <v/>
      </c>
      <c r="J284" s="8"/>
      <c r="K284" s="7" t="str">
        <f>IFERROR(IF($H283+1&lt;'General Info and Liability'!$B$15+1,'General Info and Liability'!$B$18/'General Info and Liability'!$B$10*$L284,""),"")</f>
        <v/>
      </c>
      <c r="L284" s="8"/>
      <c r="M284" s="31" t="str">
        <f>IFERROR(IF($H283+1&lt;'General Info and Liability'!$B$15+1,'General Info and Liability'!$D$14/'General Info and Liability'!$B$10*$L284,""),"")</f>
        <v/>
      </c>
      <c r="N284" s="32" t="str">
        <f>IFERROR(IF($H283+1&lt;'General Info and Liability'!$B$15+1,'General Info and Liability'!$D$15/'General Info and Liability'!$B$10*$L284,""),"")</f>
        <v/>
      </c>
      <c r="O284" s="8"/>
      <c r="P284" s="8"/>
      <c r="Q284" t="str">
        <f>IFERROR(IF($H284+1&gt;0,'General Info and Liability'!$D$16,""),"")</f>
        <v/>
      </c>
      <c r="R284" t="str">
        <f>IFERROR(IF($H284+1&gt;0,'General Info and Liability'!$B$16,""),"")</f>
        <v/>
      </c>
      <c r="S284" t="str">
        <f>IFERROR(IF($H283+1&lt;'General Info and Liability'!$B$15+1,'General Info and Liability'!$D$17,""),"")</f>
        <v/>
      </c>
      <c r="T284" t="str">
        <f>IFERROR(IF($H283+1&lt;'General Info and Liability'!$B$15+1,'General Info and Liability'!$D$18,""),"")</f>
        <v/>
      </c>
      <c r="U284" t="str">
        <f>IFERROR(IF($H283+1&lt;'General Info and Liability'!$B$15+1,'General Info and Liability'!$D$19,""),"")</f>
        <v/>
      </c>
      <c r="V284" t="str">
        <f>IFERROR(IF($H283+1&lt;'General Info and Liability'!$B$15+1,'General Info and Liability'!$B$14,""),"")</f>
        <v/>
      </c>
      <c r="W284" t="str">
        <f>IFERROR(IF($H283+1&lt;'General Info and Liability'!$B$15+1,'General Info and Liability'!$D$20,""),"")</f>
        <v/>
      </c>
    </row>
    <row r="285" spans="8:23" ht="16.5" customHeight="1">
      <c r="H285" t="str">
        <f>IFERROR(IF(H284+1&lt;'General Info and Liability'!$B$15+1,'Property Schedule'!H284+1,""),"")</f>
        <v/>
      </c>
      <c r="J285" s="8"/>
      <c r="K285" s="7" t="str">
        <f>IFERROR(IF($H284+1&lt;'General Info and Liability'!$B$15+1,'General Info and Liability'!$B$18/'General Info and Liability'!$B$10*$L285,""),"")</f>
        <v/>
      </c>
      <c r="L285" s="8"/>
      <c r="M285" s="31" t="str">
        <f>IFERROR(IF($H284+1&lt;'General Info and Liability'!$B$15+1,'General Info and Liability'!$D$14/'General Info and Liability'!$B$10*$L285,""),"")</f>
        <v/>
      </c>
      <c r="N285" s="32" t="str">
        <f>IFERROR(IF($H284+1&lt;'General Info and Liability'!$B$15+1,'General Info and Liability'!$D$15/'General Info and Liability'!$B$10*$L285,""),"")</f>
        <v/>
      </c>
      <c r="O285" s="8"/>
      <c r="P285" s="8"/>
      <c r="Q285" t="str">
        <f>IFERROR(IF($H285+1&gt;0,'General Info and Liability'!$D$16,""),"")</f>
        <v/>
      </c>
      <c r="R285" t="str">
        <f>IFERROR(IF($H285+1&gt;0,'General Info and Liability'!$B$16,""),"")</f>
        <v/>
      </c>
      <c r="S285" t="str">
        <f>IFERROR(IF($H284+1&lt;'General Info and Liability'!$B$15+1,'General Info and Liability'!$D$17,""),"")</f>
        <v/>
      </c>
      <c r="T285" t="str">
        <f>IFERROR(IF($H284+1&lt;'General Info and Liability'!$B$15+1,'General Info and Liability'!$D$18,""),"")</f>
        <v/>
      </c>
      <c r="U285" t="str">
        <f>IFERROR(IF($H284+1&lt;'General Info and Liability'!$B$15+1,'General Info and Liability'!$D$19,""),"")</f>
        <v/>
      </c>
      <c r="V285" t="str">
        <f>IFERROR(IF($H284+1&lt;'General Info and Liability'!$B$15+1,'General Info and Liability'!$B$14,""),"")</f>
        <v/>
      </c>
      <c r="W285" t="str">
        <f>IFERROR(IF($H284+1&lt;'General Info and Liability'!$B$15+1,'General Info and Liability'!$D$20,""),"")</f>
        <v/>
      </c>
    </row>
    <row r="286" spans="8:23" ht="16.5" customHeight="1">
      <c r="H286" t="str">
        <f>IFERROR(IF(H285+1&lt;'General Info and Liability'!$B$15+1,'Property Schedule'!H285+1,""),"")</f>
        <v/>
      </c>
      <c r="J286" s="8"/>
      <c r="K286" s="7" t="str">
        <f>IFERROR(IF($H285+1&lt;'General Info and Liability'!$B$15+1,'General Info and Liability'!$B$18/'General Info and Liability'!$B$10*$L286,""),"")</f>
        <v/>
      </c>
      <c r="L286" s="8"/>
      <c r="M286" s="31" t="str">
        <f>IFERROR(IF($H285+1&lt;'General Info and Liability'!$B$15+1,'General Info and Liability'!$D$14/'General Info and Liability'!$B$10*$L286,""),"")</f>
        <v/>
      </c>
      <c r="N286" s="32" t="str">
        <f>IFERROR(IF($H285+1&lt;'General Info and Liability'!$B$15+1,'General Info and Liability'!$D$15/'General Info and Liability'!$B$10*$L286,""),"")</f>
        <v/>
      </c>
      <c r="O286" s="8"/>
      <c r="P286" s="8"/>
      <c r="Q286" t="str">
        <f>IFERROR(IF($H286+1&gt;0,'General Info and Liability'!$D$16,""),"")</f>
        <v/>
      </c>
      <c r="R286" t="str">
        <f>IFERROR(IF($H286+1&gt;0,'General Info and Liability'!$B$16,""),"")</f>
        <v/>
      </c>
      <c r="S286" t="str">
        <f>IFERROR(IF($H285+1&lt;'General Info and Liability'!$B$15+1,'General Info and Liability'!$D$17,""),"")</f>
        <v/>
      </c>
      <c r="T286" t="str">
        <f>IFERROR(IF($H285+1&lt;'General Info and Liability'!$B$15+1,'General Info and Liability'!$D$18,""),"")</f>
        <v/>
      </c>
      <c r="U286" t="str">
        <f>IFERROR(IF($H285+1&lt;'General Info and Liability'!$B$15+1,'General Info and Liability'!$D$19,""),"")</f>
        <v/>
      </c>
      <c r="V286" t="str">
        <f>IFERROR(IF($H285+1&lt;'General Info and Liability'!$B$15+1,'General Info and Liability'!$B$14,""),"")</f>
        <v/>
      </c>
      <c r="W286" t="str">
        <f>IFERROR(IF($H285+1&lt;'General Info and Liability'!$B$15+1,'General Info and Liability'!$D$20,""),"")</f>
        <v/>
      </c>
    </row>
    <row r="287" spans="8:23" ht="16.5" customHeight="1">
      <c r="H287" t="str">
        <f>IFERROR(IF(H286+1&lt;'General Info and Liability'!$B$15+1,'Property Schedule'!H286+1,""),"")</f>
        <v/>
      </c>
      <c r="J287" s="8"/>
      <c r="K287" s="7" t="str">
        <f>IFERROR(IF($H286+1&lt;'General Info and Liability'!$B$15+1,'General Info and Liability'!$B$18/'General Info and Liability'!$B$10*$L287,""),"")</f>
        <v/>
      </c>
      <c r="L287" s="8"/>
      <c r="M287" s="31" t="str">
        <f>IFERROR(IF($H286+1&lt;'General Info and Liability'!$B$15+1,'General Info and Liability'!$D$14/'General Info and Liability'!$B$10*$L287,""),"")</f>
        <v/>
      </c>
      <c r="N287" s="32" t="str">
        <f>IFERROR(IF($H286+1&lt;'General Info and Liability'!$B$15+1,'General Info and Liability'!$D$15/'General Info and Liability'!$B$10*$L287,""),"")</f>
        <v/>
      </c>
      <c r="O287" s="8"/>
      <c r="P287" s="8"/>
      <c r="Q287" t="str">
        <f>IFERROR(IF($H287+1&gt;0,'General Info and Liability'!$D$16,""),"")</f>
        <v/>
      </c>
      <c r="R287" t="str">
        <f>IFERROR(IF($H287+1&gt;0,'General Info and Liability'!$B$16,""),"")</f>
        <v/>
      </c>
      <c r="S287" t="str">
        <f>IFERROR(IF($H286+1&lt;'General Info and Liability'!$B$15+1,'General Info and Liability'!$D$17,""),"")</f>
        <v/>
      </c>
      <c r="T287" t="str">
        <f>IFERROR(IF($H286+1&lt;'General Info and Liability'!$B$15+1,'General Info and Liability'!$D$18,""),"")</f>
        <v/>
      </c>
      <c r="U287" t="str">
        <f>IFERROR(IF($H286+1&lt;'General Info and Liability'!$B$15+1,'General Info and Liability'!$D$19,""),"")</f>
        <v/>
      </c>
      <c r="V287" t="str">
        <f>IFERROR(IF($H286+1&lt;'General Info and Liability'!$B$15+1,'General Info and Liability'!$B$14,""),"")</f>
        <v/>
      </c>
      <c r="W287" t="str">
        <f>IFERROR(IF($H286+1&lt;'General Info and Liability'!$B$15+1,'General Info and Liability'!$D$20,""),"")</f>
        <v/>
      </c>
    </row>
    <row r="288" spans="8:23" ht="16.5" customHeight="1">
      <c r="H288" t="str">
        <f>IFERROR(IF(H287+1&lt;'General Info and Liability'!$B$15+1,'Property Schedule'!H287+1,""),"")</f>
        <v/>
      </c>
      <c r="J288" s="8"/>
      <c r="K288" s="7" t="str">
        <f>IFERROR(IF($H287+1&lt;'General Info and Liability'!$B$15+1,'General Info and Liability'!$B$18/'General Info and Liability'!$B$10*$L288,""),"")</f>
        <v/>
      </c>
      <c r="L288" s="8"/>
      <c r="M288" s="31" t="str">
        <f>IFERROR(IF($H287+1&lt;'General Info and Liability'!$B$15+1,'General Info and Liability'!$D$14/'General Info and Liability'!$B$10*$L288,""),"")</f>
        <v/>
      </c>
      <c r="N288" s="32" t="str">
        <f>IFERROR(IF($H287+1&lt;'General Info and Liability'!$B$15+1,'General Info and Liability'!$D$15/'General Info and Liability'!$B$10*$L288,""),"")</f>
        <v/>
      </c>
      <c r="O288" s="8"/>
      <c r="P288" s="8"/>
      <c r="Q288" t="str">
        <f>IFERROR(IF($H288+1&gt;0,'General Info and Liability'!$D$16,""),"")</f>
        <v/>
      </c>
      <c r="R288" t="str">
        <f>IFERROR(IF($H288+1&gt;0,'General Info and Liability'!$B$16,""),"")</f>
        <v/>
      </c>
      <c r="S288" t="str">
        <f>IFERROR(IF($H287+1&lt;'General Info and Liability'!$B$15+1,'General Info and Liability'!$D$17,""),"")</f>
        <v/>
      </c>
      <c r="T288" t="str">
        <f>IFERROR(IF($H287+1&lt;'General Info and Liability'!$B$15+1,'General Info and Liability'!$D$18,""),"")</f>
        <v/>
      </c>
      <c r="U288" t="str">
        <f>IFERROR(IF($H287+1&lt;'General Info and Liability'!$B$15+1,'General Info and Liability'!$D$19,""),"")</f>
        <v/>
      </c>
      <c r="V288" t="str">
        <f>IFERROR(IF($H287+1&lt;'General Info and Liability'!$B$15+1,'General Info and Liability'!$B$14,""),"")</f>
        <v/>
      </c>
      <c r="W288" t="str">
        <f>IFERROR(IF($H287+1&lt;'General Info and Liability'!$B$15+1,'General Info and Liability'!$D$20,""),"")</f>
        <v/>
      </c>
    </row>
    <row r="289" spans="8:23" ht="16.5" customHeight="1">
      <c r="H289" t="str">
        <f>IFERROR(IF(H288+1&lt;'General Info and Liability'!$B$15+1,'Property Schedule'!H288+1,""),"")</f>
        <v/>
      </c>
      <c r="J289" s="8"/>
      <c r="K289" s="7" t="str">
        <f>IFERROR(IF($H288+1&lt;'General Info and Liability'!$B$15+1,'General Info and Liability'!$B$18/'General Info and Liability'!$B$10*$L289,""),"")</f>
        <v/>
      </c>
      <c r="L289" s="8"/>
      <c r="M289" s="31" t="str">
        <f>IFERROR(IF($H288+1&lt;'General Info and Liability'!$B$15+1,'General Info and Liability'!$D$14/'General Info and Liability'!$B$10*$L289,""),"")</f>
        <v/>
      </c>
      <c r="N289" s="32" t="str">
        <f>IFERROR(IF($H288+1&lt;'General Info and Liability'!$B$15+1,'General Info and Liability'!$D$15/'General Info and Liability'!$B$10*$L289,""),"")</f>
        <v/>
      </c>
      <c r="O289" s="8"/>
      <c r="P289" s="8"/>
      <c r="Q289" t="str">
        <f>IFERROR(IF($H289+1&gt;0,'General Info and Liability'!$D$16,""),"")</f>
        <v/>
      </c>
      <c r="R289" t="str">
        <f>IFERROR(IF($H289+1&gt;0,'General Info and Liability'!$B$16,""),"")</f>
        <v/>
      </c>
      <c r="S289" t="str">
        <f>IFERROR(IF($H288+1&lt;'General Info and Liability'!$B$15+1,'General Info and Liability'!$D$17,""),"")</f>
        <v/>
      </c>
      <c r="T289" t="str">
        <f>IFERROR(IF($H288+1&lt;'General Info and Liability'!$B$15+1,'General Info and Liability'!$D$18,""),"")</f>
        <v/>
      </c>
      <c r="U289" t="str">
        <f>IFERROR(IF($H288+1&lt;'General Info and Liability'!$B$15+1,'General Info and Liability'!$D$19,""),"")</f>
        <v/>
      </c>
      <c r="V289" t="str">
        <f>IFERROR(IF($H288+1&lt;'General Info and Liability'!$B$15+1,'General Info and Liability'!$B$14,""),"")</f>
        <v/>
      </c>
      <c r="W289" t="str">
        <f>IFERROR(IF($H288+1&lt;'General Info and Liability'!$B$15+1,'General Info and Liability'!$D$20,""),"")</f>
        <v/>
      </c>
    </row>
    <row r="290" spans="8:23" ht="16.5" customHeight="1">
      <c r="H290" t="str">
        <f>IFERROR(IF(H289+1&lt;'General Info and Liability'!$B$15+1,'Property Schedule'!H289+1,""),"")</f>
        <v/>
      </c>
      <c r="J290" s="8"/>
      <c r="K290" s="7" t="str">
        <f>IFERROR(IF($H289+1&lt;'General Info and Liability'!$B$15+1,'General Info and Liability'!$B$18/'General Info and Liability'!$B$10*$L290,""),"")</f>
        <v/>
      </c>
      <c r="L290" s="8"/>
      <c r="M290" s="31" t="str">
        <f>IFERROR(IF($H289+1&lt;'General Info and Liability'!$B$15+1,'General Info and Liability'!$D$14/'General Info and Liability'!$B$10*$L290,""),"")</f>
        <v/>
      </c>
      <c r="N290" s="32" t="str">
        <f>IFERROR(IF($H289+1&lt;'General Info and Liability'!$B$15+1,'General Info and Liability'!$D$15/'General Info and Liability'!$B$10*$L290,""),"")</f>
        <v/>
      </c>
      <c r="O290" s="8"/>
      <c r="P290" s="8"/>
      <c r="Q290" t="str">
        <f>IFERROR(IF($H290+1&gt;0,'General Info and Liability'!$D$16,""),"")</f>
        <v/>
      </c>
      <c r="R290" t="str">
        <f>IFERROR(IF($H290+1&gt;0,'General Info and Liability'!$B$16,""),"")</f>
        <v/>
      </c>
      <c r="S290" t="str">
        <f>IFERROR(IF($H289+1&lt;'General Info and Liability'!$B$15+1,'General Info and Liability'!$D$17,""),"")</f>
        <v/>
      </c>
      <c r="T290" t="str">
        <f>IFERROR(IF($H289+1&lt;'General Info and Liability'!$B$15+1,'General Info and Liability'!$D$18,""),"")</f>
        <v/>
      </c>
      <c r="U290" t="str">
        <f>IFERROR(IF($H289+1&lt;'General Info and Liability'!$B$15+1,'General Info and Liability'!$D$19,""),"")</f>
        <v/>
      </c>
      <c r="V290" t="str">
        <f>IFERROR(IF($H289+1&lt;'General Info and Liability'!$B$15+1,'General Info and Liability'!$B$14,""),"")</f>
        <v/>
      </c>
      <c r="W290" t="str">
        <f>IFERROR(IF($H289+1&lt;'General Info and Liability'!$B$15+1,'General Info and Liability'!$D$20,""),"")</f>
        <v/>
      </c>
    </row>
    <row r="291" spans="8:23" ht="16.5" customHeight="1">
      <c r="H291" t="str">
        <f>IFERROR(IF(H290+1&lt;'General Info and Liability'!$B$15+1,'Property Schedule'!H290+1,""),"")</f>
        <v/>
      </c>
      <c r="J291" s="8"/>
      <c r="K291" s="7" t="str">
        <f>IFERROR(IF($H290+1&lt;'General Info and Liability'!$B$15+1,'General Info and Liability'!$B$18/'General Info and Liability'!$B$10*$L291,""),"")</f>
        <v/>
      </c>
      <c r="L291" s="8"/>
      <c r="M291" s="31" t="str">
        <f>IFERROR(IF($H290+1&lt;'General Info and Liability'!$B$15+1,'General Info and Liability'!$D$14/'General Info and Liability'!$B$10*$L291,""),"")</f>
        <v/>
      </c>
      <c r="N291" s="32" t="str">
        <f>IFERROR(IF($H290+1&lt;'General Info and Liability'!$B$15+1,'General Info and Liability'!$D$15/'General Info and Liability'!$B$10*$L291,""),"")</f>
        <v/>
      </c>
      <c r="O291" s="8"/>
      <c r="P291" s="8"/>
      <c r="Q291" t="str">
        <f>IFERROR(IF($H291+1&gt;0,'General Info and Liability'!$D$16,""),"")</f>
        <v/>
      </c>
      <c r="R291" t="str">
        <f>IFERROR(IF($H291+1&gt;0,'General Info and Liability'!$B$16,""),"")</f>
        <v/>
      </c>
      <c r="S291" t="str">
        <f>IFERROR(IF($H290+1&lt;'General Info and Liability'!$B$15+1,'General Info and Liability'!$D$17,""),"")</f>
        <v/>
      </c>
      <c r="T291" t="str">
        <f>IFERROR(IF($H290+1&lt;'General Info and Liability'!$B$15+1,'General Info and Liability'!$D$18,""),"")</f>
        <v/>
      </c>
      <c r="U291" t="str">
        <f>IFERROR(IF($H290+1&lt;'General Info and Liability'!$B$15+1,'General Info and Liability'!$D$19,""),"")</f>
        <v/>
      </c>
      <c r="V291" t="str">
        <f>IFERROR(IF($H290+1&lt;'General Info and Liability'!$B$15+1,'General Info and Liability'!$B$14,""),"")</f>
        <v/>
      </c>
      <c r="W291" t="str">
        <f>IFERROR(IF($H290+1&lt;'General Info and Liability'!$B$15+1,'General Info and Liability'!$D$20,""),"")</f>
        <v/>
      </c>
    </row>
    <row r="292" spans="8:23" ht="16.5" customHeight="1">
      <c r="H292" t="str">
        <f>IFERROR(IF(H291+1&lt;'General Info and Liability'!$B$15+1,'Property Schedule'!H291+1,""),"")</f>
        <v/>
      </c>
      <c r="J292" s="8"/>
      <c r="K292" s="7" t="str">
        <f>IFERROR(IF($H291+1&lt;'General Info and Liability'!$B$15+1,'General Info and Liability'!$B$18/'General Info and Liability'!$B$10*$L292,""),"")</f>
        <v/>
      </c>
      <c r="L292" s="8"/>
      <c r="M292" s="31" t="str">
        <f>IFERROR(IF($H291+1&lt;'General Info and Liability'!$B$15+1,'General Info and Liability'!$D$14/'General Info and Liability'!$B$10*$L292,""),"")</f>
        <v/>
      </c>
      <c r="N292" s="32" t="str">
        <f>IFERROR(IF($H291+1&lt;'General Info and Liability'!$B$15+1,'General Info and Liability'!$D$15/'General Info and Liability'!$B$10*$L292,""),"")</f>
        <v/>
      </c>
      <c r="O292" s="8"/>
      <c r="P292" s="8"/>
      <c r="Q292" t="str">
        <f>IFERROR(IF($H292+1&gt;0,'General Info and Liability'!$D$16,""),"")</f>
        <v/>
      </c>
      <c r="R292" t="str">
        <f>IFERROR(IF($H292+1&gt;0,'General Info and Liability'!$B$16,""),"")</f>
        <v/>
      </c>
      <c r="S292" t="str">
        <f>IFERROR(IF($H291+1&lt;'General Info and Liability'!$B$15+1,'General Info and Liability'!$D$17,""),"")</f>
        <v/>
      </c>
      <c r="T292" t="str">
        <f>IFERROR(IF($H291+1&lt;'General Info and Liability'!$B$15+1,'General Info and Liability'!$D$18,""),"")</f>
        <v/>
      </c>
      <c r="U292" t="str">
        <f>IFERROR(IF($H291+1&lt;'General Info and Liability'!$B$15+1,'General Info and Liability'!$D$19,""),"")</f>
        <v/>
      </c>
      <c r="V292" t="str">
        <f>IFERROR(IF($H291+1&lt;'General Info and Liability'!$B$15+1,'General Info and Liability'!$B$14,""),"")</f>
        <v/>
      </c>
      <c r="W292" t="str">
        <f>IFERROR(IF($H291+1&lt;'General Info and Liability'!$B$15+1,'General Info and Liability'!$D$20,""),"")</f>
        <v/>
      </c>
    </row>
    <row r="293" spans="8:23" ht="16.5" customHeight="1">
      <c r="H293" t="str">
        <f>IFERROR(IF(H292+1&lt;'General Info and Liability'!$B$15+1,'Property Schedule'!H292+1,""),"")</f>
        <v/>
      </c>
      <c r="J293" s="8"/>
      <c r="K293" s="7" t="str">
        <f>IFERROR(IF($H292+1&lt;'General Info and Liability'!$B$15+1,'General Info and Liability'!$B$18/'General Info and Liability'!$B$10*$L293,""),"")</f>
        <v/>
      </c>
      <c r="L293" s="8"/>
      <c r="M293" s="31" t="str">
        <f>IFERROR(IF($H292+1&lt;'General Info and Liability'!$B$15+1,'General Info and Liability'!$D$14/'General Info and Liability'!$B$10*$L293,""),"")</f>
        <v/>
      </c>
      <c r="N293" s="32" t="str">
        <f>IFERROR(IF($H292+1&lt;'General Info and Liability'!$B$15+1,'General Info and Liability'!$D$15/'General Info and Liability'!$B$10*$L293,""),"")</f>
        <v/>
      </c>
      <c r="O293" s="8"/>
      <c r="P293" s="8"/>
      <c r="Q293" t="str">
        <f>IFERROR(IF($H293+1&gt;0,'General Info and Liability'!$D$16,""),"")</f>
        <v/>
      </c>
      <c r="R293" t="str">
        <f>IFERROR(IF($H293+1&gt;0,'General Info and Liability'!$B$16,""),"")</f>
        <v/>
      </c>
      <c r="S293" t="str">
        <f>IFERROR(IF($H292+1&lt;'General Info and Liability'!$B$15+1,'General Info and Liability'!$D$17,""),"")</f>
        <v/>
      </c>
      <c r="T293" t="str">
        <f>IFERROR(IF($H292+1&lt;'General Info and Liability'!$B$15+1,'General Info and Liability'!$D$18,""),"")</f>
        <v/>
      </c>
      <c r="U293" t="str">
        <f>IFERROR(IF($H292+1&lt;'General Info and Liability'!$B$15+1,'General Info and Liability'!$D$19,""),"")</f>
        <v/>
      </c>
      <c r="V293" t="str">
        <f>IFERROR(IF($H292+1&lt;'General Info and Liability'!$B$15+1,'General Info and Liability'!$B$14,""),"")</f>
        <v/>
      </c>
      <c r="W293" t="str">
        <f>IFERROR(IF($H292+1&lt;'General Info and Liability'!$B$15+1,'General Info and Liability'!$D$20,""),"")</f>
        <v/>
      </c>
    </row>
    <row r="294" spans="8:23" ht="16.5" customHeight="1">
      <c r="H294" t="str">
        <f>IFERROR(IF(H293+1&lt;'General Info and Liability'!$B$15+1,'Property Schedule'!H293+1,""),"")</f>
        <v/>
      </c>
      <c r="J294" s="8"/>
      <c r="K294" s="7" t="str">
        <f>IFERROR(IF($H293+1&lt;'General Info and Liability'!$B$15+1,'General Info and Liability'!$B$18/'General Info and Liability'!$B$10*$L294,""),"")</f>
        <v/>
      </c>
      <c r="L294" s="8"/>
      <c r="M294" s="31" t="str">
        <f>IFERROR(IF($H293+1&lt;'General Info and Liability'!$B$15+1,'General Info and Liability'!$D$14/'General Info and Liability'!$B$10*$L294,""),"")</f>
        <v/>
      </c>
      <c r="N294" s="32" t="str">
        <f>IFERROR(IF($H293+1&lt;'General Info and Liability'!$B$15+1,'General Info and Liability'!$D$15/'General Info and Liability'!$B$10*$L294,""),"")</f>
        <v/>
      </c>
      <c r="O294" s="8"/>
      <c r="P294" s="8"/>
      <c r="Q294" t="str">
        <f>IFERROR(IF($H294+1&gt;0,'General Info and Liability'!$D$16,""),"")</f>
        <v/>
      </c>
      <c r="R294" t="str">
        <f>IFERROR(IF($H294+1&gt;0,'General Info and Liability'!$B$16,""),"")</f>
        <v/>
      </c>
      <c r="S294" t="str">
        <f>IFERROR(IF($H293+1&lt;'General Info and Liability'!$B$15+1,'General Info and Liability'!$D$17,""),"")</f>
        <v/>
      </c>
      <c r="T294" t="str">
        <f>IFERROR(IF($H293+1&lt;'General Info and Liability'!$B$15+1,'General Info and Liability'!$D$18,""),"")</f>
        <v/>
      </c>
      <c r="U294" t="str">
        <f>IFERROR(IF($H293+1&lt;'General Info and Liability'!$B$15+1,'General Info and Liability'!$D$19,""),"")</f>
        <v/>
      </c>
      <c r="V294" t="str">
        <f>IFERROR(IF($H293+1&lt;'General Info and Liability'!$B$15+1,'General Info and Liability'!$B$14,""),"")</f>
        <v/>
      </c>
      <c r="W294" t="str">
        <f>IFERROR(IF($H293+1&lt;'General Info and Liability'!$B$15+1,'General Info and Liability'!$D$20,""),"")</f>
        <v/>
      </c>
    </row>
    <row r="295" spans="8:23" ht="16.5" customHeight="1">
      <c r="H295" t="str">
        <f>IFERROR(IF(H294+1&lt;'General Info and Liability'!$B$15+1,'Property Schedule'!H294+1,""),"")</f>
        <v/>
      </c>
      <c r="J295" s="8"/>
      <c r="K295" s="7" t="str">
        <f>IFERROR(IF($H294+1&lt;'General Info and Liability'!$B$15+1,'General Info and Liability'!$B$18/'General Info and Liability'!$B$10*$L295,""),"")</f>
        <v/>
      </c>
      <c r="L295" s="8"/>
      <c r="M295" s="31" t="str">
        <f>IFERROR(IF($H294+1&lt;'General Info and Liability'!$B$15+1,'General Info and Liability'!$D$14/'General Info and Liability'!$B$10*$L295,""),"")</f>
        <v/>
      </c>
      <c r="N295" s="32" t="str">
        <f>IFERROR(IF($H294+1&lt;'General Info and Liability'!$B$15+1,'General Info and Liability'!$D$15/'General Info and Liability'!$B$10*$L295,""),"")</f>
        <v/>
      </c>
      <c r="O295" s="8"/>
      <c r="P295" s="8"/>
      <c r="Q295" t="str">
        <f>IFERROR(IF($H295+1&gt;0,'General Info and Liability'!$D$16,""),"")</f>
        <v/>
      </c>
      <c r="R295" t="str">
        <f>IFERROR(IF($H295+1&gt;0,'General Info and Liability'!$B$16,""),"")</f>
        <v/>
      </c>
      <c r="S295" t="str">
        <f>IFERROR(IF($H294+1&lt;'General Info and Liability'!$B$15+1,'General Info and Liability'!$D$17,""),"")</f>
        <v/>
      </c>
      <c r="T295" t="str">
        <f>IFERROR(IF($H294+1&lt;'General Info and Liability'!$B$15+1,'General Info and Liability'!$D$18,""),"")</f>
        <v/>
      </c>
      <c r="U295" t="str">
        <f>IFERROR(IF($H294+1&lt;'General Info and Liability'!$B$15+1,'General Info and Liability'!$D$19,""),"")</f>
        <v/>
      </c>
      <c r="V295" t="str">
        <f>IFERROR(IF($H294+1&lt;'General Info and Liability'!$B$15+1,'General Info and Liability'!$B$14,""),"")</f>
        <v/>
      </c>
      <c r="W295" t="str">
        <f>IFERROR(IF($H294+1&lt;'General Info and Liability'!$B$15+1,'General Info and Liability'!$D$20,""),"")</f>
        <v/>
      </c>
    </row>
    <row r="296" spans="8:23" ht="16.5" customHeight="1">
      <c r="H296" t="str">
        <f>IFERROR(IF(H295+1&lt;'General Info and Liability'!$B$15+1,'Property Schedule'!H295+1,""),"")</f>
        <v/>
      </c>
      <c r="J296" s="8"/>
      <c r="K296" s="7" t="str">
        <f>IFERROR(IF($H295+1&lt;'General Info and Liability'!$B$15+1,'General Info and Liability'!$B$18/'General Info and Liability'!$B$10*$L296,""),"")</f>
        <v/>
      </c>
      <c r="L296" s="8"/>
      <c r="M296" s="31" t="str">
        <f>IFERROR(IF($H295+1&lt;'General Info and Liability'!$B$15+1,'General Info and Liability'!$D$14/'General Info and Liability'!$B$10*$L296,""),"")</f>
        <v/>
      </c>
      <c r="N296" s="32" t="str">
        <f>IFERROR(IF($H295+1&lt;'General Info and Liability'!$B$15+1,'General Info and Liability'!$D$15/'General Info and Liability'!$B$10*$L296,""),"")</f>
        <v/>
      </c>
      <c r="O296" s="8"/>
      <c r="P296" s="8"/>
      <c r="Q296" t="str">
        <f>IFERROR(IF($H296+1&gt;0,'General Info and Liability'!$D$16,""),"")</f>
        <v/>
      </c>
      <c r="R296" t="str">
        <f>IFERROR(IF($H296+1&gt;0,'General Info and Liability'!$B$16,""),"")</f>
        <v/>
      </c>
      <c r="S296" t="str">
        <f>IFERROR(IF($H295+1&lt;'General Info and Liability'!$B$15+1,'General Info and Liability'!$D$17,""),"")</f>
        <v/>
      </c>
      <c r="T296" t="str">
        <f>IFERROR(IF($H295+1&lt;'General Info and Liability'!$B$15+1,'General Info and Liability'!$D$18,""),"")</f>
        <v/>
      </c>
      <c r="U296" t="str">
        <f>IFERROR(IF($H295+1&lt;'General Info and Liability'!$B$15+1,'General Info and Liability'!$D$19,""),"")</f>
        <v/>
      </c>
      <c r="V296" t="str">
        <f>IFERROR(IF($H295+1&lt;'General Info and Liability'!$B$15+1,'General Info and Liability'!$B$14,""),"")</f>
        <v/>
      </c>
      <c r="W296" t="str">
        <f>IFERROR(IF($H295+1&lt;'General Info and Liability'!$B$15+1,'General Info and Liability'!$D$20,""),"")</f>
        <v/>
      </c>
    </row>
    <row r="297" spans="8:23" ht="16.5" customHeight="1">
      <c r="H297" t="str">
        <f>IFERROR(IF(H296+1&lt;'General Info and Liability'!$B$15+1,'Property Schedule'!H296+1,""),"")</f>
        <v/>
      </c>
      <c r="J297" s="8"/>
      <c r="K297" s="7" t="str">
        <f>IFERROR(IF($H296+1&lt;'General Info and Liability'!$B$15+1,'General Info and Liability'!$B$18/'General Info and Liability'!$B$10*$L297,""),"")</f>
        <v/>
      </c>
      <c r="L297" s="8"/>
      <c r="M297" s="31" t="str">
        <f>IFERROR(IF($H296+1&lt;'General Info and Liability'!$B$15+1,'General Info and Liability'!$D$14/'General Info and Liability'!$B$10*$L297,""),"")</f>
        <v/>
      </c>
      <c r="N297" s="32" t="str">
        <f>IFERROR(IF($H296+1&lt;'General Info and Liability'!$B$15+1,'General Info and Liability'!$D$15/'General Info and Liability'!$B$10*$L297,""),"")</f>
        <v/>
      </c>
      <c r="O297" s="8"/>
      <c r="P297" s="8"/>
      <c r="Q297" t="str">
        <f>IFERROR(IF($H297+1&gt;0,'General Info and Liability'!$D$16,""),"")</f>
        <v/>
      </c>
      <c r="R297" t="str">
        <f>IFERROR(IF($H297+1&gt;0,'General Info and Liability'!$B$16,""),"")</f>
        <v/>
      </c>
      <c r="S297" t="str">
        <f>IFERROR(IF($H296+1&lt;'General Info and Liability'!$B$15+1,'General Info and Liability'!$D$17,""),"")</f>
        <v/>
      </c>
      <c r="T297" t="str">
        <f>IFERROR(IF($H296+1&lt;'General Info and Liability'!$B$15+1,'General Info and Liability'!$D$18,""),"")</f>
        <v/>
      </c>
      <c r="U297" t="str">
        <f>IFERROR(IF($H296+1&lt;'General Info and Liability'!$B$15+1,'General Info and Liability'!$D$19,""),"")</f>
        <v/>
      </c>
      <c r="V297" t="str">
        <f>IFERROR(IF($H296+1&lt;'General Info and Liability'!$B$15+1,'General Info and Liability'!$B$14,""),"")</f>
        <v/>
      </c>
      <c r="W297" t="str">
        <f>IFERROR(IF($H296+1&lt;'General Info and Liability'!$B$15+1,'General Info and Liability'!$D$20,""),"")</f>
        <v/>
      </c>
    </row>
    <row r="298" spans="8:23" ht="16.5" customHeight="1">
      <c r="H298" t="str">
        <f>IFERROR(IF(H297+1&lt;'General Info and Liability'!$B$15+1,'Property Schedule'!H297+1,""),"")</f>
        <v/>
      </c>
      <c r="J298" s="8"/>
      <c r="K298" s="7" t="str">
        <f>IFERROR(IF($H297+1&lt;'General Info and Liability'!$B$15+1,'General Info and Liability'!$B$18/'General Info and Liability'!$B$10*$L298,""),"")</f>
        <v/>
      </c>
      <c r="L298" s="8"/>
      <c r="M298" s="31" t="str">
        <f>IFERROR(IF($H297+1&lt;'General Info and Liability'!$B$15+1,'General Info and Liability'!$D$14/'General Info and Liability'!$B$10*$L298,""),"")</f>
        <v/>
      </c>
      <c r="N298" s="32" t="str">
        <f>IFERROR(IF($H297+1&lt;'General Info and Liability'!$B$15+1,'General Info and Liability'!$D$15/'General Info and Liability'!$B$10*$L298,""),"")</f>
        <v/>
      </c>
      <c r="O298" s="8"/>
      <c r="P298" s="8"/>
      <c r="Q298" t="str">
        <f>IFERROR(IF($H298+1&gt;0,'General Info and Liability'!$D$16,""),"")</f>
        <v/>
      </c>
      <c r="R298" t="str">
        <f>IFERROR(IF($H298+1&gt;0,'General Info and Liability'!$B$16,""),"")</f>
        <v/>
      </c>
      <c r="S298" t="str">
        <f>IFERROR(IF($H297+1&lt;'General Info and Liability'!$B$15+1,'General Info and Liability'!$D$17,""),"")</f>
        <v/>
      </c>
      <c r="T298" t="str">
        <f>IFERROR(IF($H297+1&lt;'General Info and Liability'!$B$15+1,'General Info and Liability'!$D$18,""),"")</f>
        <v/>
      </c>
      <c r="U298" t="str">
        <f>IFERROR(IF($H297+1&lt;'General Info and Liability'!$B$15+1,'General Info and Liability'!$D$19,""),"")</f>
        <v/>
      </c>
      <c r="V298" t="str">
        <f>IFERROR(IF($H297+1&lt;'General Info and Liability'!$B$15+1,'General Info and Liability'!$B$14,""),"")</f>
        <v/>
      </c>
      <c r="W298" t="str">
        <f>IFERROR(IF($H297+1&lt;'General Info and Liability'!$B$15+1,'General Info and Liability'!$D$20,""),"")</f>
        <v/>
      </c>
    </row>
    <row r="299" spans="8:23" ht="16.5" customHeight="1">
      <c r="H299" t="str">
        <f>IFERROR(IF(H298+1&lt;'General Info and Liability'!$B$15+1,'Property Schedule'!H298+1,""),"")</f>
        <v/>
      </c>
      <c r="J299" s="8"/>
      <c r="K299" s="7" t="str">
        <f>IFERROR(IF($H298+1&lt;'General Info and Liability'!$B$15+1,'General Info and Liability'!$B$18/'General Info and Liability'!$B$10*$L299,""),"")</f>
        <v/>
      </c>
      <c r="L299" s="8"/>
      <c r="M299" s="31" t="str">
        <f>IFERROR(IF($H298+1&lt;'General Info and Liability'!$B$15+1,'General Info and Liability'!$D$14/'General Info and Liability'!$B$10*$L299,""),"")</f>
        <v/>
      </c>
      <c r="N299" s="32" t="str">
        <f>IFERROR(IF($H298+1&lt;'General Info and Liability'!$B$15+1,'General Info and Liability'!$D$15/'General Info and Liability'!$B$10*$L299,""),"")</f>
        <v/>
      </c>
      <c r="O299" s="8"/>
      <c r="P299" s="8"/>
      <c r="Q299" t="str">
        <f>IFERROR(IF($H299+1&gt;0,'General Info and Liability'!$D$16,""),"")</f>
        <v/>
      </c>
      <c r="R299" t="str">
        <f>IFERROR(IF($H299+1&gt;0,'General Info and Liability'!$B$16,""),"")</f>
        <v/>
      </c>
      <c r="S299" t="str">
        <f>IFERROR(IF($H298+1&lt;'General Info and Liability'!$B$15+1,'General Info and Liability'!$D$17,""),"")</f>
        <v/>
      </c>
      <c r="T299" t="str">
        <f>IFERROR(IF($H298+1&lt;'General Info and Liability'!$B$15+1,'General Info and Liability'!$D$18,""),"")</f>
        <v/>
      </c>
      <c r="U299" t="str">
        <f>IFERROR(IF($H298+1&lt;'General Info and Liability'!$B$15+1,'General Info and Liability'!$D$19,""),"")</f>
        <v/>
      </c>
      <c r="V299" t="str">
        <f>IFERROR(IF($H298+1&lt;'General Info and Liability'!$B$15+1,'General Info and Liability'!$B$14,""),"")</f>
        <v/>
      </c>
      <c r="W299" t="str">
        <f>IFERROR(IF($H298+1&lt;'General Info and Liability'!$B$15+1,'General Info and Liability'!$D$20,""),"")</f>
        <v/>
      </c>
    </row>
    <row r="300" spans="8:23" ht="16.5" customHeight="1">
      <c r="H300" t="str">
        <f>IFERROR(IF(H299+1&lt;'General Info and Liability'!$B$15+1,'Property Schedule'!H299+1,""),"")</f>
        <v/>
      </c>
      <c r="J300" s="8"/>
      <c r="K300" s="7" t="str">
        <f>IFERROR(IF($H299+1&lt;'General Info and Liability'!$B$15+1,'General Info and Liability'!$B$18/'General Info and Liability'!$B$10*$L300,""),"")</f>
        <v/>
      </c>
      <c r="L300" s="8"/>
      <c r="M300" s="31" t="str">
        <f>IFERROR(IF($H299+1&lt;'General Info and Liability'!$B$15+1,'General Info and Liability'!$D$14/'General Info and Liability'!$B$10*$L300,""),"")</f>
        <v/>
      </c>
      <c r="N300" s="32" t="str">
        <f>IFERROR(IF($H299+1&lt;'General Info and Liability'!$B$15+1,'General Info and Liability'!$D$15/'General Info and Liability'!$B$10*$L300,""),"")</f>
        <v/>
      </c>
      <c r="O300" s="8"/>
      <c r="P300" s="8"/>
      <c r="Q300" t="str">
        <f>IFERROR(IF($H300+1&gt;0,'General Info and Liability'!$D$16,""),"")</f>
        <v/>
      </c>
      <c r="R300" t="str">
        <f>IFERROR(IF($H300+1&gt;0,'General Info and Liability'!$B$16,""),"")</f>
        <v/>
      </c>
      <c r="S300" t="str">
        <f>IFERROR(IF($H299+1&lt;'General Info and Liability'!$B$15+1,'General Info and Liability'!$D$17,""),"")</f>
        <v/>
      </c>
      <c r="T300" t="str">
        <f>IFERROR(IF($H299+1&lt;'General Info and Liability'!$B$15+1,'General Info and Liability'!$D$18,""),"")</f>
        <v/>
      </c>
      <c r="U300" t="str">
        <f>IFERROR(IF($H299+1&lt;'General Info and Liability'!$B$15+1,'General Info and Liability'!$D$19,""),"")</f>
        <v/>
      </c>
      <c r="V300" t="str">
        <f>IFERROR(IF($H299+1&lt;'General Info and Liability'!$B$15+1,'General Info and Liability'!$B$14,""),"")</f>
        <v/>
      </c>
      <c r="W300" t="str">
        <f>IFERROR(IF($H299+1&lt;'General Info and Liability'!$B$15+1,'General Info and Liability'!$D$20,""),"")</f>
        <v/>
      </c>
    </row>
    <row r="301" spans="8:23" ht="16.5" customHeight="1">
      <c r="H301" t="str">
        <f>IFERROR(IF(H300+1&lt;'General Info and Liability'!$B$15+1,'Property Schedule'!H300+1,""),"")</f>
        <v/>
      </c>
      <c r="J301" s="8"/>
      <c r="K301" s="7" t="str">
        <f>IFERROR(IF($H300+1&lt;'General Info and Liability'!$B$15+1,'General Info and Liability'!$B$18/'General Info and Liability'!$B$10*$L301,""),"")</f>
        <v/>
      </c>
      <c r="L301" s="8"/>
      <c r="M301" s="31" t="str">
        <f>IFERROR(IF($H300+1&lt;'General Info and Liability'!$B$15+1,'General Info and Liability'!$D$14/'General Info and Liability'!$B$10*$L301,""),"")</f>
        <v/>
      </c>
      <c r="N301" s="32" t="str">
        <f>IFERROR(IF($H300+1&lt;'General Info and Liability'!$B$15+1,'General Info and Liability'!$D$15/'General Info and Liability'!$B$10*$L301,""),"")</f>
        <v/>
      </c>
      <c r="O301" s="8"/>
      <c r="P301" s="8"/>
      <c r="Q301" t="str">
        <f>IFERROR(IF($H301+1&gt;0,'General Info and Liability'!$D$16,""),"")</f>
        <v/>
      </c>
      <c r="R301" t="str">
        <f>IFERROR(IF($H301+1&gt;0,'General Info and Liability'!$B$16,""),"")</f>
        <v/>
      </c>
      <c r="S301" t="str">
        <f>IFERROR(IF($H300+1&lt;'General Info and Liability'!$B$15+1,'General Info and Liability'!$D$17,""),"")</f>
        <v/>
      </c>
      <c r="T301" t="str">
        <f>IFERROR(IF($H300+1&lt;'General Info and Liability'!$B$15+1,'General Info and Liability'!$D$18,""),"")</f>
        <v/>
      </c>
      <c r="U301" t="str">
        <f>IFERROR(IF($H300+1&lt;'General Info and Liability'!$B$15+1,'General Info and Liability'!$D$19,""),"")</f>
        <v/>
      </c>
      <c r="V301" t="str">
        <f>IFERROR(IF($H300+1&lt;'General Info and Liability'!$B$15+1,'General Info and Liability'!$B$14,""),"")</f>
        <v/>
      </c>
      <c r="W301" t="str">
        <f>IFERROR(IF($H300+1&lt;'General Info and Liability'!$B$15+1,'General Info and Liability'!$D$20,""),"")</f>
        <v/>
      </c>
    </row>
    <row r="302" spans="8:23" ht="16.5" customHeight="1">
      <c r="H302" t="str">
        <f>IFERROR(IF(H301+1&lt;'General Info and Liability'!$B$15+1,'Property Schedule'!H301+1,""),"")</f>
        <v/>
      </c>
      <c r="J302" s="8"/>
      <c r="K302" s="7" t="str">
        <f>IFERROR(IF($H301+1&lt;'General Info and Liability'!$B$15+1,'General Info and Liability'!$B$18/'General Info and Liability'!$B$10*$L302,""),"")</f>
        <v/>
      </c>
      <c r="L302" s="8"/>
      <c r="M302" s="31" t="str">
        <f>IFERROR(IF($H301+1&lt;'General Info and Liability'!$B$15+1,'General Info and Liability'!$D$14/'General Info and Liability'!$B$10*$L302,""),"")</f>
        <v/>
      </c>
      <c r="N302" s="32" t="str">
        <f>IFERROR(IF($H301+1&lt;'General Info and Liability'!$B$15+1,'General Info and Liability'!$D$15/'General Info and Liability'!$B$10*$L302,""),"")</f>
        <v/>
      </c>
      <c r="O302" s="8"/>
      <c r="P302" s="8"/>
      <c r="Q302" t="str">
        <f>IFERROR(IF($H302+1&gt;0,'General Info and Liability'!$D$16,""),"")</f>
        <v/>
      </c>
      <c r="R302" t="str">
        <f>IFERROR(IF($H302+1&gt;0,'General Info and Liability'!$B$16,""),"")</f>
        <v/>
      </c>
      <c r="S302" t="str">
        <f>IFERROR(IF($H301+1&lt;'General Info and Liability'!$B$15+1,'General Info and Liability'!$D$17,""),"")</f>
        <v/>
      </c>
      <c r="T302" t="str">
        <f>IFERROR(IF($H301+1&lt;'General Info and Liability'!$B$15+1,'General Info and Liability'!$D$18,""),"")</f>
        <v/>
      </c>
      <c r="U302" t="str">
        <f>IFERROR(IF($H301+1&lt;'General Info and Liability'!$B$15+1,'General Info and Liability'!$D$19,""),"")</f>
        <v/>
      </c>
      <c r="V302" t="str">
        <f>IFERROR(IF($H301+1&lt;'General Info and Liability'!$B$15+1,'General Info and Liability'!$B$14,""),"")</f>
        <v/>
      </c>
      <c r="W302" t="str">
        <f>IFERROR(IF($H301+1&lt;'General Info and Liability'!$B$15+1,'General Info and Liability'!$D$20,""),"")</f>
        <v/>
      </c>
    </row>
    <row r="303" spans="8:23" ht="16.5" customHeight="1">
      <c r="H303" t="str">
        <f>IFERROR(IF(H302+1&lt;'General Info and Liability'!$B$15+1,'Property Schedule'!H302+1,""),"")</f>
        <v/>
      </c>
      <c r="J303" s="8"/>
      <c r="K303" s="7" t="str">
        <f>IFERROR(IF($H302+1&lt;'General Info and Liability'!$B$15+1,'General Info and Liability'!$B$18/'General Info and Liability'!$B$10*$L303,""),"")</f>
        <v/>
      </c>
      <c r="L303" s="8"/>
      <c r="M303" s="31" t="str">
        <f>IFERROR(IF($H302+1&lt;'General Info and Liability'!$B$15+1,'General Info and Liability'!$D$14/'General Info and Liability'!$B$10*$L303,""),"")</f>
        <v/>
      </c>
      <c r="N303" s="32" t="str">
        <f>IFERROR(IF($H302+1&lt;'General Info and Liability'!$B$15+1,'General Info and Liability'!$D$15/'General Info and Liability'!$B$10*$L303,""),"")</f>
        <v/>
      </c>
      <c r="O303" s="8"/>
      <c r="P303" s="8"/>
      <c r="Q303" t="str">
        <f>IFERROR(IF($H303+1&gt;0,'General Info and Liability'!$D$16,""),"")</f>
        <v/>
      </c>
      <c r="R303" t="str">
        <f>IFERROR(IF($H303+1&gt;0,'General Info and Liability'!$B$16,""),"")</f>
        <v/>
      </c>
      <c r="S303" t="str">
        <f>IFERROR(IF($H302+1&lt;'General Info and Liability'!$B$15+1,'General Info and Liability'!$D$17,""),"")</f>
        <v/>
      </c>
      <c r="T303" t="str">
        <f>IFERROR(IF($H302+1&lt;'General Info and Liability'!$B$15+1,'General Info and Liability'!$D$18,""),"")</f>
        <v/>
      </c>
      <c r="U303" t="str">
        <f>IFERROR(IF($H302+1&lt;'General Info and Liability'!$B$15+1,'General Info and Liability'!$D$19,""),"")</f>
        <v/>
      </c>
      <c r="V303" t="str">
        <f>IFERROR(IF($H302+1&lt;'General Info and Liability'!$B$15+1,'General Info and Liability'!$B$14,""),"")</f>
        <v/>
      </c>
      <c r="W303" t="str">
        <f>IFERROR(IF($H302+1&lt;'General Info and Liability'!$B$15+1,'General Info and Liability'!$D$20,""),"")</f>
        <v/>
      </c>
    </row>
    <row r="304" spans="8:23" ht="16.5" customHeight="1">
      <c r="H304" t="str">
        <f>IFERROR(IF(H303+1&lt;'General Info and Liability'!$B$15+1,'Property Schedule'!H303+1,""),"")</f>
        <v/>
      </c>
      <c r="J304" s="8"/>
      <c r="K304" s="7" t="str">
        <f>IFERROR(IF($H303+1&lt;'General Info and Liability'!$B$15+1,'General Info and Liability'!$B$18/'General Info and Liability'!$B$10*$L304,""),"")</f>
        <v/>
      </c>
      <c r="L304" s="8"/>
      <c r="M304" s="31" t="str">
        <f>IFERROR(IF($H303+1&lt;'General Info and Liability'!$B$15+1,'General Info and Liability'!$D$14/'General Info and Liability'!$B$10*$L304,""),"")</f>
        <v/>
      </c>
      <c r="N304" s="32" t="str">
        <f>IFERROR(IF($H303+1&lt;'General Info and Liability'!$B$15+1,'General Info and Liability'!$D$15/'General Info and Liability'!$B$10*$L304,""),"")</f>
        <v/>
      </c>
      <c r="O304" s="8"/>
      <c r="P304" s="8"/>
      <c r="Q304" t="str">
        <f>IFERROR(IF($H304+1&gt;0,'General Info and Liability'!$D$16,""),"")</f>
        <v/>
      </c>
      <c r="R304" t="str">
        <f>IFERROR(IF($H304+1&gt;0,'General Info and Liability'!$B$16,""),"")</f>
        <v/>
      </c>
      <c r="S304" t="str">
        <f>IFERROR(IF($H303+1&lt;'General Info and Liability'!$B$15+1,'General Info and Liability'!$D$17,""),"")</f>
        <v/>
      </c>
      <c r="T304" t="str">
        <f>IFERROR(IF($H303+1&lt;'General Info and Liability'!$B$15+1,'General Info and Liability'!$D$18,""),"")</f>
        <v/>
      </c>
      <c r="U304" t="str">
        <f>IFERROR(IF($H303+1&lt;'General Info and Liability'!$B$15+1,'General Info and Liability'!$D$19,""),"")</f>
        <v/>
      </c>
      <c r="V304" t="str">
        <f>IFERROR(IF($H303+1&lt;'General Info and Liability'!$B$15+1,'General Info and Liability'!$B$14,""),"")</f>
        <v/>
      </c>
      <c r="W304" t="str">
        <f>IFERROR(IF($H303+1&lt;'General Info and Liability'!$B$15+1,'General Info and Liability'!$D$20,""),"")</f>
        <v/>
      </c>
    </row>
    <row r="305" spans="8:23" ht="16.5" customHeight="1">
      <c r="H305" t="str">
        <f>IFERROR(IF(H304+1&lt;'General Info and Liability'!$B$15+1,'Property Schedule'!H304+1,""),"")</f>
        <v/>
      </c>
      <c r="J305" s="8"/>
      <c r="K305" s="7" t="str">
        <f>IFERROR(IF($H304+1&lt;'General Info and Liability'!$B$15+1,'General Info and Liability'!$B$18/'General Info and Liability'!$B$10*$L305,""),"")</f>
        <v/>
      </c>
      <c r="L305" s="8"/>
      <c r="M305" s="31" t="str">
        <f>IFERROR(IF($H304+1&lt;'General Info and Liability'!$B$15+1,'General Info and Liability'!$D$14/'General Info and Liability'!$B$10*$L305,""),"")</f>
        <v/>
      </c>
      <c r="N305" s="32" t="str">
        <f>IFERROR(IF($H304+1&lt;'General Info and Liability'!$B$15+1,'General Info and Liability'!$D$15/'General Info and Liability'!$B$10*$L305,""),"")</f>
        <v/>
      </c>
      <c r="O305" s="8"/>
      <c r="P305" s="8"/>
      <c r="Q305" t="str">
        <f>IFERROR(IF($H305+1&gt;0,'General Info and Liability'!$D$16,""),"")</f>
        <v/>
      </c>
      <c r="R305" t="str">
        <f>IFERROR(IF($H305+1&gt;0,'General Info and Liability'!$B$16,""),"")</f>
        <v/>
      </c>
      <c r="S305" t="str">
        <f>IFERROR(IF($H304+1&lt;'General Info and Liability'!$B$15+1,'General Info and Liability'!$D$17,""),"")</f>
        <v/>
      </c>
      <c r="T305" t="str">
        <f>IFERROR(IF($H304+1&lt;'General Info and Liability'!$B$15+1,'General Info and Liability'!$D$18,""),"")</f>
        <v/>
      </c>
      <c r="U305" t="str">
        <f>IFERROR(IF($H304+1&lt;'General Info and Liability'!$B$15+1,'General Info and Liability'!$D$19,""),"")</f>
        <v/>
      </c>
      <c r="V305" t="str">
        <f>IFERROR(IF($H304+1&lt;'General Info and Liability'!$B$15+1,'General Info and Liability'!$B$14,""),"")</f>
        <v/>
      </c>
      <c r="W305" t="str">
        <f>IFERROR(IF($H304+1&lt;'General Info and Liability'!$B$15+1,'General Info and Liability'!$D$20,""),"")</f>
        <v/>
      </c>
    </row>
    <row r="306" spans="8:23" ht="16.5" customHeight="1">
      <c r="H306" t="str">
        <f>IFERROR(IF(H305+1&lt;'General Info and Liability'!$B$15+1,'Property Schedule'!H305+1,""),"")</f>
        <v/>
      </c>
      <c r="J306" s="8"/>
      <c r="K306" s="7" t="str">
        <f>IFERROR(IF($H305+1&lt;'General Info and Liability'!$B$15+1,'General Info and Liability'!$B$18/'General Info and Liability'!$B$10*$L306,""),"")</f>
        <v/>
      </c>
      <c r="L306" s="8"/>
      <c r="M306" s="31" t="str">
        <f>IFERROR(IF($H305+1&lt;'General Info and Liability'!$B$15+1,'General Info and Liability'!$D$14/'General Info and Liability'!$B$10*$L306,""),"")</f>
        <v/>
      </c>
      <c r="N306" s="32" t="str">
        <f>IFERROR(IF($H305+1&lt;'General Info and Liability'!$B$15+1,'General Info and Liability'!$D$15/'General Info and Liability'!$B$10*$L306,""),"")</f>
        <v/>
      </c>
      <c r="O306" s="8"/>
      <c r="P306" s="8"/>
      <c r="Q306" t="str">
        <f>IFERROR(IF($H306+1&gt;0,'General Info and Liability'!$D$16,""),"")</f>
        <v/>
      </c>
      <c r="R306" t="str">
        <f>IFERROR(IF($H306+1&gt;0,'General Info and Liability'!$B$16,""),"")</f>
        <v/>
      </c>
      <c r="S306" t="str">
        <f>IFERROR(IF($H305+1&lt;'General Info and Liability'!$B$15+1,'General Info and Liability'!$D$17,""),"")</f>
        <v/>
      </c>
      <c r="T306" t="str">
        <f>IFERROR(IF($H305+1&lt;'General Info and Liability'!$B$15+1,'General Info and Liability'!$D$18,""),"")</f>
        <v/>
      </c>
      <c r="U306" t="str">
        <f>IFERROR(IF($H305+1&lt;'General Info and Liability'!$B$15+1,'General Info and Liability'!$D$19,""),"")</f>
        <v/>
      </c>
      <c r="V306" t="str">
        <f>IFERROR(IF($H305+1&lt;'General Info and Liability'!$B$15+1,'General Info and Liability'!$B$14,""),"")</f>
        <v/>
      </c>
      <c r="W306" t="str">
        <f>IFERROR(IF($H305+1&lt;'General Info and Liability'!$B$15+1,'General Info and Liability'!$D$20,""),"")</f>
        <v/>
      </c>
    </row>
    <row r="307" spans="8:23" ht="16.5" customHeight="1">
      <c r="H307" t="str">
        <f>IFERROR(IF(H306+1&lt;'General Info and Liability'!$B$15+1,'Property Schedule'!H306+1,""),"")</f>
        <v/>
      </c>
      <c r="J307" s="8"/>
      <c r="K307" s="7" t="str">
        <f>IFERROR(IF($H306+1&lt;'General Info and Liability'!$B$15+1,'General Info and Liability'!$B$18/'General Info and Liability'!$B$10*$L307,""),"")</f>
        <v/>
      </c>
      <c r="L307" s="8"/>
      <c r="M307" s="31" t="str">
        <f>IFERROR(IF($H306+1&lt;'General Info and Liability'!$B$15+1,'General Info and Liability'!$D$14/'General Info and Liability'!$B$10*$L307,""),"")</f>
        <v/>
      </c>
      <c r="N307" s="32" t="str">
        <f>IFERROR(IF($H306+1&lt;'General Info and Liability'!$B$15+1,'General Info and Liability'!$D$15/'General Info and Liability'!$B$10*$L307,""),"")</f>
        <v/>
      </c>
      <c r="O307" s="8"/>
      <c r="P307" s="8"/>
      <c r="Q307" t="str">
        <f>IFERROR(IF($H307+1&gt;0,'General Info and Liability'!$D$16,""),"")</f>
        <v/>
      </c>
      <c r="R307" t="str">
        <f>IFERROR(IF($H307+1&gt;0,'General Info and Liability'!$B$16,""),"")</f>
        <v/>
      </c>
      <c r="S307" t="str">
        <f>IFERROR(IF($H306+1&lt;'General Info and Liability'!$B$15+1,'General Info and Liability'!$D$17,""),"")</f>
        <v/>
      </c>
      <c r="T307" t="str">
        <f>IFERROR(IF($H306+1&lt;'General Info and Liability'!$B$15+1,'General Info and Liability'!$D$18,""),"")</f>
        <v/>
      </c>
      <c r="U307" t="str">
        <f>IFERROR(IF($H306+1&lt;'General Info and Liability'!$B$15+1,'General Info and Liability'!$D$19,""),"")</f>
        <v/>
      </c>
      <c r="V307" t="str">
        <f>IFERROR(IF($H306+1&lt;'General Info and Liability'!$B$15+1,'General Info and Liability'!$B$14,""),"")</f>
        <v/>
      </c>
      <c r="W307" t="str">
        <f>IFERROR(IF($H306+1&lt;'General Info and Liability'!$B$15+1,'General Info and Liability'!$D$20,""),"")</f>
        <v/>
      </c>
    </row>
    <row r="308" spans="8:23" ht="16.5" customHeight="1">
      <c r="H308" t="str">
        <f>IFERROR(IF(H307+1&lt;'General Info and Liability'!$B$15+1,'Property Schedule'!H307+1,""),"")</f>
        <v/>
      </c>
      <c r="J308" s="8"/>
      <c r="K308" s="7" t="str">
        <f>IFERROR(IF($H307+1&lt;'General Info and Liability'!$B$15+1,'General Info and Liability'!$B$18/'General Info and Liability'!$B$10*$L308,""),"")</f>
        <v/>
      </c>
      <c r="L308" s="8"/>
      <c r="M308" s="31" t="str">
        <f>IFERROR(IF($H307+1&lt;'General Info and Liability'!$B$15+1,'General Info and Liability'!$D$14/'General Info and Liability'!$B$10*$L308,""),"")</f>
        <v/>
      </c>
      <c r="N308" s="32" t="str">
        <f>IFERROR(IF($H307+1&lt;'General Info and Liability'!$B$15+1,'General Info and Liability'!$D$15/'General Info and Liability'!$B$10*$L308,""),"")</f>
        <v/>
      </c>
      <c r="O308" s="8"/>
      <c r="P308" s="8"/>
      <c r="Q308" t="str">
        <f>IFERROR(IF($H308+1&gt;0,'General Info and Liability'!$D$16,""),"")</f>
        <v/>
      </c>
      <c r="R308" t="str">
        <f>IFERROR(IF($H308+1&gt;0,'General Info and Liability'!$B$16,""),"")</f>
        <v/>
      </c>
      <c r="S308" t="str">
        <f>IFERROR(IF($H307+1&lt;'General Info and Liability'!$B$15+1,'General Info and Liability'!$D$17,""),"")</f>
        <v/>
      </c>
      <c r="T308" t="str">
        <f>IFERROR(IF($H307+1&lt;'General Info and Liability'!$B$15+1,'General Info and Liability'!$D$18,""),"")</f>
        <v/>
      </c>
      <c r="U308" t="str">
        <f>IFERROR(IF($H307+1&lt;'General Info and Liability'!$B$15+1,'General Info and Liability'!$D$19,""),"")</f>
        <v/>
      </c>
      <c r="V308" t="str">
        <f>IFERROR(IF($H307+1&lt;'General Info and Liability'!$B$15+1,'General Info and Liability'!$B$14,""),"")</f>
        <v/>
      </c>
      <c r="W308" t="str">
        <f>IFERROR(IF($H307+1&lt;'General Info and Liability'!$B$15+1,'General Info and Liability'!$D$20,""),"")</f>
        <v/>
      </c>
    </row>
    <row r="309" spans="8:23" ht="16.5" customHeight="1">
      <c r="H309" t="str">
        <f>IFERROR(IF(H308+1&lt;'General Info and Liability'!$B$15+1,'Property Schedule'!H308+1,""),"")</f>
        <v/>
      </c>
      <c r="J309" s="8"/>
      <c r="K309" s="7" t="str">
        <f>IFERROR(IF($H308+1&lt;'General Info and Liability'!$B$15+1,'General Info and Liability'!$B$18/'General Info and Liability'!$B$10*$L309,""),"")</f>
        <v/>
      </c>
      <c r="L309" s="8"/>
      <c r="M309" s="31" t="str">
        <f>IFERROR(IF($H308+1&lt;'General Info and Liability'!$B$15+1,'General Info and Liability'!$D$14/'General Info and Liability'!$B$10*$L309,""),"")</f>
        <v/>
      </c>
      <c r="N309" s="32" t="str">
        <f>IFERROR(IF($H308+1&lt;'General Info and Liability'!$B$15+1,'General Info and Liability'!$D$15/'General Info and Liability'!$B$10*$L309,""),"")</f>
        <v/>
      </c>
      <c r="O309" s="8"/>
      <c r="P309" s="8"/>
      <c r="Q309" t="str">
        <f>IFERROR(IF($H309+1&gt;0,'General Info and Liability'!$D$16,""),"")</f>
        <v/>
      </c>
      <c r="R309" t="str">
        <f>IFERROR(IF($H309+1&gt;0,'General Info and Liability'!$B$16,""),"")</f>
        <v/>
      </c>
      <c r="S309" t="str">
        <f>IFERROR(IF($H308+1&lt;'General Info and Liability'!$B$15+1,'General Info and Liability'!$D$17,""),"")</f>
        <v/>
      </c>
      <c r="T309" t="str">
        <f>IFERROR(IF($H308+1&lt;'General Info and Liability'!$B$15+1,'General Info and Liability'!$D$18,""),"")</f>
        <v/>
      </c>
      <c r="U309" t="str">
        <f>IFERROR(IF($H308+1&lt;'General Info and Liability'!$B$15+1,'General Info and Liability'!$D$19,""),"")</f>
        <v/>
      </c>
      <c r="V309" t="str">
        <f>IFERROR(IF($H308+1&lt;'General Info and Liability'!$B$15+1,'General Info and Liability'!$B$14,""),"")</f>
        <v/>
      </c>
      <c r="W309" t="str">
        <f>IFERROR(IF($H308+1&lt;'General Info and Liability'!$B$15+1,'General Info and Liability'!$D$20,""),"")</f>
        <v/>
      </c>
    </row>
    <row r="310" spans="8:23" ht="16.5" customHeight="1">
      <c r="H310" t="str">
        <f>IFERROR(IF(H309+1&lt;'General Info and Liability'!$B$15+1,'Property Schedule'!H309+1,""),"")</f>
        <v/>
      </c>
      <c r="J310" s="8"/>
      <c r="K310" s="7" t="str">
        <f>IFERROR(IF($H309+1&lt;'General Info and Liability'!$B$15+1,'General Info and Liability'!$B$18/'General Info and Liability'!$B$10*$L310,""),"")</f>
        <v/>
      </c>
      <c r="L310" s="8"/>
      <c r="M310" s="31" t="str">
        <f>IFERROR(IF($H309+1&lt;'General Info and Liability'!$B$15+1,'General Info and Liability'!$D$14/'General Info and Liability'!$B$10*$L310,""),"")</f>
        <v/>
      </c>
      <c r="N310" s="32" t="str">
        <f>IFERROR(IF($H309+1&lt;'General Info and Liability'!$B$15+1,'General Info and Liability'!$D$15/'General Info and Liability'!$B$10*$L310,""),"")</f>
        <v/>
      </c>
      <c r="O310" s="8"/>
      <c r="P310" s="8"/>
      <c r="Q310" t="str">
        <f>IFERROR(IF($H310+1&gt;0,'General Info and Liability'!$D$16,""),"")</f>
        <v/>
      </c>
      <c r="R310" t="str">
        <f>IFERROR(IF($H310+1&gt;0,'General Info and Liability'!$B$16,""),"")</f>
        <v/>
      </c>
      <c r="S310" t="str">
        <f>IFERROR(IF($H309+1&lt;'General Info and Liability'!$B$15+1,'General Info and Liability'!$D$17,""),"")</f>
        <v/>
      </c>
      <c r="T310" t="str">
        <f>IFERROR(IF($H309+1&lt;'General Info and Liability'!$B$15+1,'General Info and Liability'!$D$18,""),"")</f>
        <v/>
      </c>
      <c r="U310" t="str">
        <f>IFERROR(IF($H309+1&lt;'General Info and Liability'!$B$15+1,'General Info and Liability'!$D$19,""),"")</f>
        <v/>
      </c>
      <c r="V310" t="str">
        <f>IFERROR(IF($H309+1&lt;'General Info and Liability'!$B$15+1,'General Info and Liability'!$B$14,""),"")</f>
        <v/>
      </c>
      <c r="W310" t="str">
        <f>IFERROR(IF($H309+1&lt;'General Info and Liability'!$B$15+1,'General Info and Liability'!$D$20,""),"")</f>
        <v/>
      </c>
    </row>
    <row r="311" spans="8:23" ht="16.5" customHeight="1">
      <c r="H311" t="str">
        <f>IFERROR(IF(H310+1&lt;'General Info and Liability'!$B$15+1,'Property Schedule'!H310+1,""),"")</f>
        <v/>
      </c>
      <c r="J311" s="8"/>
      <c r="K311" s="7" t="str">
        <f>IFERROR(IF($H310+1&lt;'General Info and Liability'!$B$15+1,'General Info and Liability'!$B$18/'General Info and Liability'!$B$10*$L311,""),"")</f>
        <v/>
      </c>
      <c r="L311" s="8"/>
      <c r="M311" s="31" t="str">
        <f>IFERROR(IF($H310+1&lt;'General Info and Liability'!$B$15+1,'General Info and Liability'!$D$14/'General Info and Liability'!$B$10*$L311,""),"")</f>
        <v/>
      </c>
      <c r="N311" s="32" t="str">
        <f>IFERROR(IF($H310+1&lt;'General Info and Liability'!$B$15+1,'General Info and Liability'!$D$15/'General Info and Liability'!$B$10*$L311,""),"")</f>
        <v/>
      </c>
      <c r="O311" s="8"/>
      <c r="P311" s="8"/>
      <c r="Q311" t="str">
        <f>IFERROR(IF($H311+1&gt;0,'General Info and Liability'!$D$16,""),"")</f>
        <v/>
      </c>
      <c r="R311" t="str">
        <f>IFERROR(IF($H311+1&gt;0,'General Info and Liability'!$B$16,""),"")</f>
        <v/>
      </c>
      <c r="S311" t="str">
        <f>IFERROR(IF($H310+1&lt;'General Info and Liability'!$B$15+1,'General Info and Liability'!$D$17,""),"")</f>
        <v/>
      </c>
      <c r="T311" t="str">
        <f>IFERROR(IF($H310+1&lt;'General Info and Liability'!$B$15+1,'General Info and Liability'!$D$18,""),"")</f>
        <v/>
      </c>
      <c r="U311" t="str">
        <f>IFERROR(IF($H310+1&lt;'General Info and Liability'!$B$15+1,'General Info and Liability'!$D$19,""),"")</f>
        <v/>
      </c>
      <c r="V311" t="str">
        <f>IFERROR(IF($H310+1&lt;'General Info and Liability'!$B$15+1,'General Info and Liability'!$B$14,""),"")</f>
        <v/>
      </c>
      <c r="W311" t="str">
        <f>IFERROR(IF($H310+1&lt;'General Info and Liability'!$B$15+1,'General Info and Liability'!$D$20,""),"")</f>
        <v/>
      </c>
    </row>
    <row r="312" spans="8:23" ht="16.5" customHeight="1">
      <c r="H312" t="str">
        <f>IFERROR(IF(H311+1&lt;'General Info and Liability'!$B$15+1,'Property Schedule'!H311+1,""),"")</f>
        <v/>
      </c>
      <c r="J312" s="8"/>
      <c r="K312" s="7" t="str">
        <f>IFERROR(IF($H311+1&lt;'General Info and Liability'!$B$15+1,'General Info and Liability'!$B$18/'General Info and Liability'!$B$10*$L312,""),"")</f>
        <v/>
      </c>
      <c r="L312" s="8"/>
      <c r="M312" s="31" t="str">
        <f>IFERROR(IF($H311+1&lt;'General Info and Liability'!$B$15+1,'General Info and Liability'!$D$14/'General Info and Liability'!$B$10*$L312,""),"")</f>
        <v/>
      </c>
      <c r="N312" s="32" t="str">
        <f>IFERROR(IF($H311+1&lt;'General Info and Liability'!$B$15+1,'General Info and Liability'!$D$15/'General Info and Liability'!$B$10*$L312,""),"")</f>
        <v/>
      </c>
      <c r="O312" s="8"/>
      <c r="P312" s="8"/>
      <c r="Q312" t="str">
        <f>IFERROR(IF($H312+1&gt;0,'General Info and Liability'!$D$16,""),"")</f>
        <v/>
      </c>
      <c r="R312" t="str">
        <f>IFERROR(IF($H312+1&gt;0,'General Info and Liability'!$B$16,""),"")</f>
        <v/>
      </c>
      <c r="S312" t="str">
        <f>IFERROR(IF($H311+1&lt;'General Info and Liability'!$B$15+1,'General Info and Liability'!$D$17,""),"")</f>
        <v/>
      </c>
      <c r="T312" t="str">
        <f>IFERROR(IF($H311+1&lt;'General Info and Liability'!$B$15+1,'General Info and Liability'!$D$18,""),"")</f>
        <v/>
      </c>
      <c r="U312" t="str">
        <f>IFERROR(IF($H311+1&lt;'General Info and Liability'!$B$15+1,'General Info and Liability'!$D$19,""),"")</f>
        <v/>
      </c>
      <c r="V312" t="str">
        <f>IFERROR(IF($H311+1&lt;'General Info and Liability'!$B$15+1,'General Info and Liability'!$B$14,""),"")</f>
        <v/>
      </c>
      <c r="W312" t="str">
        <f>IFERROR(IF($H311+1&lt;'General Info and Liability'!$B$15+1,'General Info and Liability'!$D$20,""),"")</f>
        <v/>
      </c>
    </row>
    <row r="313" spans="8:23" ht="16.5" customHeight="1">
      <c r="H313" t="str">
        <f>IFERROR(IF(H312+1&lt;'General Info and Liability'!$B$15+1,'Property Schedule'!H312+1,""),"")</f>
        <v/>
      </c>
      <c r="J313" s="8"/>
      <c r="K313" s="7" t="str">
        <f>IFERROR(IF($H312+1&lt;'General Info and Liability'!$B$15+1,'General Info and Liability'!$B$18/'General Info and Liability'!$B$10*$L313,""),"")</f>
        <v/>
      </c>
      <c r="L313" s="8"/>
      <c r="M313" s="31" t="str">
        <f>IFERROR(IF($H312+1&lt;'General Info and Liability'!$B$15+1,'General Info and Liability'!$D$14/'General Info and Liability'!$B$10*$L313,""),"")</f>
        <v/>
      </c>
      <c r="N313" s="32" t="str">
        <f>IFERROR(IF($H312+1&lt;'General Info and Liability'!$B$15+1,'General Info and Liability'!$D$15/'General Info and Liability'!$B$10*$L313,""),"")</f>
        <v/>
      </c>
      <c r="O313" s="8"/>
      <c r="P313" s="8"/>
      <c r="Q313" t="str">
        <f>IFERROR(IF($H313+1&gt;0,'General Info and Liability'!$D$16,""),"")</f>
        <v/>
      </c>
      <c r="R313" t="str">
        <f>IFERROR(IF($H313+1&gt;0,'General Info and Liability'!$B$16,""),"")</f>
        <v/>
      </c>
      <c r="S313" t="str">
        <f>IFERROR(IF($H312+1&lt;'General Info and Liability'!$B$15+1,'General Info and Liability'!$D$17,""),"")</f>
        <v/>
      </c>
      <c r="T313" t="str">
        <f>IFERROR(IF($H312+1&lt;'General Info and Liability'!$B$15+1,'General Info and Liability'!$D$18,""),"")</f>
        <v/>
      </c>
      <c r="U313" t="str">
        <f>IFERROR(IF($H312+1&lt;'General Info and Liability'!$B$15+1,'General Info and Liability'!$D$19,""),"")</f>
        <v/>
      </c>
      <c r="V313" t="str">
        <f>IFERROR(IF($H312+1&lt;'General Info and Liability'!$B$15+1,'General Info and Liability'!$B$14,""),"")</f>
        <v/>
      </c>
      <c r="W313" t="str">
        <f>IFERROR(IF($H312+1&lt;'General Info and Liability'!$B$15+1,'General Info and Liability'!$D$20,""),"")</f>
        <v/>
      </c>
    </row>
    <row r="314" spans="8:23" ht="16.5" customHeight="1">
      <c r="H314" t="str">
        <f>IFERROR(IF(H313+1&lt;'General Info and Liability'!$B$15+1,'Property Schedule'!H313+1,""),"")</f>
        <v/>
      </c>
      <c r="J314" s="8"/>
      <c r="K314" s="7" t="str">
        <f>IFERROR(IF($H313+1&lt;'General Info and Liability'!$B$15+1,'General Info and Liability'!$B$18/'General Info and Liability'!$B$10*$L314,""),"")</f>
        <v/>
      </c>
      <c r="L314" s="8"/>
      <c r="M314" s="31" t="str">
        <f>IFERROR(IF($H313+1&lt;'General Info and Liability'!$B$15+1,'General Info and Liability'!$D$14/'General Info and Liability'!$B$10*$L314,""),"")</f>
        <v/>
      </c>
      <c r="N314" s="32" t="str">
        <f>IFERROR(IF($H313+1&lt;'General Info and Liability'!$B$15+1,'General Info and Liability'!$D$15/'General Info and Liability'!$B$10*$L314,""),"")</f>
        <v/>
      </c>
      <c r="O314" s="8"/>
      <c r="P314" s="8"/>
      <c r="Q314" t="str">
        <f>IFERROR(IF($H314+1&gt;0,'General Info and Liability'!$D$16,""),"")</f>
        <v/>
      </c>
      <c r="R314" t="str">
        <f>IFERROR(IF($H314+1&gt;0,'General Info and Liability'!$B$16,""),"")</f>
        <v/>
      </c>
      <c r="S314" t="str">
        <f>IFERROR(IF($H313+1&lt;'General Info and Liability'!$B$15+1,'General Info and Liability'!$D$17,""),"")</f>
        <v/>
      </c>
      <c r="T314" t="str">
        <f>IFERROR(IF($H313+1&lt;'General Info and Liability'!$B$15+1,'General Info and Liability'!$D$18,""),"")</f>
        <v/>
      </c>
      <c r="U314" t="str">
        <f>IFERROR(IF($H313+1&lt;'General Info and Liability'!$B$15+1,'General Info and Liability'!$D$19,""),"")</f>
        <v/>
      </c>
      <c r="V314" t="str">
        <f>IFERROR(IF($H313+1&lt;'General Info and Liability'!$B$15+1,'General Info and Liability'!$B$14,""),"")</f>
        <v/>
      </c>
      <c r="W314" t="str">
        <f>IFERROR(IF($H313+1&lt;'General Info and Liability'!$B$15+1,'General Info and Liability'!$D$20,""),"")</f>
        <v/>
      </c>
    </row>
    <row r="315" spans="8:23" ht="16.5" customHeight="1">
      <c r="H315" t="str">
        <f>IFERROR(IF(H314+1&lt;'General Info and Liability'!$B$15+1,'Property Schedule'!H314+1,""),"")</f>
        <v/>
      </c>
      <c r="J315" s="8"/>
      <c r="K315" s="7" t="str">
        <f>IFERROR(IF($H314+1&lt;'General Info and Liability'!$B$15+1,'General Info and Liability'!$B$18/'General Info and Liability'!$B$10*$L315,""),"")</f>
        <v/>
      </c>
      <c r="L315" s="8"/>
      <c r="M315" s="31" t="str">
        <f>IFERROR(IF($H314+1&lt;'General Info and Liability'!$B$15+1,'General Info and Liability'!$D$14/'General Info and Liability'!$B$10*$L315,""),"")</f>
        <v/>
      </c>
      <c r="N315" s="32" t="str">
        <f>IFERROR(IF($H314+1&lt;'General Info and Liability'!$B$15+1,'General Info and Liability'!$D$15/'General Info and Liability'!$B$10*$L315,""),"")</f>
        <v/>
      </c>
      <c r="O315" s="8"/>
      <c r="P315" s="8"/>
      <c r="Q315" t="str">
        <f>IFERROR(IF($H315+1&gt;0,'General Info and Liability'!$D$16,""),"")</f>
        <v/>
      </c>
      <c r="R315" t="str">
        <f>IFERROR(IF($H315+1&gt;0,'General Info and Liability'!$B$16,""),"")</f>
        <v/>
      </c>
      <c r="S315" t="str">
        <f>IFERROR(IF($H314+1&lt;'General Info and Liability'!$B$15+1,'General Info and Liability'!$D$17,""),"")</f>
        <v/>
      </c>
      <c r="T315" t="str">
        <f>IFERROR(IF($H314+1&lt;'General Info and Liability'!$B$15+1,'General Info and Liability'!$D$18,""),"")</f>
        <v/>
      </c>
      <c r="U315" t="str">
        <f>IFERROR(IF($H314+1&lt;'General Info and Liability'!$B$15+1,'General Info and Liability'!$D$19,""),"")</f>
        <v/>
      </c>
      <c r="V315" t="str">
        <f>IFERROR(IF($H314+1&lt;'General Info and Liability'!$B$15+1,'General Info and Liability'!$B$14,""),"")</f>
        <v/>
      </c>
      <c r="W315" t="str">
        <f>IFERROR(IF($H314+1&lt;'General Info and Liability'!$B$15+1,'General Info and Liability'!$D$20,""),"")</f>
        <v/>
      </c>
    </row>
    <row r="316" spans="8:23" ht="16.5" customHeight="1">
      <c r="H316" t="str">
        <f>IFERROR(IF(H315+1&lt;'General Info and Liability'!$B$15+1,'Property Schedule'!H315+1,""),"")</f>
        <v/>
      </c>
      <c r="J316" s="8"/>
      <c r="K316" s="7" t="str">
        <f>IFERROR(IF($H315+1&lt;'General Info and Liability'!$B$15+1,'General Info and Liability'!$B$18/'General Info and Liability'!$B$10*$L316,""),"")</f>
        <v/>
      </c>
      <c r="L316" s="8"/>
      <c r="M316" s="31" t="str">
        <f>IFERROR(IF($H315+1&lt;'General Info and Liability'!$B$15+1,'General Info and Liability'!$D$14/'General Info and Liability'!$B$10*$L316,""),"")</f>
        <v/>
      </c>
      <c r="N316" s="32" t="str">
        <f>IFERROR(IF($H315+1&lt;'General Info and Liability'!$B$15+1,'General Info and Liability'!$D$15/'General Info and Liability'!$B$10*$L316,""),"")</f>
        <v/>
      </c>
      <c r="O316" s="8"/>
      <c r="P316" s="8"/>
      <c r="Q316" t="str">
        <f>IFERROR(IF($H316+1&gt;0,'General Info and Liability'!$D$16,""),"")</f>
        <v/>
      </c>
      <c r="R316" t="str">
        <f>IFERROR(IF($H316+1&gt;0,'General Info and Liability'!$B$16,""),"")</f>
        <v/>
      </c>
      <c r="S316" t="str">
        <f>IFERROR(IF($H315+1&lt;'General Info and Liability'!$B$15+1,'General Info and Liability'!$D$17,""),"")</f>
        <v/>
      </c>
      <c r="T316" t="str">
        <f>IFERROR(IF($H315+1&lt;'General Info and Liability'!$B$15+1,'General Info and Liability'!$D$18,""),"")</f>
        <v/>
      </c>
      <c r="U316" t="str">
        <f>IFERROR(IF($H315+1&lt;'General Info and Liability'!$B$15+1,'General Info and Liability'!$D$19,""),"")</f>
        <v/>
      </c>
      <c r="V316" t="str">
        <f>IFERROR(IF($H315+1&lt;'General Info and Liability'!$B$15+1,'General Info and Liability'!$B$14,""),"")</f>
        <v/>
      </c>
      <c r="W316" t="str">
        <f>IFERROR(IF($H315+1&lt;'General Info and Liability'!$B$15+1,'General Info and Liability'!$D$20,""),"")</f>
        <v/>
      </c>
    </row>
    <row r="317" spans="8:23" ht="16.5" customHeight="1">
      <c r="H317" t="str">
        <f>IFERROR(IF(H316+1&lt;'General Info and Liability'!$B$15+1,'Property Schedule'!H316+1,""),"")</f>
        <v/>
      </c>
      <c r="J317" s="8"/>
      <c r="K317" s="7" t="str">
        <f>IFERROR(IF($H316+1&lt;'General Info and Liability'!$B$15+1,'General Info and Liability'!$B$18/'General Info and Liability'!$B$10*$L317,""),"")</f>
        <v/>
      </c>
      <c r="L317" s="8"/>
      <c r="M317" s="31" t="str">
        <f>IFERROR(IF($H316+1&lt;'General Info and Liability'!$B$15+1,'General Info and Liability'!$D$14/'General Info and Liability'!$B$10*$L317,""),"")</f>
        <v/>
      </c>
      <c r="N317" s="32" t="str">
        <f>IFERROR(IF($H316+1&lt;'General Info and Liability'!$B$15+1,'General Info and Liability'!$D$15/'General Info and Liability'!$B$10*$L317,""),"")</f>
        <v/>
      </c>
      <c r="O317" s="8"/>
      <c r="P317" s="8"/>
      <c r="Q317" t="str">
        <f>IFERROR(IF($H317+1&gt;0,'General Info and Liability'!$D$16,""),"")</f>
        <v/>
      </c>
      <c r="R317" t="str">
        <f>IFERROR(IF($H317+1&gt;0,'General Info and Liability'!$B$16,""),"")</f>
        <v/>
      </c>
      <c r="S317" t="str">
        <f>IFERROR(IF($H316+1&lt;'General Info and Liability'!$B$15+1,'General Info and Liability'!$D$17,""),"")</f>
        <v/>
      </c>
      <c r="T317" t="str">
        <f>IFERROR(IF($H316+1&lt;'General Info and Liability'!$B$15+1,'General Info and Liability'!$D$18,""),"")</f>
        <v/>
      </c>
      <c r="U317" t="str">
        <f>IFERROR(IF($H316+1&lt;'General Info and Liability'!$B$15+1,'General Info and Liability'!$D$19,""),"")</f>
        <v/>
      </c>
      <c r="V317" t="str">
        <f>IFERROR(IF($H316+1&lt;'General Info and Liability'!$B$15+1,'General Info and Liability'!$B$14,""),"")</f>
        <v/>
      </c>
      <c r="W317" t="str">
        <f>IFERROR(IF($H316+1&lt;'General Info and Liability'!$B$15+1,'General Info and Liability'!$D$20,""),"")</f>
        <v/>
      </c>
    </row>
    <row r="318" spans="8:23" ht="16.5" customHeight="1">
      <c r="H318" t="str">
        <f>IFERROR(IF(H317+1&lt;'General Info and Liability'!$B$15+1,'Property Schedule'!H317+1,""),"")</f>
        <v/>
      </c>
      <c r="J318" s="8"/>
      <c r="K318" s="7" t="str">
        <f>IFERROR(IF($H317+1&lt;'General Info and Liability'!$B$15+1,'General Info and Liability'!$B$18/'General Info and Liability'!$B$10*$L318,""),"")</f>
        <v/>
      </c>
      <c r="L318" s="8"/>
      <c r="M318" s="31" t="str">
        <f>IFERROR(IF($H317+1&lt;'General Info and Liability'!$B$15+1,'General Info and Liability'!$D$14/'General Info and Liability'!$B$10*$L318,""),"")</f>
        <v/>
      </c>
      <c r="N318" s="32" t="str">
        <f>IFERROR(IF($H317+1&lt;'General Info and Liability'!$B$15+1,'General Info and Liability'!$D$15/'General Info and Liability'!$B$10*$L318,""),"")</f>
        <v/>
      </c>
      <c r="O318" s="8"/>
      <c r="P318" s="8"/>
      <c r="Q318" t="str">
        <f>IFERROR(IF($H318+1&gt;0,'General Info and Liability'!$D$16,""),"")</f>
        <v/>
      </c>
      <c r="R318" t="str">
        <f>IFERROR(IF($H318+1&gt;0,'General Info and Liability'!$B$16,""),"")</f>
        <v/>
      </c>
      <c r="S318" t="str">
        <f>IFERROR(IF($H317+1&lt;'General Info and Liability'!$B$15+1,'General Info and Liability'!$D$17,""),"")</f>
        <v/>
      </c>
      <c r="T318" t="str">
        <f>IFERROR(IF($H317+1&lt;'General Info and Liability'!$B$15+1,'General Info and Liability'!$D$18,""),"")</f>
        <v/>
      </c>
      <c r="U318" t="str">
        <f>IFERROR(IF($H317+1&lt;'General Info and Liability'!$B$15+1,'General Info and Liability'!$D$19,""),"")</f>
        <v/>
      </c>
      <c r="V318" t="str">
        <f>IFERROR(IF($H317+1&lt;'General Info and Liability'!$B$15+1,'General Info and Liability'!$B$14,""),"")</f>
        <v/>
      </c>
      <c r="W318" t="str">
        <f>IFERROR(IF($H317+1&lt;'General Info and Liability'!$B$15+1,'General Info and Liability'!$D$20,""),"")</f>
        <v/>
      </c>
    </row>
    <row r="319" spans="8:23" ht="16.5" customHeight="1">
      <c r="H319" t="str">
        <f>IFERROR(IF(H318+1&lt;'General Info and Liability'!$B$15+1,'Property Schedule'!H318+1,""),"")</f>
        <v/>
      </c>
      <c r="J319" s="8"/>
      <c r="K319" s="7" t="str">
        <f>IFERROR(IF($H318+1&lt;'General Info and Liability'!$B$15+1,'General Info and Liability'!$B$18/'General Info and Liability'!$B$10*$L319,""),"")</f>
        <v/>
      </c>
      <c r="L319" s="8"/>
      <c r="M319" s="31" t="str">
        <f>IFERROR(IF($H318+1&lt;'General Info and Liability'!$B$15+1,'General Info and Liability'!$D$14/'General Info and Liability'!$B$10*$L319,""),"")</f>
        <v/>
      </c>
      <c r="N319" s="32" t="str">
        <f>IFERROR(IF($H318+1&lt;'General Info and Liability'!$B$15+1,'General Info and Liability'!$D$15/'General Info and Liability'!$B$10*$L319,""),"")</f>
        <v/>
      </c>
      <c r="O319" s="8"/>
      <c r="P319" s="8"/>
      <c r="Q319" t="str">
        <f>IFERROR(IF($H319+1&gt;0,'General Info and Liability'!$D$16,""),"")</f>
        <v/>
      </c>
      <c r="R319" t="str">
        <f>IFERROR(IF($H319+1&gt;0,'General Info and Liability'!$B$16,""),"")</f>
        <v/>
      </c>
      <c r="S319" t="str">
        <f>IFERROR(IF($H318+1&lt;'General Info and Liability'!$B$15+1,'General Info and Liability'!$D$17,""),"")</f>
        <v/>
      </c>
      <c r="T319" t="str">
        <f>IFERROR(IF($H318+1&lt;'General Info and Liability'!$B$15+1,'General Info and Liability'!$D$18,""),"")</f>
        <v/>
      </c>
      <c r="U319" t="str">
        <f>IFERROR(IF($H318+1&lt;'General Info and Liability'!$B$15+1,'General Info and Liability'!$D$19,""),"")</f>
        <v/>
      </c>
      <c r="V319" t="str">
        <f>IFERROR(IF($H318+1&lt;'General Info and Liability'!$B$15+1,'General Info and Liability'!$B$14,""),"")</f>
        <v/>
      </c>
      <c r="W319" t="str">
        <f>IFERROR(IF($H318+1&lt;'General Info and Liability'!$B$15+1,'General Info and Liability'!$D$20,""),"")</f>
        <v/>
      </c>
    </row>
    <row r="320" spans="8:23" ht="16.5" customHeight="1">
      <c r="H320" t="str">
        <f>IFERROR(IF(H319+1&lt;'General Info and Liability'!$B$15+1,'Property Schedule'!H319+1,""),"")</f>
        <v/>
      </c>
      <c r="J320" s="8"/>
      <c r="K320" s="7" t="str">
        <f>IFERROR(IF($H319+1&lt;'General Info and Liability'!$B$15+1,'General Info and Liability'!$B$18/'General Info and Liability'!$B$10*$L320,""),"")</f>
        <v/>
      </c>
      <c r="L320" s="8"/>
      <c r="M320" s="31" t="str">
        <f>IFERROR(IF($H319+1&lt;'General Info and Liability'!$B$15+1,'General Info and Liability'!$D$14/'General Info and Liability'!$B$10*$L320,""),"")</f>
        <v/>
      </c>
      <c r="N320" s="32" t="str">
        <f>IFERROR(IF($H319+1&lt;'General Info and Liability'!$B$15+1,'General Info and Liability'!$D$15/'General Info and Liability'!$B$10*$L320,""),"")</f>
        <v/>
      </c>
      <c r="O320" s="8"/>
      <c r="P320" s="8"/>
      <c r="Q320" t="str">
        <f>IFERROR(IF($H320+1&gt;0,'General Info and Liability'!$D$16,""),"")</f>
        <v/>
      </c>
      <c r="R320" t="str">
        <f>IFERROR(IF($H320+1&gt;0,'General Info and Liability'!$B$16,""),"")</f>
        <v/>
      </c>
      <c r="S320" t="str">
        <f>IFERROR(IF($H319+1&lt;'General Info and Liability'!$B$15+1,'General Info and Liability'!$D$17,""),"")</f>
        <v/>
      </c>
      <c r="T320" t="str">
        <f>IFERROR(IF($H319+1&lt;'General Info and Liability'!$B$15+1,'General Info and Liability'!$D$18,""),"")</f>
        <v/>
      </c>
      <c r="U320" t="str">
        <f>IFERROR(IF($H319+1&lt;'General Info and Liability'!$B$15+1,'General Info and Liability'!$D$19,""),"")</f>
        <v/>
      </c>
      <c r="V320" t="str">
        <f>IFERROR(IF($H319+1&lt;'General Info and Liability'!$B$15+1,'General Info and Liability'!$B$14,""),"")</f>
        <v/>
      </c>
      <c r="W320" t="str">
        <f>IFERROR(IF($H319+1&lt;'General Info and Liability'!$B$15+1,'General Info and Liability'!$D$20,""),"")</f>
        <v/>
      </c>
    </row>
    <row r="321" spans="8:23" ht="16.5" customHeight="1">
      <c r="H321" t="str">
        <f>IFERROR(IF(H320+1&lt;'General Info and Liability'!$B$15+1,'Property Schedule'!H320+1,""),"")</f>
        <v/>
      </c>
      <c r="J321" s="8"/>
      <c r="K321" s="7" t="str">
        <f>IFERROR(IF($H320+1&lt;'General Info and Liability'!$B$15+1,'General Info and Liability'!$B$18/'General Info and Liability'!$B$10*$L321,""),"")</f>
        <v/>
      </c>
      <c r="L321" s="8"/>
      <c r="M321" s="31" t="str">
        <f>IFERROR(IF($H320+1&lt;'General Info and Liability'!$B$15+1,'General Info and Liability'!$D$14/'General Info and Liability'!$B$10*$L321,""),"")</f>
        <v/>
      </c>
      <c r="N321" s="32" t="str">
        <f>IFERROR(IF($H320+1&lt;'General Info and Liability'!$B$15+1,'General Info and Liability'!$D$15/'General Info and Liability'!$B$10*$L321,""),"")</f>
        <v/>
      </c>
      <c r="O321" s="8"/>
      <c r="P321" s="8"/>
      <c r="Q321" t="str">
        <f>IFERROR(IF($H321+1&gt;0,'General Info and Liability'!$D$16,""),"")</f>
        <v/>
      </c>
      <c r="R321" t="str">
        <f>IFERROR(IF($H321+1&gt;0,'General Info and Liability'!$B$16,""),"")</f>
        <v/>
      </c>
      <c r="S321" t="str">
        <f>IFERROR(IF($H320+1&lt;'General Info and Liability'!$B$15+1,'General Info and Liability'!$D$17,""),"")</f>
        <v/>
      </c>
      <c r="T321" t="str">
        <f>IFERROR(IF($H320+1&lt;'General Info and Liability'!$B$15+1,'General Info and Liability'!$D$18,""),"")</f>
        <v/>
      </c>
      <c r="U321" t="str">
        <f>IFERROR(IF($H320+1&lt;'General Info and Liability'!$B$15+1,'General Info and Liability'!$D$19,""),"")</f>
        <v/>
      </c>
      <c r="V321" t="str">
        <f>IFERROR(IF($H320+1&lt;'General Info and Liability'!$B$15+1,'General Info and Liability'!$B$14,""),"")</f>
        <v/>
      </c>
      <c r="W321" t="str">
        <f>IFERROR(IF($H320+1&lt;'General Info and Liability'!$B$15+1,'General Info and Liability'!$D$20,""),"")</f>
        <v/>
      </c>
    </row>
    <row r="322" spans="8:23" ht="16.5" customHeight="1">
      <c r="H322" t="str">
        <f>IFERROR(IF(H321+1&lt;'General Info and Liability'!$B$15+1,'Property Schedule'!H321+1,""),"")</f>
        <v/>
      </c>
      <c r="J322" s="8"/>
      <c r="K322" s="7" t="str">
        <f>IFERROR(IF($H321+1&lt;'General Info and Liability'!$B$15+1,'General Info and Liability'!$B$18/'General Info and Liability'!$B$10*$L322,""),"")</f>
        <v/>
      </c>
      <c r="L322" s="8"/>
      <c r="M322" s="31" t="str">
        <f>IFERROR(IF($H321+1&lt;'General Info and Liability'!$B$15+1,'General Info and Liability'!$D$14/'General Info and Liability'!$B$10*$L322,""),"")</f>
        <v/>
      </c>
      <c r="N322" s="32" t="str">
        <f>IFERROR(IF($H321+1&lt;'General Info and Liability'!$B$15+1,'General Info and Liability'!$D$15/'General Info and Liability'!$B$10*$L322,""),"")</f>
        <v/>
      </c>
      <c r="O322" s="8"/>
      <c r="P322" s="8"/>
      <c r="Q322" t="str">
        <f>IFERROR(IF($H322+1&gt;0,'General Info and Liability'!$D$16,""),"")</f>
        <v/>
      </c>
      <c r="R322" t="str">
        <f>IFERROR(IF($H322+1&gt;0,'General Info and Liability'!$B$16,""),"")</f>
        <v/>
      </c>
      <c r="S322" t="str">
        <f>IFERROR(IF($H321+1&lt;'General Info and Liability'!$B$15+1,'General Info and Liability'!$D$17,""),"")</f>
        <v/>
      </c>
      <c r="T322" t="str">
        <f>IFERROR(IF($H321+1&lt;'General Info and Liability'!$B$15+1,'General Info and Liability'!$D$18,""),"")</f>
        <v/>
      </c>
      <c r="U322" t="str">
        <f>IFERROR(IF($H321+1&lt;'General Info and Liability'!$B$15+1,'General Info and Liability'!$D$19,""),"")</f>
        <v/>
      </c>
      <c r="V322" t="str">
        <f>IFERROR(IF($H321+1&lt;'General Info and Liability'!$B$15+1,'General Info and Liability'!$B$14,""),"")</f>
        <v/>
      </c>
      <c r="W322" t="str">
        <f>IFERROR(IF($H321+1&lt;'General Info and Liability'!$B$15+1,'General Info and Liability'!$D$20,""),"")</f>
        <v/>
      </c>
    </row>
    <row r="323" spans="8:23" ht="16.5" customHeight="1">
      <c r="H323" t="str">
        <f>IFERROR(IF(H322+1&lt;'General Info and Liability'!$B$15+1,'Property Schedule'!H322+1,""),"")</f>
        <v/>
      </c>
      <c r="J323" s="8"/>
      <c r="K323" s="7" t="str">
        <f>IFERROR(IF($H322+1&lt;'General Info and Liability'!$B$15+1,'General Info and Liability'!$B$18/'General Info and Liability'!$B$10*$L323,""),"")</f>
        <v/>
      </c>
      <c r="L323" s="8"/>
      <c r="M323" s="31" t="str">
        <f>IFERROR(IF($H322+1&lt;'General Info and Liability'!$B$15+1,'General Info and Liability'!$D$14/'General Info and Liability'!$B$10*$L323,""),"")</f>
        <v/>
      </c>
      <c r="N323" s="32" t="str">
        <f>IFERROR(IF($H322+1&lt;'General Info and Liability'!$B$15+1,'General Info and Liability'!$D$15/'General Info and Liability'!$B$10*$L323,""),"")</f>
        <v/>
      </c>
      <c r="O323" s="8"/>
      <c r="P323" s="8"/>
      <c r="Q323" t="str">
        <f>IFERROR(IF($H323+1&gt;0,'General Info and Liability'!$D$16,""),"")</f>
        <v/>
      </c>
      <c r="R323" t="str">
        <f>IFERROR(IF($H323+1&gt;0,'General Info and Liability'!$B$16,""),"")</f>
        <v/>
      </c>
      <c r="S323" t="str">
        <f>IFERROR(IF($H322+1&lt;'General Info and Liability'!$B$15+1,'General Info and Liability'!$D$17,""),"")</f>
        <v/>
      </c>
      <c r="T323" t="str">
        <f>IFERROR(IF($H322+1&lt;'General Info and Liability'!$B$15+1,'General Info and Liability'!$D$18,""),"")</f>
        <v/>
      </c>
      <c r="U323" t="str">
        <f>IFERROR(IF($H322+1&lt;'General Info and Liability'!$B$15+1,'General Info and Liability'!$D$19,""),"")</f>
        <v/>
      </c>
      <c r="V323" t="str">
        <f>IFERROR(IF($H322+1&lt;'General Info and Liability'!$B$15+1,'General Info and Liability'!$B$14,""),"")</f>
        <v/>
      </c>
      <c r="W323" t="str">
        <f>IFERROR(IF($H322+1&lt;'General Info and Liability'!$B$15+1,'General Info and Liability'!$D$20,""),"")</f>
        <v/>
      </c>
    </row>
    <row r="324" spans="8:23" ht="16.5" customHeight="1">
      <c r="H324" t="str">
        <f>IFERROR(IF(H323+1&lt;'General Info and Liability'!$B$15+1,'Property Schedule'!H323+1,""),"")</f>
        <v/>
      </c>
      <c r="J324" s="8"/>
      <c r="K324" s="7" t="str">
        <f>IFERROR(IF($H323+1&lt;'General Info and Liability'!$B$15+1,'General Info and Liability'!$B$18/'General Info and Liability'!$B$10*$L324,""),"")</f>
        <v/>
      </c>
      <c r="L324" s="8"/>
      <c r="M324" s="31" t="str">
        <f>IFERROR(IF($H323+1&lt;'General Info and Liability'!$B$15+1,'General Info and Liability'!$D$14/'General Info and Liability'!$B$10*$L324,""),"")</f>
        <v/>
      </c>
      <c r="N324" s="32" t="str">
        <f>IFERROR(IF($H323+1&lt;'General Info and Liability'!$B$15+1,'General Info and Liability'!$D$15/'General Info and Liability'!$B$10*$L324,""),"")</f>
        <v/>
      </c>
      <c r="O324" s="8"/>
      <c r="P324" s="8"/>
      <c r="Q324" t="str">
        <f>IFERROR(IF($H324+1&gt;0,'General Info and Liability'!$D$16,""),"")</f>
        <v/>
      </c>
      <c r="R324" t="str">
        <f>IFERROR(IF($H324+1&gt;0,'General Info and Liability'!$B$16,""),"")</f>
        <v/>
      </c>
      <c r="S324" t="str">
        <f>IFERROR(IF($H323+1&lt;'General Info and Liability'!$B$15+1,'General Info and Liability'!$D$17,""),"")</f>
        <v/>
      </c>
      <c r="T324" t="str">
        <f>IFERROR(IF($H323+1&lt;'General Info and Liability'!$B$15+1,'General Info and Liability'!$D$18,""),"")</f>
        <v/>
      </c>
      <c r="U324" t="str">
        <f>IFERROR(IF($H323+1&lt;'General Info and Liability'!$B$15+1,'General Info and Liability'!$D$19,""),"")</f>
        <v/>
      </c>
      <c r="V324" t="str">
        <f>IFERROR(IF($H323+1&lt;'General Info and Liability'!$B$15+1,'General Info and Liability'!$B$14,""),"")</f>
        <v/>
      </c>
      <c r="W324" t="str">
        <f>IFERROR(IF($H323+1&lt;'General Info and Liability'!$B$15+1,'General Info and Liability'!$D$20,""),"")</f>
        <v/>
      </c>
    </row>
    <row r="325" spans="8:23" ht="16.5" customHeight="1">
      <c r="H325" t="str">
        <f>IFERROR(IF(H324+1&lt;'General Info and Liability'!$B$15+1,'Property Schedule'!H324+1,""),"")</f>
        <v/>
      </c>
      <c r="J325" s="8"/>
      <c r="K325" s="7" t="str">
        <f>IFERROR(IF($H324+1&lt;'General Info and Liability'!$B$15+1,'General Info and Liability'!$B$18/'General Info and Liability'!$B$10*$L325,""),"")</f>
        <v/>
      </c>
      <c r="L325" s="8"/>
      <c r="M325" s="31" t="str">
        <f>IFERROR(IF($H324+1&lt;'General Info and Liability'!$B$15+1,'General Info and Liability'!$D$14/'General Info and Liability'!$B$10*$L325,""),"")</f>
        <v/>
      </c>
      <c r="N325" s="32" t="str">
        <f>IFERROR(IF($H324+1&lt;'General Info and Liability'!$B$15+1,'General Info and Liability'!$D$15/'General Info and Liability'!$B$10*$L325,""),"")</f>
        <v/>
      </c>
      <c r="O325" s="8"/>
      <c r="P325" s="8"/>
      <c r="Q325" t="str">
        <f>IFERROR(IF($H325+1&gt;0,'General Info and Liability'!$D$16,""),"")</f>
        <v/>
      </c>
      <c r="R325" t="str">
        <f>IFERROR(IF($H325+1&gt;0,'General Info and Liability'!$B$16,""),"")</f>
        <v/>
      </c>
      <c r="S325" t="str">
        <f>IFERROR(IF($H324+1&lt;'General Info and Liability'!$B$15+1,'General Info and Liability'!$D$17,""),"")</f>
        <v/>
      </c>
      <c r="T325" t="str">
        <f>IFERROR(IF($H324+1&lt;'General Info and Liability'!$B$15+1,'General Info and Liability'!$D$18,""),"")</f>
        <v/>
      </c>
      <c r="U325" t="str">
        <f>IFERROR(IF($H324+1&lt;'General Info and Liability'!$B$15+1,'General Info and Liability'!$D$19,""),"")</f>
        <v/>
      </c>
      <c r="V325" t="str">
        <f>IFERROR(IF($H324+1&lt;'General Info and Liability'!$B$15+1,'General Info and Liability'!$B$14,""),"")</f>
        <v/>
      </c>
      <c r="W325" t="str">
        <f>IFERROR(IF($H324+1&lt;'General Info and Liability'!$B$15+1,'General Info and Liability'!$D$20,""),"")</f>
        <v/>
      </c>
    </row>
    <row r="326" spans="8:23" ht="16.5" customHeight="1">
      <c r="H326" t="str">
        <f>IFERROR(IF(H325+1&lt;'General Info and Liability'!$B$15+1,'Property Schedule'!H325+1,""),"")</f>
        <v/>
      </c>
      <c r="J326" s="8"/>
      <c r="K326" s="7" t="str">
        <f>IFERROR(IF($H325+1&lt;'General Info and Liability'!$B$15+1,'General Info and Liability'!$B$18/'General Info and Liability'!$B$10*$L326,""),"")</f>
        <v/>
      </c>
      <c r="L326" s="8"/>
      <c r="M326" s="31" t="str">
        <f>IFERROR(IF($H325+1&lt;'General Info and Liability'!$B$15+1,'General Info and Liability'!$D$14/'General Info and Liability'!$B$10*$L326,""),"")</f>
        <v/>
      </c>
      <c r="N326" s="32" t="str">
        <f>IFERROR(IF($H325+1&lt;'General Info and Liability'!$B$15+1,'General Info and Liability'!$D$15/'General Info and Liability'!$B$10*$L326,""),"")</f>
        <v/>
      </c>
      <c r="O326" s="8"/>
      <c r="P326" s="8"/>
      <c r="Q326" t="str">
        <f>IFERROR(IF($H326+1&gt;0,'General Info and Liability'!$D$16,""),"")</f>
        <v/>
      </c>
      <c r="R326" t="str">
        <f>IFERROR(IF($H326+1&gt;0,'General Info and Liability'!$B$16,""),"")</f>
        <v/>
      </c>
      <c r="S326" t="str">
        <f>IFERROR(IF($H325+1&lt;'General Info and Liability'!$B$15+1,'General Info and Liability'!$D$17,""),"")</f>
        <v/>
      </c>
      <c r="T326" t="str">
        <f>IFERROR(IF($H325+1&lt;'General Info and Liability'!$B$15+1,'General Info and Liability'!$D$18,""),"")</f>
        <v/>
      </c>
      <c r="U326" t="str">
        <f>IFERROR(IF($H325+1&lt;'General Info and Liability'!$B$15+1,'General Info and Liability'!$D$19,""),"")</f>
        <v/>
      </c>
      <c r="V326" t="str">
        <f>IFERROR(IF($H325+1&lt;'General Info and Liability'!$B$15+1,'General Info and Liability'!$B$14,""),"")</f>
        <v/>
      </c>
      <c r="W326" t="str">
        <f>IFERROR(IF($H325+1&lt;'General Info and Liability'!$B$15+1,'General Info and Liability'!$D$20,""),"")</f>
        <v/>
      </c>
    </row>
    <row r="327" spans="8:23" ht="16.5" customHeight="1">
      <c r="H327" t="str">
        <f>IFERROR(IF(H326+1&lt;'General Info and Liability'!$B$15+1,'Property Schedule'!H326+1,""),"")</f>
        <v/>
      </c>
      <c r="J327" s="8"/>
      <c r="K327" s="7" t="str">
        <f>IFERROR(IF($H326+1&lt;'General Info and Liability'!$B$15+1,'General Info and Liability'!$B$18/'General Info and Liability'!$B$10*$L327,""),"")</f>
        <v/>
      </c>
      <c r="L327" s="8"/>
      <c r="M327" s="31" t="str">
        <f>IFERROR(IF($H326+1&lt;'General Info and Liability'!$B$15+1,'General Info and Liability'!$D$14/'General Info and Liability'!$B$10*$L327,""),"")</f>
        <v/>
      </c>
      <c r="N327" s="32" t="str">
        <f>IFERROR(IF($H326+1&lt;'General Info and Liability'!$B$15+1,'General Info and Liability'!$D$15/'General Info and Liability'!$B$10*$L327,""),"")</f>
        <v/>
      </c>
      <c r="O327" s="8"/>
      <c r="P327" s="8"/>
      <c r="Q327" t="str">
        <f>IFERROR(IF($H327+1&gt;0,'General Info and Liability'!$D$16,""),"")</f>
        <v/>
      </c>
      <c r="R327" t="str">
        <f>IFERROR(IF($H327+1&gt;0,'General Info and Liability'!$B$16,""),"")</f>
        <v/>
      </c>
      <c r="S327" t="str">
        <f>IFERROR(IF($H326+1&lt;'General Info and Liability'!$B$15+1,'General Info and Liability'!$D$17,""),"")</f>
        <v/>
      </c>
      <c r="T327" t="str">
        <f>IFERROR(IF($H326+1&lt;'General Info and Liability'!$B$15+1,'General Info and Liability'!$D$18,""),"")</f>
        <v/>
      </c>
      <c r="U327" t="str">
        <f>IFERROR(IF($H326+1&lt;'General Info and Liability'!$B$15+1,'General Info and Liability'!$D$19,""),"")</f>
        <v/>
      </c>
      <c r="V327" t="str">
        <f>IFERROR(IF($H326+1&lt;'General Info and Liability'!$B$15+1,'General Info and Liability'!$B$14,""),"")</f>
        <v/>
      </c>
      <c r="W327" t="str">
        <f>IFERROR(IF($H326+1&lt;'General Info and Liability'!$B$15+1,'General Info and Liability'!$D$20,""),"")</f>
        <v/>
      </c>
    </row>
    <row r="328" spans="8:23" ht="16.5" customHeight="1">
      <c r="H328" t="str">
        <f>IFERROR(IF(H327+1&lt;'General Info and Liability'!$B$15+1,'Property Schedule'!H327+1,""),"")</f>
        <v/>
      </c>
      <c r="J328" s="8"/>
      <c r="K328" s="7" t="str">
        <f>IFERROR(IF($H327+1&lt;'General Info and Liability'!$B$15+1,'General Info and Liability'!$B$18/'General Info and Liability'!$B$10*$L328,""),"")</f>
        <v/>
      </c>
      <c r="L328" s="8"/>
      <c r="M328" s="31" t="str">
        <f>IFERROR(IF($H327+1&lt;'General Info and Liability'!$B$15+1,'General Info and Liability'!$D$14/'General Info and Liability'!$B$10*$L328,""),"")</f>
        <v/>
      </c>
      <c r="N328" s="32" t="str">
        <f>IFERROR(IF($H327+1&lt;'General Info and Liability'!$B$15+1,'General Info and Liability'!$D$15/'General Info and Liability'!$B$10*$L328,""),"")</f>
        <v/>
      </c>
      <c r="O328" s="8"/>
      <c r="P328" s="8"/>
      <c r="Q328" t="str">
        <f>IFERROR(IF($H328+1&gt;0,'General Info and Liability'!$D$16,""),"")</f>
        <v/>
      </c>
      <c r="R328" t="str">
        <f>IFERROR(IF($H328+1&gt;0,'General Info and Liability'!$B$16,""),"")</f>
        <v/>
      </c>
      <c r="S328" t="str">
        <f>IFERROR(IF($H327+1&lt;'General Info and Liability'!$B$15+1,'General Info and Liability'!$D$17,""),"")</f>
        <v/>
      </c>
      <c r="T328" t="str">
        <f>IFERROR(IF($H327+1&lt;'General Info and Liability'!$B$15+1,'General Info and Liability'!$D$18,""),"")</f>
        <v/>
      </c>
      <c r="U328" t="str">
        <f>IFERROR(IF($H327+1&lt;'General Info and Liability'!$B$15+1,'General Info and Liability'!$D$19,""),"")</f>
        <v/>
      </c>
      <c r="V328" t="str">
        <f>IFERROR(IF($H327+1&lt;'General Info and Liability'!$B$15+1,'General Info and Liability'!$B$14,""),"")</f>
        <v/>
      </c>
      <c r="W328" t="str">
        <f>IFERROR(IF($H327+1&lt;'General Info and Liability'!$B$15+1,'General Info and Liability'!$D$20,""),"")</f>
        <v/>
      </c>
    </row>
    <row r="329" spans="8:23" ht="16.5" customHeight="1">
      <c r="H329" t="str">
        <f>IFERROR(IF(H328+1&lt;'General Info and Liability'!$B$15+1,'Property Schedule'!H328+1,""),"")</f>
        <v/>
      </c>
      <c r="J329" s="8"/>
      <c r="K329" s="7" t="str">
        <f>IFERROR(IF($H328+1&lt;'General Info and Liability'!$B$15+1,'General Info and Liability'!$B$18/'General Info and Liability'!$B$10*$L329,""),"")</f>
        <v/>
      </c>
      <c r="L329" s="8"/>
      <c r="M329" s="31" t="str">
        <f>IFERROR(IF($H328+1&lt;'General Info and Liability'!$B$15+1,'General Info and Liability'!$D$14/'General Info and Liability'!$B$10*$L329,""),"")</f>
        <v/>
      </c>
      <c r="N329" s="32" t="str">
        <f>IFERROR(IF($H328+1&lt;'General Info and Liability'!$B$15+1,'General Info and Liability'!$D$15/'General Info and Liability'!$B$10*$L329,""),"")</f>
        <v/>
      </c>
      <c r="O329" s="8"/>
      <c r="P329" s="8"/>
      <c r="Q329" t="str">
        <f>IFERROR(IF($H329+1&gt;0,'General Info and Liability'!$D$16,""),"")</f>
        <v/>
      </c>
      <c r="R329" t="str">
        <f>IFERROR(IF($H329+1&gt;0,'General Info and Liability'!$B$16,""),"")</f>
        <v/>
      </c>
      <c r="S329" t="str">
        <f>IFERROR(IF($H328+1&lt;'General Info and Liability'!$B$15+1,'General Info and Liability'!$D$17,""),"")</f>
        <v/>
      </c>
      <c r="T329" t="str">
        <f>IFERROR(IF($H328+1&lt;'General Info and Liability'!$B$15+1,'General Info and Liability'!$D$18,""),"")</f>
        <v/>
      </c>
      <c r="U329" t="str">
        <f>IFERROR(IF($H328+1&lt;'General Info and Liability'!$B$15+1,'General Info and Liability'!$D$19,""),"")</f>
        <v/>
      </c>
      <c r="V329" t="str">
        <f>IFERROR(IF($H328+1&lt;'General Info and Liability'!$B$15+1,'General Info and Liability'!$B$14,""),"")</f>
        <v/>
      </c>
      <c r="W329" t="str">
        <f>IFERROR(IF($H328+1&lt;'General Info and Liability'!$B$15+1,'General Info and Liability'!$D$20,""),"")</f>
        <v/>
      </c>
    </row>
    <row r="330" spans="8:23" ht="16.5" customHeight="1">
      <c r="H330" t="str">
        <f>IFERROR(IF(H329+1&lt;'General Info and Liability'!$B$15+1,'Property Schedule'!H329+1,""),"")</f>
        <v/>
      </c>
      <c r="J330" s="8"/>
      <c r="K330" s="7" t="str">
        <f>IFERROR(IF($H329+1&lt;'General Info and Liability'!$B$15+1,'General Info and Liability'!$B$18/'General Info and Liability'!$B$10*$L330,""),"")</f>
        <v/>
      </c>
      <c r="L330" s="8"/>
      <c r="M330" s="31" t="str">
        <f>IFERROR(IF($H329+1&lt;'General Info and Liability'!$B$15+1,'General Info and Liability'!$D$14/'General Info and Liability'!$B$10*$L330,""),"")</f>
        <v/>
      </c>
      <c r="N330" s="32" t="str">
        <f>IFERROR(IF($H329+1&lt;'General Info and Liability'!$B$15+1,'General Info and Liability'!$D$15/'General Info and Liability'!$B$10*$L330,""),"")</f>
        <v/>
      </c>
      <c r="O330" s="8"/>
      <c r="P330" s="8"/>
      <c r="Q330" t="str">
        <f>IFERROR(IF($H330+1&gt;0,'General Info and Liability'!$D$16,""),"")</f>
        <v/>
      </c>
      <c r="R330" t="str">
        <f>IFERROR(IF($H330+1&gt;0,'General Info and Liability'!$B$16,""),"")</f>
        <v/>
      </c>
      <c r="S330" t="str">
        <f>IFERROR(IF($H329+1&lt;'General Info and Liability'!$B$15+1,'General Info and Liability'!$D$17,""),"")</f>
        <v/>
      </c>
      <c r="T330" t="str">
        <f>IFERROR(IF($H329+1&lt;'General Info and Liability'!$B$15+1,'General Info and Liability'!$D$18,""),"")</f>
        <v/>
      </c>
      <c r="U330" t="str">
        <f>IFERROR(IF($H329+1&lt;'General Info and Liability'!$B$15+1,'General Info and Liability'!$D$19,""),"")</f>
        <v/>
      </c>
      <c r="V330" t="str">
        <f>IFERROR(IF($H329+1&lt;'General Info and Liability'!$B$15+1,'General Info and Liability'!$B$14,""),"")</f>
        <v/>
      </c>
      <c r="W330" t="str">
        <f>IFERROR(IF($H329+1&lt;'General Info and Liability'!$B$15+1,'General Info and Liability'!$D$20,""),"")</f>
        <v/>
      </c>
    </row>
    <row r="331" spans="8:23" ht="16.5" customHeight="1">
      <c r="H331" t="str">
        <f>IFERROR(IF(H330+1&lt;'General Info and Liability'!$B$15+1,'Property Schedule'!H330+1,""),"")</f>
        <v/>
      </c>
      <c r="J331" s="8"/>
      <c r="K331" s="7" t="str">
        <f>IFERROR(IF($H330+1&lt;'General Info and Liability'!$B$15+1,'General Info and Liability'!$B$18/'General Info and Liability'!$B$10*$L331,""),"")</f>
        <v/>
      </c>
      <c r="L331" s="8"/>
      <c r="M331" s="31" t="str">
        <f>IFERROR(IF($H330+1&lt;'General Info and Liability'!$B$15+1,'General Info and Liability'!$D$14/'General Info and Liability'!$B$10*$L331,""),"")</f>
        <v/>
      </c>
      <c r="N331" s="32" t="str">
        <f>IFERROR(IF($H330+1&lt;'General Info and Liability'!$B$15+1,'General Info and Liability'!$D$15/'General Info and Liability'!$B$10*$L331,""),"")</f>
        <v/>
      </c>
      <c r="O331" s="8"/>
      <c r="P331" s="8"/>
      <c r="Q331" t="str">
        <f>IFERROR(IF($H331+1&gt;0,'General Info and Liability'!$D$16,""),"")</f>
        <v/>
      </c>
      <c r="R331" t="str">
        <f>IFERROR(IF($H331+1&gt;0,'General Info and Liability'!$B$16,""),"")</f>
        <v/>
      </c>
      <c r="S331" t="str">
        <f>IFERROR(IF($H330+1&lt;'General Info and Liability'!$B$15+1,'General Info and Liability'!$D$17,""),"")</f>
        <v/>
      </c>
      <c r="T331" t="str">
        <f>IFERROR(IF($H330+1&lt;'General Info and Liability'!$B$15+1,'General Info and Liability'!$D$18,""),"")</f>
        <v/>
      </c>
      <c r="U331" t="str">
        <f>IFERROR(IF($H330+1&lt;'General Info and Liability'!$B$15+1,'General Info and Liability'!$D$19,""),"")</f>
        <v/>
      </c>
      <c r="V331" t="str">
        <f>IFERROR(IF($H330+1&lt;'General Info and Liability'!$B$15+1,'General Info and Liability'!$B$14,""),"")</f>
        <v/>
      </c>
      <c r="W331" t="str">
        <f>IFERROR(IF($H330+1&lt;'General Info and Liability'!$B$15+1,'General Info and Liability'!$D$20,""),"")</f>
        <v/>
      </c>
    </row>
    <row r="332" spans="8:23" ht="16.5" customHeight="1">
      <c r="H332" t="str">
        <f>IFERROR(IF(H331+1&lt;'General Info and Liability'!$B$15+1,'Property Schedule'!H331+1,""),"")</f>
        <v/>
      </c>
      <c r="J332" s="8"/>
      <c r="K332" s="7" t="str">
        <f>IFERROR(IF($H331+1&lt;'General Info and Liability'!$B$15+1,'General Info and Liability'!$B$18/'General Info and Liability'!$B$10*$L332,""),"")</f>
        <v/>
      </c>
      <c r="L332" s="8"/>
      <c r="M332" s="31" t="str">
        <f>IFERROR(IF($H331+1&lt;'General Info and Liability'!$B$15+1,'General Info and Liability'!$D$14/'General Info and Liability'!$B$10*$L332,""),"")</f>
        <v/>
      </c>
      <c r="N332" s="32" t="str">
        <f>IFERROR(IF($H331+1&lt;'General Info and Liability'!$B$15+1,'General Info and Liability'!$D$15/'General Info and Liability'!$B$10*$L332,""),"")</f>
        <v/>
      </c>
      <c r="O332" s="8"/>
      <c r="P332" s="8"/>
      <c r="Q332" t="str">
        <f>IFERROR(IF($H332+1&gt;0,'General Info and Liability'!$D$16,""),"")</f>
        <v/>
      </c>
      <c r="R332" t="str">
        <f>IFERROR(IF($H332+1&gt;0,'General Info and Liability'!$B$16,""),"")</f>
        <v/>
      </c>
      <c r="S332" t="str">
        <f>IFERROR(IF($H331+1&lt;'General Info and Liability'!$B$15+1,'General Info and Liability'!$D$17,""),"")</f>
        <v/>
      </c>
      <c r="T332" t="str">
        <f>IFERROR(IF($H331+1&lt;'General Info and Liability'!$B$15+1,'General Info and Liability'!$D$18,""),"")</f>
        <v/>
      </c>
      <c r="U332" t="str">
        <f>IFERROR(IF($H331+1&lt;'General Info and Liability'!$B$15+1,'General Info and Liability'!$D$19,""),"")</f>
        <v/>
      </c>
      <c r="V332" t="str">
        <f>IFERROR(IF($H331+1&lt;'General Info and Liability'!$B$15+1,'General Info and Liability'!$B$14,""),"")</f>
        <v/>
      </c>
      <c r="W332" t="str">
        <f>IFERROR(IF($H331+1&lt;'General Info and Liability'!$B$15+1,'General Info and Liability'!$D$20,""),"")</f>
        <v/>
      </c>
    </row>
    <row r="333" spans="8:23" ht="16.5" customHeight="1">
      <c r="H333" t="str">
        <f>IFERROR(IF(H332+1&lt;'General Info and Liability'!$B$15+1,'Property Schedule'!H332+1,""),"")</f>
        <v/>
      </c>
      <c r="J333" s="8"/>
      <c r="K333" s="7" t="str">
        <f>IFERROR(IF($H332+1&lt;'General Info and Liability'!$B$15+1,'General Info and Liability'!$B$18/'General Info and Liability'!$B$10*$L333,""),"")</f>
        <v/>
      </c>
      <c r="L333" s="8"/>
      <c r="M333" s="31" t="str">
        <f>IFERROR(IF($H332+1&lt;'General Info and Liability'!$B$15+1,'General Info and Liability'!$D$14/'General Info and Liability'!$B$10*$L333,""),"")</f>
        <v/>
      </c>
      <c r="N333" s="32" t="str">
        <f>IFERROR(IF($H332+1&lt;'General Info and Liability'!$B$15+1,'General Info and Liability'!$D$15/'General Info and Liability'!$B$10*$L333,""),"")</f>
        <v/>
      </c>
      <c r="O333" s="8"/>
      <c r="P333" s="8"/>
      <c r="Q333" t="str">
        <f>IFERROR(IF($H333+1&gt;0,'General Info and Liability'!$D$16,""),"")</f>
        <v/>
      </c>
      <c r="R333" t="str">
        <f>IFERROR(IF($H333+1&gt;0,'General Info and Liability'!$B$16,""),"")</f>
        <v/>
      </c>
      <c r="S333" t="str">
        <f>IFERROR(IF($H332+1&lt;'General Info and Liability'!$B$15+1,'General Info and Liability'!$D$17,""),"")</f>
        <v/>
      </c>
      <c r="T333" t="str">
        <f>IFERROR(IF($H332+1&lt;'General Info and Liability'!$B$15+1,'General Info and Liability'!$D$18,""),"")</f>
        <v/>
      </c>
      <c r="U333" t="str">
        <f>IFERROR(IF($H332+1&lt;'General Info and Liability'!$B$15+1,'General Info and Liability'!$D$19,""),"")</f>
        <v/>
      </c>
      <c r="V333" t="str">
        <f>IFERROR(IF($H332+1&lt;'General Info and Liability'!$B$15+1,'General Info and Liability'!$B$14,""),"")</f>
        <v/>
      </c>
      <c r="W333" t="str">
        <f>IFERROR(IF($H332+1&lt;'General Info and Liability'!$B$15+1,'General Info and Liability'!$D$20,""),"")</f>
        <v/>
      </c>
    </row>
    <row r="334" spans="8:23" ht="16.5" customHeight="1">
      <c r="H334" t="str">
        <f>IFERROR(IF(H333+1&lt;'General Info and Liability'!$B$15+1,'Property Schedule'!H333+1,""),"")</f>
        <v/>
      </c>
      <c r="J334" s="8"/>
      <c r="K334" s="7" t="str">
        <f>IFERROR(IF($H333+1&lt;'General Info and Liability'!$B$15+1,'General Info and Liability'!$B$18/'General Info and Liability'!$B$10*$L334,""),"")</f>
        <v/>
      </c>
      <c r="L334" s="8"/>
      <c r="M334" s="31" t="str">
        <f>IFERROR(IF($H333+1&lt;'General Info and Liability'!$B$15+1,'General Info and Liability'!$D$14/'General Info and Liability'!$B$10*$L334,""),"")</f>
        <v/>
      </c>
      <c r="N334" s="32" t="str">
        <f>IFERROR(IF($H333+1&lt;'General Info and Liability'!$B$15+1,'General Info and Liability'!$D$15/'General Info and Liability'!$B$10*$L334,""),"")</f>
        <v/>
      </c>
      <c r="O334" s="8"/>
      <c r="P334" s="8"/>
      <c r="Q334" t="str">
        <f>IFERROR(IF($H334+1&gt;0,'General Info and Liability'!$D$16,""),"")</f>
        <v/>
      </c>
      <c r="R334" t="str">
        <f>IFERROR(IF($H334+1&gt;0,'General Info and Liability'!$B$16,""),"")</f>
        <v/>
      </c>
      <c r="S334" t="str">
        <f>IFERROR(IF($H333+1&lt;'General Info and Liability'!$B$15+1,'General Info and Liability'!$D$17,""),"")</f>
        <v/>
      </c>
      <c r="T334" t="str">
        <f>IFERROR(IF($H333+1&lt;'General Info and Liability'!$B$15+1,'General Info and Liability'!$D$18,""),"")</f>
        <v/>
      </c>
      <c r="U334" t="str">
        <f>IFERROR(IF($H333+1&lt;'General Info and Liability'!$B$15+1,'General Info and Liability'!$D$19,""),"")</f>
        <v/>
      </c>
      <c r="V334" t="str">
        <f>IFERROR(IF($H333+1&lt;'General Info and Liability'!$B$15+1,'General Info and Liability'!$B$14,""),"")</f>
        <v/>
      </c>
      <c r="W334" t="str">
        <f>IFERROR(IF($H333+1&lt;'General Info and Liability'!$B$15+1,'General Info and Liability'!$D$20,""),"")</f>
        <v/>
      </c>
    </row>
    <row r="335" spans="8:23" ht="16.5" customHeight="1">
      <c r="H335" t="str">
        <f>IFERROR(IF(H334+1&lt;'General Info and Liability'!$B$15+1,'Property Schedule'!H334+1,""),"")</f>
        <v/>
      </c>
      <c r="J335" s="8"/>
      <c r="K335" s="7" t="str">
        <f>IFERROR(IF($H334+1&lt;'General Info and Liability'!$B$15+1,'General Info and Liability'!$B$18/'General Info and Liability'!$B$10*$L335,""),"")</f>
        <v/>
      </c>
      <c r="L335" s="8"/>
      <c r="M335" s="31" t="str">
        <f>IFERROR(IF($H334+1&lt;'General Info and Liability'!$B$15+1,'General Info and Liability'!$D$14/'General Info and Liability'!$B$10*$L335,""),"")</f>
        <v/>
      </c>
      <c r="N335" s="32" t="str">
        <f>IFERROR(IF($H334+1&lt;'General Info and Liability'!$B$15+1,'General Info and Liability'!$D$15/'General Info and Liability'!$B$10*$L335,""),"")</f>
        <v/>
      </c>
      <c r="O335" s="8"/>
      <c r="P335" s="8"/>
      <c r="Q335" t="str">
        <f>IFERROR(IF($H335+1&gt;0,'General Info and Liability'!$D$16,""),"")</f>
        <v/>
      </c>
      <c r="R335" t="str">
        <f>IFERROR(IF($H335+1&gt;0,'General Info and Liability'!$B$16,""),"")</f>
        <v/>
      </c>
      <c r="S335" t="str">
        <f>IFERROR(IF($H334+1&lt;'General Info and Liability'!$B$15+1,'General Info and Liability'!$D$17,""),"")</f>
        <v/>
      </c>
      <c r="T335" t="str">
        <f>IFERROR(IF($H334+1&lt;'General Info and Liability'!$B$15+1,'General Info and Liability'!$D$18,""),"")</f>
        <v/>
      </c>
      <c r="U335" t="str">
        <f>IFERROR(IF($H334+1&lt;'General Info and Liability'!$B$15+1,'General Info and Liability'!$D$19,""),"")</f>
        <v/>
      </c>
      <c r="V335" t="str">
        <f>IFERROR(IF($H334+1&lt;'General Info and Liability'!$B$15+1,'General Info and Liability'!$B$14,""),"")</f>
        <v/>
      </c>
      <c r="W335" t="str">
        <f>IFERROR(IF($H334+1&lt;'General Info and Liability'!$B$15+1,'General Info and Liability'!$D$20,""),"")</f>
        <v/>
      </c>
    </row>
    <row r="336" spans="8:23" ht="16.5" customHeight="1">
      <c r="H336" t="str">
        <f>IFERROR(IF(H335+1&lt;'General Info and Liability'!$B$15+1,'Property Schedule'!H335+1,""),"")</f>
        <v/>
      </c>
      <c r="J336" s="8"/>
      <c r="K336" s="7" t="str">
        <f>IFERROR(IF($H335+1&lt;'General Info and Liability'!$B$15+1,'General Info and Liability'!$B$18/'General Info and Liability'!$B$10*$L336,""),"")</f>
        <v/>
      </c>
      <c r="L336" s="8"/>
      <c r="M336" s="31" t="str">
        <f>IFERROR(IF($H335+1&lt;'General Info and Liability'!$B$15+1,'General Info and Liability'!$D$14/'General Info and Liability'!$B$10*$L336,""),"")</f>
        <v/>
      </c>
      <c r="N336" s="32" t="str">
        <f>IFERROR(IF($H335+1&lt;'General Info and Liability'!$B$15+1,'General Info and Liability'!$D$15/'General Info and Liability'!$B$10*$L336,""),"")</f>
        <v/>
      </c>
      <c r="O336" s="8"/>
      <c r="P336" s="8"/>
      <c r="Q336" t="str">
        <f>IFERROR(IF($H336+1&gt;0,'General Info and Liability'!$D$16,""),"")</f>
        <v/>
      </c>
      <c r="R336" t="str">
        <f>IFERROR(IF($H336+1&gt;0,'General Info and Liability'!$B$16,""),"")</f>
        <v/>
      </c>
      <c r="S336" t="str">
        <f>IFERROR(IF($H335+1&lt;'General Info and Liability'!$B$15+1,'General Info and Liability'!$D$17,""),"")</f>
        <v/>
      </c>
      <c r="T336" t="str">
        <f>IFERROR(IF($H335+1&lt;'General Info and Liability'!$B$15+1,'General Info and Liability'!$D$18,""),"")</f>
        <v/>
      </c>
      <c r="U336" t="str">
        <f>IFERROR(IF($H335+1&lt;'General Info and Liability'!$B$15+1,'General Info and Liability'!$D$19,""),"")</f>
        <v/>
      </c>
      <c r="V336" t="str">
        <f>IFERROR(IF($H335+1&lt;'General Info and Liability'!$B$15+1,'General Info and Liability'!$B$14,""),"")</f>
        <v/>
      </c>
      <c r="W336" t="str">
        <f>IFERROR(IF($H335+1&lt;'General Info and Liability'!$B$15+1,'General Info and Liability'!$D$20,""),"")</f>
        <v/>
      </c>
    </row>
    <row r="337" spans="8:23" ht="16.5" customHeight="1">
      <c r="H337" t="str">
        <f>IFERROR(IF(H336+1&lt;'General Info and Liability'!$B$15+1,'Property Schedule'!H336+1,""),"")</f>
        <v/>
      </c>
      <c r="J337" s="8"/>
      <c r="K337" s="7" t="str">
        <f>IFERROR(IF($H336+1&lt;'General Info and Liability'!$B$15+1,'General Info and Liability'!$B$18/'General Info and Liability'!$B$10*$L337,""),"")</f>
        <v/>
      </c>
      <c r="L337" s="8"/>
      <c r="M337" s="31" t="str">
        <f>IFERROR(IF($H336+1&lt;'General Info and Liability'!$B$15+1,'General Info and Liability'!$D$14/'General Info and Liability'!$B$10*$L337,""),"")</f>
        <v/>
      </c>
      <c r="N337" s="32" t="str">
        <f>IFERROR(IF($H336+1&lt;'General Info and Liability'!$B$15+1,'General Info and Liability'!$D$15/'General Info and Liability'!$B$10*$L337,""),"")</f>
        <v/>
      </c>
      <c r="O337" s="8"/>
      <c r="P337" s="8"/>
      <c r="Q337" t="str">
        <f>IFERROR(IF($H337+1&gt;0,'General Info and Liability'!$D$16,""),"")</f>
        <v/>
      </c>
      <c r="R337" t="str">
        <f>IFERROR(IF($H337+1&gt;0,'General Info and Liability'!$B$16,""),"")</f>
        <v/>
      </c>
      <c r="S337" t="str">
        <f>IFERROR(IF($H336+1&lt;'General Info and Liability'!$B$15+1,'General Info and Liability'!$D$17,""),"")</f>
        <v/>
      </c>
      <c r="T337" t="str">
        <f>IFERROR(IF($H336+1&lt;'General Info and Liability'!$B$15+1,'General Info and Liability'!$D$18,""),"")</f>
        <v/>
      </c>
      <c r="U337" t="str">
        <f>IFERROR(IF($H336+1&lt;'General Info and Liability'!$B$15+1,'General Info and Liability'!$D$19,""),"")</f>
        <v/>
      </c>
      <c r="V337" t="str">
        <f>IFERROR(IF($H336+1&lt;'General Info and Liability'!$B$15+1,'General Info and Liability'!$B$14,""),"")</f>
        <v/>
      </c>
      <c r="W337" t="str">
        <f>IFERROR(IF($H336+1&lt;'General Info and Liability'!$B$15+1,'General Info and Liability'!$D$20,""),"")</f>
        <v/>
      </c>
    </row>
    <row r="338" spans="8:23" ht="16.5" customHeight="1">
      <c r="H338" t="str">
        <f>IFERROR(IF(H337+1&lt;'General Info and Liability'!$B$15+1,'Property Schedule'!H337+1,""),"")</f>
        <v/>
      </c>
      <c r="J338" s="8"/>
      <c r="K338" s="7" t="str">
        <f>IFERROR(IF($H337+1&lt;'General Info and Liability'!$B$15+1,'General Info and Liability'!$B$18/'General Info and Liability'!$B$10*$L338,""),"")</f>
        <v/>
      </c>
      <c r="L338" s="8"/>
      <c r="M338" s="31" t="str">
        <f>IFERROR(IF($H337+1&lt;'General Info and Liability'!$B$15+1,'General Info and Liability'!$D$14/'General Info and Liability'!$B$10*$L338,""),"")</f>
        <v/>
      </c>
      <c r="N338" s="32" t="str">
        <f>IFERROR(IF($H337+1&lt;'General Info and Liability'!$B$15+1,'General Info and Liability'!$D$15/'General Info and Liability'!$B$10*$L338,""),"")</f>
        <v/>
      </c>
      <c r="O338" s="8"/>
      <c r="P338" s="8"/>
      <c r="Q338" t="str">
        <f>IFERROR(IF($H338+1&gt;0,'General Info and Liability'!$D$16,""),"")</f>
        <v/>
      </c>
      <c r="R338" t="str">
        <f>IFERROR(IF($H338+1&gt;0,'General Info and Liability'!$B$16,""),"")</f>
        <v/>
      </c>
      <c r="S338" t="str">
        <f>IFERROR(IF($H337+1&lt;'General Info and Liability'!$B$15+1,'General Info and Liability'!$D$17,""),"")</f>
        <v/>
      </c>
      <c r="T338" t="str">
        <f>IFERROR(IF($H337+1&lt;'General Info and Liability'!$B$15+1,'General Info and Liability'!$D$18,""),"")</f>
        <v/>
      </c>
      <c r="U338" t="str">
        <f>IFERROR(IF($H337+1&lt;'General Info and Liability'!$B$15+1,'General Info and Liability'!$D$19,""),"")</f>
        <v/>
      </c>
      <c r="V338" t="str">
        <f>IFERROR(IF($H337+1&lt;'General Info and Liability'!$B$15+1,'General Info and Liability'!$B$14,""),"")</f>
        <v/>
      </c>
      <c r="W338" t="str">
        <f>IFERROR(IF($H337+1&lt;'General Info and Liability'!$B$15+1,'General Info and Liability'!$D$20,""),"")</f>
        <v/>
      </c>
    </row>
    <row r="339" spans="8:23" ht="16.5" customHeight="1">
      <c r="H339" t="str">
        <f>IFERROR(IF(H338+1&lt;'General Info and Liability'!$B$15+1,'Property Schedule'!H338+1,""),"")</f>
        <v/>
      </c>
      <c r="J339" s="8"/>
      <c r="K339" s="7" t="str">
        <f>IFERROR(IF($H338+1&lt;'General Info and Liability'!$B$15+1,'General Info and Liability'!$B$18/'General Info and Liability'!$B$10*$L339,""),"")</f>
        <v/>
      </c>
      <c r="L339" s="8"/>
      <c r="M339" s="31" t="str">
        <f>IFERROR(IF($H338+1&lt;'General Info and Liability'!$B$15+1,'General Info and Liability'!$D$14/'General Info and Liability'!$B$10*$L339,""),"")</f>
        <v/>
      </c>
      <c r="N339" s="32" t="str">
        <f>IFERROR(IF($H338+1&lt;'General Info and Liability'!$B$15+1,'General Info and Liability'!$D$15/'General Info and Liability'!$B$10*$L339,""),"")</f>
        <v/>
      </c>
      <c r="O339" s="8"/>
      <c r="P339" s="8"/>
      <c r="Q339" t="str">
        <f>IFERROR(IF($H339+1&gt;0,'General Info and Liability'!$D$16,""),"")</f>
        <v/>
      </c>
      <c r="R339" t="str">
        <f>IFERROR(IF($H339+1&gt;0,'General Info and Liability'!$B$16,""),"")</f>
        <v/>
      </c>
      <c r="S339" t="str">
        <f>IFERROR(IF($H338+1&lt;'General Info and Liability'!$B$15+1,'General Info and Liability'!$D$17,""),"")</f>
        <v/>
      </c>
      <c r="T339" t="str">
        <f>IFERROR(IF($H338+1&lt;'General Info and Liability'!$B$15+1,'General Info and Liability'!$D$18,""),"")</f>
        <v/>
      </c>
      <c r="U339" t="str">
        <f>IFERROR(IF($H338+1&lt;'General Info and Liability'!$B$15+1,'General Info and Liability'!$D$19,""),"")</f>
        <v/>
      </c>
      <c r="V339" t="str">
        <f>IFERROR(IF($H338+1&lt;'General Info and Liability'!$B$15+1,'General Info and Liability'!$B$14,""),"")</f>
        <v/>
      </c>
      <c r="W339" t="str">
        <f>IFERROR(IF($H338+1&lt;'General Info and Liability'!$B$15+1,'General Info and Liability'!$D$20,""),"")</f>
        <v/>
      </c>
    </row>
    <row r="340" spans="8:23" ht="16.5" customHeight="1">
      <c r="H340" t="str">
        <f>IFERROR(IF(H339+1&lt;'General Info and Liability'!$B$15+1,'Property Schedule'!H339+1,""),"")</f>
        <v/>
      </c>
      <c r="J340" s="8"/>
      <c r="K340" s="7" t="str">
        <f>IFERROR(IF($H339+1&lt;'General Info and Liability'!$B$15+1,'General Info and Liability'!$B$18/'General Info and Liability'!$B$10*$L340,""),"")</f>
        <v/>
      </c>
      <c r="L340" s="8"/>
      <c r="M340" s="31" t="str">
        <f>IFERROR(IF($H339+1&lt;'General Info and Liability'!$B$15+1,'General Info and Liability'!$D$14/'General Info and Liability'!$B$10*$L340,""),"")</f>
        <v/>
      </c>
      <c r="N340" s="32" t="str">
        <f>IFERROR(IF($H339+1&lt;'General Info and Liability'!$B$15+1,'General Info and Liability'!$D$15/'General Info and Liability'!$B$10*$L340,""),"")</f>
        <v/>
      </c>
      <c r="O340" s="8"/>
      <c r="P340" s="8"/>
      <c r="Q340" t="str">
        <f>IFERROR(IF($H340+1&gt;0,'General Info and Liability'!$D$16,""),"")</f>
        <v/>
      </c>
      <c r="R340" t="str">
        <f>IFERROR(IF($H340+1&gt;0,'General Info and Liability'!$B$16,""),"")</f>
        <v/>
      </c>
      <c r="S340" t="str">
        <f>IFERROR(IF($H339+1&lt;'General Info and Liability'!$B$15+1,'General Info and Liability'!$D$17,""),"")</f>
        <v/>
      </c>
      <c r="T340" t="str">
        <f>IFERROR(IF($H339+1&lt;'General Info and Liability'!$B$15+1,'General Info and Liability'!$D$18,""),"")</f>
        <v/>
      </c>
      <c r="U340" t="str">
        <f>IFERROR(IF($H339+1&lt;'General Info and Liability'!$B$15+1,'General Info and Liability'!$D$19,""),"")</f>
        <v/>
      </c>
      <c r="V340" t="str">
        <f>IFERROR(IF($H339+1&lt;'General Info and Liability'!$B$15+1,'General Info and Liability'!$B$14,""),"")</f>
        <v/>
      </c>
      <c r="W340" t="str">
        <f>IFERROR(IF($H339+1&lt;'General Info and Liability'!$B$15+1,'General Info and Liability'!$D$20,""),"")</f>
        <v/>
      </c>
    </row>
    <row r="341" spans="8:23" ht="16.5" customHeight="1">
      <c r="H341" t="str">
        <f>IFERROR(IF(H340+1&lt;'General Info and Liability'!$B$15+1,'Property Schedule'!H340+1,""),"")</f>
        <v/>
      </c>
      <c r="J341" s="8"/>
      <c r="K341" s="7" t="str">
        <f>IFERROR(IF($H340+1&lt;'General Info and Liability'!$B$15+1,'General Info and Liability'!$B$18/'General Info and Liability'!$B$10*$L341,""),"")</f>
        <v/>
      </c>
      <c r="L341" s="8"/>
      <c r="M341" s="31" t="str">
        <f>IFERROR(IF($H340+1&lt;'General Info and Liability'!$B$15+1,'General Info and Liability'!$D$14/'General Info and Liability'!$B$10*$L341,""),"")</f>
        <v/>
      </c>
      <c r="N341" s="32" t="str">
        <f>IFERROR(IF($H340+1&lt;'General Info and Liability'!$B$15+1,'General Info and Liability'!$D$15/'General Info and Liability'!$B$10*$L341,""),"")</f>
        <v/>
      </c>
      <c r="O341" s="8"/>
      <c r="P341" s="8"/>
      <c r="Q341" t="str">
        <f>IFERROR(IF($H341+1&gt;0,'General Info and Liability'!$D$16,""),"")</f>
        <v/>
      </c>
      <c r="R341" t="str">
        <f>IFERROR(IF($H341+1&gt;0,'General Info and Liability'!$B$16,""),"")</f>
        <v/>
      </c>
      <c r="S341" t="str">
        <f>IFERROR(IF($H340+1&lt;'General Info and Liability'!$B$15+1,'General Info and Liability'!$D$17,""),"")</f>
        <v/>
      </c>
      <c r="T341" t="str">
        <f>IFERROR(IF($H340+1&lt;'General Info and Liability'!$B$15+1,'General Info and Liability'!$D$18,""),"")</f>
        <v/>
      </c>
      <c r="U341" t="str">
        <f>IFERROR(IF($H340+1&lt;'General Info and Liability'!$B$15+1,'General Info and Liability'!$D$19,""),"")</f>
        <v/>
      </c>
      <c r="V341" t="str">
        <f>IFERROR(IF($H340+1&lt;'General Info and Liability'!$B$15+1,'General Info and Liability'!$B$14,""),"")</f>
        <v/>
      </c>
      <c r="W341" t="str">
        <f>IFERROR(IF($H340+1&lt;'General Info and Liability'!$B$15+1,'General Info and Liability'!$D$20,""),"")</f>
        <v/>
      </c>
    </row>
    <row r="342" spans="8:23" ht="16.5" customHeight="1">
      <c r="H342" t="str">
        <f>IFERROR(IF(H341+1&lt;'General Info and Liability'!$B$15+1,'Property Schedule'!H341+1,""),"")</f>
        <v/>
      </c>
      <c r="J342" s="8"/>
      <c r="K342" s="7" t="str">
        <f>IFERROR(IF($H341+1&lt;'General Info and Liability'!$B$15+1,'General Info and Liability'!$B$18/'General Info and Liability'!$B$10*$L342,""),"")</f>
        <v/>
      </c>
      <c r="L342" s="8"/>
      <c r="M342" s="31" t="str">
        <f>IFERROR(IF($H341+1&lt;'General Info and Liability'!$B$15+1,'General Info and Liability'!$D$14/'General Info and Liability'!$B$10*$L342,""),"")</f>
        <v/>
      </c>
      <c r="N342" s="32" t="str">
        <f>IFERROR(IF($H341+1&lt;'General Info and Liability'!$B$15+1,'General Info and Liability'!$D$15/'General Info and Liability'!$B$10*$L342,""),"")</f>
        <v/>
      </c>
      <c r="O342" s="8"/>
      <c r="P342" s="8"/>
      <c r="Q342" t="str">
        <f>IFERROR(IF($H342+1&gt;0,'General Info and Liability'!$D$16,""),"")</f>
        <v/>
      </c>
      <c r="R342" t="str">
        <f>IFERROR(IF($H342+1&gt;0,'General Info and Liability'!$B$16,""),"")</f>
        <v/>
      </c>
      <c r="S342" t="str">
        <f>IFERROR(IF($H341+1&lt;'General Info and Liability'!$B$15+1,'General Info and Liability'!$D$17,""),"")</f>
        <v/>
      </c>
      <c r="T342" t="str">
        <f>IFERROR(IF($H341+1&lt;'General Info and Liability'!$B$15+1,'General Info and Liability'!$D$18,""),"")</f>
        <v/>
      </c>
      <c r="U342" t="str">
        <f>IFERROR(IF($H341+1&lt;'General Info and Liability'!$B$15+1,'General Info and Liability'!$D$19,""),"")</f>
        <v/>
      </c>
      <c r="V342" t="str">
        <f>IFERROR(IF($H341+1&lt;'General Info and Liability'!$B$15+1,'General Info and Liability'!$B$14,""),"")</f>
        <v/>
      </c>
      <c r="W342" t="str">
        <f>IFERROR(IF($H341+1&lt;'General Info and Liability'!$B$15+1,'General Info and Liability'!$D$20,""),"")</f>
        <v/>
      </c>
    </row>
    <row r="343" spans="8:23" ht="16.5" customHeight="1">
      <c r="H343" t="str">
        <f>IFERROR(IF(H342+1&lt;'General Info and Liability'!$B$15+1,'Property Schedule'!H342+1,""),"")</f>
        <v/>
      </c>
      <c r="J343" s="8"/>
      <c r="K343" s="7" t="str">
        <f>IFERROR(IF($H342+1&lt;'General Info and Liability'!$B$15+1,'General Info and Liability'!$B$18/'General Info and Liability'!$B$10*$L343,""),"")</f>
        <v/>
      </c>
      <c r="L343" s="8"/>
      <c r="M343" s="31" t="str">
        <f>IFERROR(IF($H342+1&lt;'General Info and Liability'!$B$15+1,'General Info and Liability'!$D$14/'General Info and Liability'!$B$10*$L343,""),"")</f>
        <v/>
      </c>
      <c r="N343" s="32" t="str">
        <f>IFERROR(IF($H342+1&lt;'General Info and Liability'!$B$15+1,'General Info and Liability'!$D$15/'General Info and Liability'!$B$10*$L343,""),"")</f>
        <v/>
      </c>
      <c r="O343" s="8"/>
      <c r="P343" s="8"/>
      <c r="Q343" t="str">
        <f>IFERROR(IF($H343+1&gt;0,'General Info and Liability'!$D$16,""),"")</f>
        <v/>
      </c>
      <c r="R343" t="str">
        <f>IFERROR(IF($H343+1&gt;0,'General Info and Liability'!$B$16,""),"")</f>
        <v/>
      </c>
      <c r="S343" t="str">
        <f>IFERROR(IF($H342+1&lt;'General Info and Liability'!$B$15+1,'General Info and Liability'!$D$17,""),"")</f>
        <v/>
      </c>
      <c r="T343" t="str">
        <f>IFERROR(IF($H342+1&lt;'General Info and Liability'!$B$15+1,'General Info and Liability'!$D$18,""),"")</f>
        <v/>
      </c>
      <c r="U343" t="str">
        <f>IFERROR(IF($H342+1&lt;'General Info and Liability'!$B$15+1,'General Info and Liability'!$D$19,""),"")</f>
        <v/>
      </c>
      <c r="V343" t="str">
        <f>IFERROR(IF($H342+1&lt;'General Info and Liability'!$B$15+1,'General Info and Liability'!$B$14,""),"")</f>
        <v/>
      </c>
      <c r="W343" t="str">
        <f>IFERROR(IF($H342+1&lt;'General Info and Liability'!$B$15+1,'General Info and Liability'!$D$20,""),"")</f>
        <v/>
      </c>
    </row>
    <row r="344" spans="8:23" ht="16.5" customHeight="1">
      <c r="H344" t="str">
        <f>IFERROR(IF(H343+1&lt;'General Info and Liability'!$B$15+1,'Property Schedule'!H343+1,""),"")</f>
        <v/>
      </c>
      <c r="J344" s="8"/>
      <c r="K344" s="7" t="str">
        <f>IFERROR(IF($H343+1&lt;'General Info and Liability'!$B$15+1,'General Info and Liability'!$B$18/'General Info and Liability'!$B$10*$L344,""),"")</f>
        <v/>
      </c>
      <c r="L344" s="8"/>
      <c r="M344" s="31" t="str">
        <f>IFERROR(IF($H343+1&lt;'General Info and Liability'!$B$15+1,'General Info and Liability'!$D$14/'General Info and Liability'!$B$10*$L344,""),"")</f>
        <v/>
      </c>
      <c r="N344" s="32" t="str">
        <f>IFERROR(IF($H343+1&lt;'General Info and Liability'!$B$15+1,'General Info and Liability'!$D$15/'General Info and Liability'!$B$10*$L344,""),"")</f>
        <v/>
      </c>
      <c r="O344" s="8"/>
      <c r="P344" s="8"/>
      <c r="Q344" t="str">
        <f>IFERROR(IF($H344+1&gt;0,'General Info and Liability'!$D$16,""),"")</f>
        <v/>
      </c>
      <c r="R344" t="str">
        <f>IFERROR(IF($H344+1&gt;0,'General Info and Liability'!$B$16,""),"")</f>
        <v/>
      </c>
      <c r="S344" t="str">
        <f>IFERROR(IF($H343+1&lt;'General Info and Liability'!$B$15+1,'General Info and Liability'!$D$17,""),"")</f>
        <v/>
      </c>
      <c r="T344" t="str">
        <f>IFERROR(IF($H343+1&lt;'General Info and Liability'!$B$15+1,'General Info and Liability'!$D$18,""),"")</f>
        <v/>
      </c>
      <c r="U344" t="str">
        <f>IFERROR(IF($H343+1&lt;'General Info and Liability'!$B$15+1,'General Info and Liability'!$D$19,""),"")</f>
        <v/>
      </c>
      <c r="V344" t="str">
        <f>IFERROR(IF($H343+1&lt;'General Info and Liability'!$B$15+1,'General Info and Liability'!$B$14,""),"")</f>
        <v/>
      </c>
      <c r="W344" t="str">
        <f>IFERROR(IF($H343+1&lt;'General Info and Liability'!$B$15+1,'General Info and Liability'!$D$20,""),"")</f>
        <v/>
      </c>
    </row>
    <row r="345" spans="8:23" ht="16.5" customHeight="1">
      <c r="H345" t="str">
        <f>IFERROR(IF(H344+1&lt;'General Info and Liability'!$B$15+1,'Property Schedule'!H344+1,""),"")</f>
        <v/>
      </c>
      <c r="J345" s="8"/>
      <c r="K345" s="7" t="str">
        <f>IFERROR(IF($H344+1&lt;'General Info and Liability'!$B$15+1,'General Info and Liability'!$B$18/'General Info and Liability'!$B$10*$L345,""),"")</f>
        <v/>
      </c>
      <c r="L345" s="8"/>
      <c r="M345" s="31" t="str">
        <f>IFERROR(IF($H344+1&lt;'General Info and Liability'!$B$15+1,'General Info and Liability'!$D$14/'General Info and Liability'!$B$10*$L345,""),"")</f>
        <v/>
      </c>
      <c r="N345" s="32" t="str">
        <f>IFERROR(IF($H344+1&lt;'General Info and Liability'!$B$15+1,'General Info and Liability'!$D$15/'General Info and Liability'!$B$10*$L345,""),"")</f>
        <v/>
      </c>
      <c r="O345" s="8"/>
      <c r="P345" s="8"/>
      <c r="Q345" t="str">
        <f>IFERROR(IF($H345+1&gt;0,'General Info and Liability'!$D$16,""),"")</f>
        <v/>
      </c>
      <c r="R345" t="str">
        <f>IFERROR(IF($H345+1&gt;0,'General Info and Liability'!$B$16,""),"")</f>
        <v/>
      </c>
      <c r="S345" t="str">
        <f>IFERROR(IF($H344+1&lt;'General Info and Liability'!$B$15+1,'General Info and Liability'!$D$17,""),"")</f>
        <v/>
      </c>
      <c r="T345" t="str">
        <f>IFERROR(IF($H344+1&lt;'General Info and Liability'!$B$15+1,'General Info and Liability'!$D$18,""),"")</f>
        <v/>
      </c>
      <c r="U345" t="str">
        <f>IFERROR(IF($H344+1&lt;'General Info and Liability'!$B$15+1,'General Info and Liability'!$D$19,""),"")</f>
        <v/>
      </c>
      <c r="V345" t="str">
        <f>IFERROR(IF($H344+1&lt;'General Info and Liability'!$B$15+1,'General Info and Liability'!$B$14,""),"")</f>
        <v/>
      </c>
      <c r="W345" t="str">
        <f>IFERROR(IF($H344+1&lt;'General Info and Liability'!$B$15+1,'General Info and Liability'!$D$20,""),"")</f>
        <v/>
      </c>
    </row>
    <row r="346" spans="8:23" ht="16.5" customHeight="1">
      <c r="H346" t="str">
        <f>IFERROR(IF(H345+1&lt;'General Info and Liability'!$B$15+1,'Property Schedule'!H345+1,""),"")</f>
        <v/>
      </c>
      <c r="J346" s="8"/>
      <c r="K346" s="7" t="str">
        <f>IFERROR(IF($H345+1&lt;'General Info and Liability'!$B$15+1,'General Info and Liability'!$B$18/'General Info and Liability'!$B$10*$L346,""),"")</f>
        <v/>
      </c>
      <c r="L346" s="8"/>
      <c r="M346" s="31" t="str">
        <f>IFERROR(IF($H345+1&lt;'General Info and Liability'!$B$15+1,'General Info and Liability'!$D$14/'General Info and Liability'!$B$10*$L346,""),"")</f>
        <v/>
      </c>
      <c r="N346" s="32" t="str">
        <f>IFERROR(IF($H345+1&lt;'General Info and Liability'!$B$15+1,'General Info and Liability'!$D$15/'General Info and Liability'!$B$10*$L346,""),"")</f>
        <v/>
      </c>
      <c r="O346" s="8"/>
      <c r="P346" s="8"/>
      <c r="Q346" t="str">
        <f>IFERROR(IF($H346+1&gt;0,'General Info and Liability'!$D$16,""),"")</f>
        <v/>
      </c>
      <c r="R346" t="str">
        <f>IFERROR(IF($H346+1&gt;0,'General Info and Liability'!$B$16,""),"")</f>
        <v/>
      </c>
      <c r="S346" t="str">
        <f>IFERROR(IF($H345+1&lt;'General Info and Liability'!$B$15+1,'General Info and Liability'!$D$17,""),"")</f>
        <v/>
      </c>
      <c r="T346" t="str">
        <f>IFERROR(IF($H345+1&lt;'General Info and Liability'!$B$15+1,'General Info and Liability'!$D$18,""),"")</f>
        <v/>
      </c>
      <c r="U346" t="str">
        <f>IFERROR(IF($H345+1&lt;'General Info and Liability'!$B$15+1,'General Info and Liability'!$D$19,""),"")</f>
        <v/>
      </c>
      <c r="V346" t="str">
        <f>IFERROR(IF($H345+1&lt;'General Info and Liability'!$B$15+1,'General Info and Liability'!$B$14,""),"")</f>
        <v/>
      </c>
      <c r="W346" t="str">
        <f>IFERROR(IF($H345+1&lt;'General Info and Liability'!$B$15+1,'General Info and Liability'!$D$20,""),"")</f>
        <v/>
      </c>
    </row>
    <row r="347" spans="8:23" ht="16.5" customHeight="1">
      <c r="H347" t="str">
        <f>IFERROR(IF(H346+1&lt;'General Info and Liability'!$B$15+1,'Property Schedule'!H346+1,""),"")</f>
        <v/>
      </c>
      <c r="J347" s="8"/>
      <c r="K347" s="7" t="str">
        <f>IFERROR(IF($H346+1&lt;'General Info and Liability'!$B$15+1,'General Info and Liability'!$B$18/'General Info and Liability'!$B$10*$L347,""),"")</f>
        <v/>
      </c>
      <c r="L347" s="8"/>
      <c r="M347" s="31" t="str">
        <f>IFERROR(IF($H346+1&lt;'General Info and Liability'!$B$15+1,'General Info and Liability'!$D$14/'General Info and Liability'!$B$10*$L347,""),"")</f>
        <v/>
      </c>
      <c r="N347" s="32" t="str">
        <f>IFERROR(IF($H346+1&lt;'General Info and Liability'!$B$15+1,'General Info and Liability'!$D$15/'General Info and Liability'!$B$10*$L347,""),"")</f>
        <v/>
      </c>
      <c r="O347" s="8"/>
      <c r="P347" s="8"/>
      <c r="Q347" t="str">
        <f>IFERROR(IF($H347+1&gt;0,'General Info and Liability'!$D$16,""),"")</f>
        <v/>
      </c>
      <c r="R347" t="str">
        <f>IFERROR(IF($H347+1&gt;0,'General Info and Liability'!$B$16,""),"")</f>
        <v/>
      </c>
      <c r="S347" t="str">
        <f>IFERROR(IF($H346+1&lt;'General Info and Liability'!$B$15+1,'General Info and Liability'!$D$17,""),"")</f>
        <v/>
      </c>
      <c r="T347" t="str">
        <f>IFERROR(IF($H346+1&lt;'General Info and Liability'!$B$15+1,'General Info and Liability'!$D$18,""),"")</f>
        <v/>
      </c>
      <c r="U347" t="str">
        <f>IFERROR(IF($H346+1&lt;'General Info and Liability'!$B$15+1,'General Info and Liability'!$D$19,""),"")</f>
        <v/>
      </c>
      <c r="V347" t="str">
        <f>IFERROR(IF($H346+1&lt;'General Info and Liability'!$B$15+1,'General Info and Liability'!$B$14,""),"")</f>
        <v/>
      </c>
      <c r="W347" t="str">
        <f>IFERROR(IF($H346+1&lt;'General Info and Liability'!$B$15+1,'General Info and Liability'!$D$20,""),"")</f>
        <v/>
      </c>
    </row>
    <row r="348" spans="8:23" ht="16.5" customHeight="1">
      <c r="H348" t="str">
        <f>IFERROR(IF(H347+1&lt;'General Info and Liability'!$B$15+1,'Property Schedule'!H347+1,""),"")</f>
        <v/>
      </c>
      <c r="J348" s="8"/>
      <c r="K348" s="7" t="str">
        <f>IFERROR(IF($H347+1&lt;'General Info and Liability'!$B$15+1,'General Info and Liability'!$B$18/'General Info and Liability'!$B$10*$L348,""),"")</f>
        <v/>
      </c>
      <c r="L348" s="8"/>
      <c r="M348" s="31" t="str">
        <f>IFERROR(IF($H347+1&lt;'General Info and Liability'!$B$15+1,'General Info and Liability'!$D$14/'General Info and Liability'!$B$10*$L348,""),"")</f>
        <v/>
      </c>
      <c r="N348" s="32" t="str">
        <f>IFERROR(IF($H347+1&lt;'General Info and Liability'!$B$15+1,'General Info and Liability'!$D$15/'General Info and Liability'!$B$10*$L348,""),"")</f>
        <v/>
      </c>
      <c r="O348" s="8"/>
      <c r="P348" s="8"/>
      <c r="Q348" t="str">
        <f>IFERROR(IF($H348+1&gt;0,'General Info and Liability'!$D$16,""),"")</f>
        <v/>
      </c>
      <c r="R348" t="str">
        <f>IFERROR(IF($H348+1&gt;0,'General Info and Liability'!$B$16,""),"")</f>
        <v/>
      </c>
      <c r="S348" t="str">
        <f>IFERROR(IF($H347+1&lt;'General Info and Liability'!$B$15+1,'General Info and Liability'!$D$17,""),"")</f>
        <v/>
      </c>
      <c r="T348" t="str">
        <f>IFERROR(IF($H347+1&lt;'General Info and Liability'!$B$15+1,'General Info and Liability'!$D$18,""),"")</f>
        <v/>
      </c>
      <c r="U348" t="str">
        <f>IFERROR(IF($H347+1&lt;'General Info and Liability'!$B$15+1,'General Info and Liability'!$D$19,""),"")</f>
        <v/>
      </c>
      <c r="V348" t="str">
        <f>IFERROR(IF($H347+1&lt;'General Info and Liability'!$B$15+1,'General Info and Liability'!$B$14,""),"")</f>
        <v/>
      </c>
      <c r="W348" t="str">
        <f>IFERROR(IF($H347+1&lt;'General Info and Liability'!$B$15+1,'General Info and Liability'!$D$20,""),"")</f>
        <v/>
      </c>
    </row>
    <row r="349" spans="8:23" ht="16.5" customHeight="1">
      <c r="H349" t="str">
        <f>IFERROR(IF(H348+1&lt;'General Info and Liability'!$B$15+1,'Property Schedule'!H348+1,""),"")</f>
        <v/>
      </c>
      <c r="J349" s="8"/>
      <c r="K349" s="7" t="str">
        <f>IFERROR(IF($H348+1&lt;'General Info and Liability'!$B$15+1,'General Info and Liability'!$B$18/'General Info and Liability'!$B$10*$L349,""),"")</f>
        <v/>
      </c>
      <c r="L349" s="8"/>
      <c r="M349" s="31" t="str">
        <f>IFERROR(IF($H348+1&lt;'General Info and Liability'!$B$15+1,'General Info and Liability'!$D$14/'General Info and Liability'!$B$10*$L349,""),"")</f>
        <v/>
      </c>
      <c r="N349" s="32" t="str">
        <f>IFERROR(IF($H348+1&lt;'General Info and Liability'!$B$15+1,'General Info and Liability'!$D$15/'General Info and Liability'!$B$10*$L349,""),"")</f>
        <v/>
      </c>
      <c r="O349" s="8"/>
      <c r="P349" s="8"/>
      <c r="Q349" t="str">
        <f>IFERROR(IF($H349+1&gt;0,'General Info and Liability'!$D$16,""),"")</f>
        <v/>
      </c>
      <c r="R349" t="str">
        <f>IFERROR(IF($H349+1&gt;0,'General Info and Liability'!$B$16,""),"")</f>
        <v/>
      </c>
      <c r="S349" t="str">
        <f>IFERROR(IF($H348+1&lt;'General Info and Liability'!$B$15+1,'General Info and Liability'!$D$17,""),"")</f>
        <v/>
      </c>
      <c r="T349" t="str">
        <f>IFERROR(IF($H348+1&lt;'General Info and Liability'!$B$15+1,'General Info and Liability'!$D$18,""),"")</f>
        <v/>
      </c>
      <c r="U349" t="str">
        <f>IFERROR(IF($H348+1&lt;'General Info and Liability'!$B$15+1,'General Info and Liability'!$D$19,""),"")</f>
        <v/>
      </c>
      <c r="V349" t="str">
        <f>IFERROR(IF($H348+1&lt;'General Info and Liability'!$B$15+1,'General Info and Liability'!$B$14,""),"")</f>
        <v/>
      </c>
      <c r="W349" t="str">
        <f>IFERROR(IF($H348+1&lt;'General Info and Liability'!$B$15+1,'General Info and Liability'!$D$20,""),"")</f>
        <v/>
      </c>
    </row>
    <row r="350" spans="8:23" ht="16.5" customHeight="1">
      <c r="H350" t="str">
        <f>IFERROR(IF(H349+1&lt;'General Info and Liability'!$B$15+1,'Property Schedule'!H349+1,""),"")</f>
        <v/>
      </c>
      <c r="J350" s="8"/>
      <c r="K350" s="7" t="str">
        <f>IFERROR(IF($H349+1&lt;'General Info and Liability'!$B$15+1,'General Info and Liability'!$B$18/'General Info and Liability'!$B$10*$L350,""),"")</f>
        <v/>
      </c>
      <c r="L350" s="8"/>
      <c r="M350" s="31" t="str">
        <f>IFERROR(IF($H349+1&lt;'General Info and Liability'!$B$15+1,'General Info and Liability'!$D$14/'General Info and Liability'!$B$10*$L350,""),"")</f>
        <v/>
      </c>
      <c r="N350" s="32" t="str">
        <f>IFERROR(IF($H349+1&lt;'General Info and Liability'!$B$15+1,'General Info and Liability'!$D$15/'General Info and Liability'!$B$10*$L350,""),"")</f>
        <v/>
      </c>
      <c r="O350" s="8"/>
      <c r="P350" s="8"/>
      <c r="Q350" t="str">
        <f>IFERROR(IF($H350+1&gt;0,'General Info and Liability'!$D$16,""),"")</f>
        <v/>
      </c>
      <c r="R350" t="str">
        <f>IFERROR(IF($H350+1&gt;0,'General Info and Liability'!$B$16,""),"")</f>
        <v/>
      </c>
      <c r="S350" t="str">
        <f>IFERROR(IF($H349+1&lt;'General Info and Liability'!$B$15+1,'General Info and Liability'!$D$17,""),"")</f>
        <v/>
      </c>
      <c r="T350" t="str">
        <f>IFERROR(IF($H349+1&lt;'General Info and Liability'!$B$15+1,'General Info and Liability'!$D$18,""),"")</f>
        <v/>
      </c>
      <c r="U350" t="str">
        <f>IFERROR(IF($H349+1&lt;'General Info and Liability'!$B$15+1,'General Info and Liability'!$D$19,""),"")</f>
        <v/>
      </c>
      <c r="V350" t="str">
        <f>IFERROR(IF($H349+1&lt;'General Info and Liability'!$B$15+1,'General Info and Liability'!$B$14,""),"")</f>
        <v/>
      </c>
      <c r="W350" t="str">
        <f>IFERROR(IF($H349+1&lt;'General Info and Liability'!$B$15+1,'General Info and Liability'!$D$20,""),"")</f>
        <v/>
      </c>
    </row>
    <row r="351" spans="8:23" ht="16.5" customHeight="1">
      <c r="H351" t="str">
        <f>IFERROR(IF(H350+1&lt;'General Info and Liability'!$B$15+1,'Property Schedule'!H350+1,""),"")</f>
        <v/>
      </c>
      <c r="J351" s="8"/>
      <c r="K351" s="7" t="str">
        <f>IFERROR(IF($H350+1&lt;'General Info and Liability'!$B$15+1,'General Info and Liability'!$B$18/'General Info and Liability'!$B$10*$L351,""),"")</f>
        <v/>
      </c>
      <c r="L351" s="8"/>
      <c r="M351" s="31" t="str">
        <f>IFERROR(IF($H350+1&lt;'General Info and Liability'!$B$15+1,'General Info and Liability'!$D$14/'General Info and Liability'!$B$10*$L351,""),"")</f>
        <v/>
      </c>
      <c r="N351" s="32" t="str">
        <f>IFERROR(IF($H350+1&lt;'General Info and Liability'!$B$15+1,'General Info and Liability'!$D$15/'General Info and Liability'!$B$10*$L351,""),"")</f>
        <v/>
      </c>
      <c r="O351" s="8"/>
      <c r="P351" s="8"/>
      <c r="Q351" t="str">
        <f>IFERROR(IF($H351+1&gt;0,'General Info and Liability'!$D$16,""),"")</f>
        <v/>
      </c>
      <c r="R351" t="str">
        <f>IFERROR(IF($H351+1&gt;0,'General Info and Liability'!$B$16,""),"")</f>
        <v/>
      </c>
      <c r="S351" t="str">
        <f>IFERROR(IF($H350+1&lt;'General Info and Liability'!$B$15+1,'General Info and Liability'!$D$17,""),"")</f>
        <v/>
      </c>
      <c r="T351" t="str">
        <f>IFERROR(IF($H350+1&lt;'General Info and Liability'!$B$15+1,'General Info and Liability'!$D$18,""),"")</f>
        <v/>
      </c>
      <c r="U351" t="str">
        <f>IFERROR(IF($H350+1&lt;'General Info and Liability'!$B$15+1,'General Info and Liability'!$D$19,""),"")</f>
        <v/>
      </c>
      <c r="V351" t="str">
        <f>IFERROR(IF($H350+1&lt;'General Info and Liability'!$B$15+1,'General Info and Liability'!$B$14,""),"")</f>
        <v/>
      </c>
      <c r="W351" t="str">
        <f>IFERROR(IF($H350+1&lt;'General Info and Liability'!$B$15+1,'General Info and Liability'!$D$20,""),"")</f>
        <v/>
      </c>
    </row>
    <row r="352" spans="8:23" ht="16.5" customHeight="1">
      <c r="H352" t="str">
        <f>IFERROR(IF(H351+1&lt;'General Info and Liability'!$B$15+1,'Property Schedule'!H351+1,""),"")</f>
        <v/>
      </c>
      <c r="J352" s="8"/>
      <c r="K352" s="7" t="str">
        <f>IFERROR(IF($H351+1&lt;'General Info and Liability'!$B$15+1,'General Info and Liability'!$B$18/'General Info and Liability'!$B$10*$L352,""),"")</f>
        <v/>
      </c>
      <c r="L352" s="8"/>
      <c r="M352" s="31" t="str">
        <f>IFERROR(IF($H351+1&lt;'General Info and Liability'!$B$15+1,'General Info and Liability'!$D$14/'General Info and Liability'!$B$10*$L352,""),"")</f>
        <v/>
      </c>
      <c r="N352" s="32" t="str">
        <f>IFERROR(IF($H351+1&lt;'General Info and Liability'!$B$15+1,'General Info and Liability'!$D$15/'General Info and Liability'!$B$10*$L352,""),"")</f>
        <v/>
      </c>
      <c r="O352" s="8"/>
      <c r="P352" s="8"/>
      <c r="Q352" t="str">
        <f>IFERROR(IF($H352+1&gt;0,'General Info and Liability'!$D$16,""),"")</f>
        <v/>
      </c>
      <c r="R352" t="str">
        <f>IFERROR(IF($H352+1&gt;0,'General Info and Liability'!$B$16,""),"")</f>
        <v/>
      </c>
      <c r="S352" t="str">
        <f>IFERROR(IF($H351+1&lt;'General Info and Liability'!$B$15+1,'General Info and Liability'!$D$17,""),"")</f>
        <v/>
      </c>
      <c r="T352" t="str">
        <f>IFERROR(IF($H351+1&lt;'General Info and Liability'!$B$15+1,'General Info and Liability'!$D$18,""),"")</f>
        <v/>
      </c>
      <c r="U352" t="str">
        <f>IFERROR(IF($H351+1&lt;'General Info and Liability'!$B$15+1,'General Info and Liability'!$D$19,""),"")</f>
        <v/>
      </c>
      <c r="V352" t="str">
        <f>IFERROR(IF($H351+1&lt;'General Info and Liability'!$B$15+1,'General Info and Liability'!$B$14,""),"")</f>
        <v/>
      </c>
      <c r="W352" t="str">
        <f>IFERROR(IF($H351+1&lt;'General Info and Liability'!$B$15+1,'General Info and Liability'!$D$20,""),"")</f>
        <v/>
      </c>
    </row>
    <row r="353" spans="8:23" ht="16.5" customHeight="1">
      <c r="H353" t="str">
        <f>IFERROR(IF(H352+1&lt;'General Info and Liability'!$B$15+1,'Property Schedule'!H352+1,""),"")</f>
        <v/>
      </c>
      <c r="J353" s="8"/>
      <c r="K353" s="7" t="str">
        <f>IFERROR(IF($H352+1&lt;'General Info and Liability'!$B$15+1,'General Info and Liability'!$B$18/'General Info and Liability'!$B$10*$L353,""),"")</f>
        <v/>
      </c>
      <c r="L353" s="8"/>
      <c r="M353" s="31" t="str">
        <f>IFERROR(IF($H352+1&lt;'General Info and Liability'!$B$15+1,'General Info and Liability'!$D$14/'General Info and Liability'!$B$10*$L353,""),"")</f>
        <v/>
      </c>
      <c r="N353" s="32" t="str">
        <f>IFERROR(IF($H352+1&lt;'General Info and Liability'!$B$15+1,'General Info and Liability'!$D$15/'General Info and Liability'!$B$10*$L353,""),"")</f>
        <v/>
      </c>
      <c r="O353" s="8"/>
      <c r="P353" s="8"/>
      <c r="Q353" t="str">
        <f>IFERROR(IF($H353+1&gt;0,'General Info and Liability'!$D$16,""),"")</f>
        <v/>
      </c>
      <c r="R353" t="str">
        <f>IFERROR(IF($H353+1&gt;0,'General Info and Liability'!$B$16,""),"")</f>
        <v/>
      </c>
      <c r="S353" t="str">
        <f>IFERROR(IF($H352+1&lt;'General Info and Liability'!$B$15+1,'General Info and Liability'!$D$17,""),"")</f>
        <v/>
      </c>
      <c r="T353" t="str">
        <f>IFERROR(IF($H352+1&lt;'General Info and Liability'!$B$15+1,'General Info and Liability'!$D$18,""),"")</f>
        <v/>
      </c>
      <c r="U353" t="str">
        <f>IFERROR(IF($H352+1&lt;'General Info and Liability'!$B$15+1,'General Info and Liability'!$D$19,""),"")</f>
        <v/>
      </c>
      <c r="V353" t="str">
        <f>IFERROR(IF($H352+1&lt;'General Info and Liability'!$B$15+1,'General Info and Liability'!$B$14,""),"")</f>
        <v/>
      </c>
      <c r="W353" t="str">
        <f>IFERROR(IF($H352+1&lt;'General Info and Liability'!$B$15+1,'General Info and Liability'!$D$20,""),"")</f>
        <v/>
      </c>
    </row>
    <row r="354" spans="8:23" ht="16.5" customHeight="1">
      <c r="H354" t="str">
        <f>IFERROR(IF(H353+1&lt;'General Info and Liability'!$B$15+1,'Property Schedule'!H353+1,""),"")</f>
        <v/>
      </c>
      <c r="J354" s="8"/>
      <c r="K354" s="7" t="str">
        <f>IFERROR(IF($H353+1&lt;'General Info and Liability'!$B$15+1,'General Info and Liability'!$B$18/'General Info and Liability'!$B$10*$L354,""),"")</f>
        <v/>
      </c>
      <c r="L354" s="8"/>
      <c r="M354" s="31" t="str">
        <f>IFERROR(IF($H353+1&lt;'General Info and Liability'!$B$15+1,'General Info and Liability'!$D$14/'General Info and Liability'!$B$10*$L354,""),"")</f>
        <v/>
      </c>
      <c r="N354" s="32" t="str">
        <f>IFERROR(IF($H353+1&lt;'General Info and Liability'!$B$15+1,'General Info and Liability'!$D$15/'General Info and Liability'!$B$10*$L354,""),"")</f>
        <v/>
      </c>
      <c r="O354" s="8"/>
      <c r="P354" s="8"/>
      <c r="Q354" t="str">
        <f>IFERROR(IF($H354+1&gt;0,'General Info and Liability'!$D$16,""),"")</f>
        <v/>
      </c>
      <c r="R354" t="str">
        <f>IFERROR(IF($H354+1&gt;0,'General Info and Liability'!$B$16,""),"")</f>
        <v/>
      </c>
      <c r="S354" t="str">
        <f>IFERROR(IF($H353+1&lt;'General Info and Liability'!$B$15+1,'General Info and Liability'!$D$17,""),"")</f>
        <v/>
      </c>
      <c r="T354" t="str">
        <f>IFERROR(IF($H353+1&lt;'General Info and Liability'!$B$15+1,'General Info and Liability'!$D$18,""),"")</f>
        <v/>
      </c>
      <c r="U354" t="str">
        <f>IFERROR(IF($H353+1&lt;'General Info and Liability'!$B$15+1,'General Info and Liability'!$D$19,""),"")</f>
        <v/>
      </c>
      <c r="V354" t="str">
        <f>IFERROR(IF($H353+1&lt;'General Info and Liability'!$B$15+1,'General Info and Liability'!$B$14,""),"")</f>
        <v/>
      </c>
      <c r="W354" t="str">
        <f>IFERROR(IF($H353+1&lt;'General Info and Liability'!$B$15+1,'General Info and Liability'!$D$20,""),"")</f>
        <v/>
      </c>
    </row>
    <row r="355" spans="8:23" ht="16.5" customHeight="1">
      <c r="H355" t="str">
        <f>IFERROR(IF(H354+1&lt;'General Info and Liability'!$B$15+1,'Property Schedule'!H354+1,""),"")</f>
        <v/>
      </c>
      <c r="J355" s="8"/>
      <c r="K355" s="7" t="str">
        <f>IFERROR(IF($H354+1&lt;'General Info and Liability'!$B$15+1,'General Info and Liability'!$B$18/'General Info and Liability'!$B$10*$L355,""),"")</f>
        <v/>
      </c>
      <c r="L355" s="8"/>
      <c r="M355" s="31" t="str">
        <f>IFERROR(IF($H354+1&lt;'General Info and Liability'!$B$15+1,'General Info and Liability'!$D$14/'General Info and Liability'!$B$10*$L355,""),"")</f>
        <v/>
      </c>
      <c r="N355" s="32" t="str">
        <f>IFERROR(IF($H354+1&lt;'General Info and Liability'!$B$15+1,'General Info and Liability'!$D$15/'General Info and Liability'!$B$10*$L355,""),"")</f>
        <v/>
      </c>
      <c r="O355" s="8"/>
      <c r="P355" s="8"/>
      <c r="Q355" t="str">
        <f>IFERROR(IF($H355+1&gt;0,'General Info and Liability'!$D$16,""),"")</f>
        <v/>
      </c>
      <c r="R355" t="str">
        <f>IFERROR(IF($H355+1&gt;0,'General Info and Liability'!$B$16,""),"")</f>
        <v/>
      </c>
      <c r="S355" t="str">
        <f>IFERROR(IF($H354+1&lt;'General Info and Liability'!$B$15+1,'General Info and Liability'!$D$17,""),"")</f>
        <v/>
      </c>
      <c r="T355" t="str">
        <f>IFERROR(IF($H354+1&lt;'General Info and Liability'!$B$15+1,'General Info and Liability'!$D$18,""),"")</f>
        <v/>
      </c>
      <c r="U355" t="str">
        <f>IFERROR(IF($H354+1&lt;'General Info and Liability'!$B$15+1,'General Info and Liability'!$D$19,""),"")</f>
        <v/>
      </c>
      <c r="V355" t="str">
        <f>IFERROR(IF($H354+1&lt;'General Info and Liability'!$B$15+1,'General Info and Liability'!$B$14,""),"")</f>
        <v/>
      </c>
      <c r="W355" t="str">
        <f>IFERROR(IF($H354+1&lt;'General Info and Liability'!$B$15+1,'General Info and Liability'!$D$20,""),"")</f>
        <v/>
      </c>
    </row>
    <row r="356" spans="8:23" ht="16.5" customHeight="1">
      <c r="H356" t="str">
        <f>IFERROR(IF(H355+1&lt;'General Info and Liability'!$B$15+1,'Property Schedule'!H355+1,""),"")</f>
        <v/>
      </c>
      <c r="J356" s="8"/>
      <c r="K356" s="7" t="str">
        <f>IFERROR(IF($H355+1&lt;'General Info and Liability'!$B$15+1,'General Info and Liability'!$B$18/'General Info and Liability'!$B$10*$L356,""),"")</f>
        <v/>
      </c>
      <c r="L356" s="8"/>
      <c r="M356" s="31" t="str">
        <f>IFERROR(IF($H355+1&lt;'General Info and Liability'!$B$15+1,'General Info and Liability'!$D$14/'General Info and Liability'!$B$10*$L356,""),"")</f>
        <v/>
      </c>
      <c r="N356" s="32" t="str">
        <f>IFERROR(IF($H355+1&lt;'General Info and Liability'!$B$15+1,'General Info and Liability'!$D$15/'General Info and Liability'!$B$10*$L356,""),"")</f>
        <v/>
      </c>
      <c r="O356" s="8"/>
      <c r="P356" s="8"/>
      <c r="Q356" t="str">
        <f>IFERROR(IF($H356+1&gt;0,'General Info and Liability'!$D$16,""),"")</f>
        <v/>
      </c>
      <c r="R356" t="str">
        <f>IFERROR(IF($H356+1&gt;0,'General Info and Liability'!$B$16,""),"")</f>
        <v/>
      </c>
      <c r="S356" t="str">
        <f>IFERROR(IF($H355+1&lt;'General Info and Liability'!$B$15+1,'General Info and Liability'!$D$17,""),"")</f>
        <v/>
      </c>
      <c r="T356" t="str">
        <f>IFERROR(IF($H355+1&lt;'General Info and Liability'!$B$15+1,'General Info and Liability'!$D$18,""),"")</f>
        <v/>
      </c>
      <c r="U356" t="str">
        <f>IFERROR(IF($H355+1&lt;'General Info and Liability'!$B$15+1,'General Info and Liability'!$D$19,""),"")</f>
        <v/>
      </c>
      <c r="V356" t="str">
        <f>IFERROR(IF($H355+1&lt;'General Info and Liability'!$B$15+1,'General Info and Liability'!$B$14,""),"")</f>
        <v/>
      </c>
      <c r="W356" t="str">
        <f>IFERROR(IF($H355+1&lt;'General Info and Liability'!$B$15+1,'General Info and Liability'!$D$20,""),"")</f>
        <v/>
      </c>
    </row>
    <row r="357" spans="8:23" ht="16.5" customHeight="1">
      <c r="H357" t="str">
        <f>IFERROR(IF(H356+1&lt;'General Info and Liability'!$B$15+1,'Property Schedule'!H356+1,""),"")</f>
        <v/>
      </c>
      <c r="J357" s="8"/>
      <c r="K357" s="7" t="str">
        <f>IFERROR(IF($H356+1&lt;'General Info and Liability'!$B$15+1,'General Info and Liability'!$B$18/'General Info and Liability'!$B$10*$L357,""),"")</f>
        <v/>
      </c>
      <c r="L357" s="8"/>
      <c r="M357" s="31" t="str">
        <f>IFERROR(IF($H356+1&lt;'General Info and Liability'!$B$15+1,'General Info and Liability'!$D$14/'General Info and Liability'!$B$10*$L357,""),"")</f>
        <v/>
      </c>
      <c r="N357" s="32" t="str">
        <f>IFERROR(IF($H356+1&lt;'General Info and Liability'!$B$15+1,'General Info and Liability'!$D$15/'General Info and Liability'!$B$10*$L357,""),"")</f>
        <v/>
      </c>
      <c r="O357" s="8"/>
      <c r="P357" s="8"/>
      <c r="Q357" t="str">
        <f>IFERROR(IF($H357+1&gt;0,'General Info and Liability'!$D$16,""),"")</f>
        <v/>
      </c>
      <c r="R357" t="str">
        <f>IFERROR(IF($H357+1&gt;0,'General Info and Liability'!$B$16,""),"")</f>
        <v/>
      </c>
      <c r="S357" t="str">
        <f>IFERROR(IF($H356+1&lt;'General Info and Liability'!$B$15+1,'General Info and Liability'!$D$17,""),"")</f>
        <v/>
      </c>
      <c r="T357" t="str">
        <f>IFERROR(IF($H356+1&lt;'General Info and Liability'!$B$15+1,'General Info and Liability'!$D$18,""),"")</f>
        <v/>
      </c>
      <c r="U357" t="str">
        <f>IFERROR(IF($H356+1&lt;'General Info and Liability'!$B$15+1,'General Info and Liability'!$D$19,""),"")</f>
        <v/>
      </c>
      <c r="V357" t="str">
        <f>IFERROR(IF($H356+1&lt;'General Info and Liability'!$B$15+1,'General Info and Liability'!$B$14,""),"")</f>
        <v/>
      </c>
      <c r="W357" t="str">
        <f>IFERROR(IF($H356+1&lt;'General Info and Liability'!$B$15+1,'General Info and Liability'!$D$20,""),"")</f>
        <v/>
      </c>
    </row>
    <row r="358" spans="8:23" ht="16.5" customHeight="1">
      <c r="H358" t="str">
        <f>IFERROR(IF(H357+1&lt;'General Info and Liability'!$B$15+1,'Property Schedule'!H357+1,""),"")</f>
        <v/>
      </c>
      <c r="J358" s="8"/>
      <c r="K358" s="7" t="str">
        <f>IFERROR(IF($H357+1&lt;'General Info and Liability'!$B$15+1,'General Info and Liability'!$B$18/'General Info and Liability'!$B$10*$L358,""),"")</f>
        <v/>
      </c>
      <c r="L358" s="8"/>
      <c r="M358" s="31" t="str">
        <f>IFERROR(IF($H357+1&lt;'General Info and Liability'!$B$15+1,'General Info and Liability'!$D$14/'General Info and Liability'!$B$10*$L358,""),"")</f>
        <v/>
      </c>
      <c r="N358" s="32" t="str">
        <f>IFERROR(IF($H357+1&lt;'General Info and Liability'!$B$15+1,'General Info and Liability'!$D$15/'General Info and Liability'!$B$10*$L358,""),"")</f>
        <v/>
      </c>
      <c r="O358" s="8"/>
      <c r="P358" s="8"/>
      <c r="Q358" t="str">
        <f>IFERROR(IF($H358+1&gt;0,'General Info and Liability'!$D$16,""),"")</f>
        <v/>
      </c>
      <c r="R358" t="str">
        <f>IFERROR(IF($H358+1&gt;0,'General Info and Liability'!$B$16,""),"")</f>
        <v/>
      </c>
      <c r="S358" t="str">
        <f>IFERROR(IF($H357+1&lt;'General Info and Liability'!$B$15+1,'General Info and Liability'!$D$17,""),"")</f>
        <v/>
      </c>
      <c r="T358" t="str">
        <f>IFERROR(IF($H357+1&lt;'General Info and Liability'!$B$15+1,'General Info and Liability'!$D$18,""),"")</f>
        <v/>
      </c>
      <c r="U358" t="str">
        <f>IFERROR(IF($H357+1&lt;'General Info and Liability'!$B$15+1,'General Info and Liability'!$D$19,""),"")</f>
        <v/>
      </c>
      <c r="V358" t="str">
        <f>IFERROR(IF($H357+1&lt;'General Info and Liability'!$B$15+1,'General Info and Liability'!$B$14,""),"")</f>
        <v/>
      </c>
      <c r="W358" t="str">
        <f>IFERROR(IF($H357+1&lt;'General Info and Liability'!$B$15+1,'General Info and Liability'!$D$20,""),"")</f>
        <v/>
      </c>
    </row>
    <row r="359" spans="8:23" ht="16.5" customHeight="1">
      <c r="H359" t="str">
        <f>IFERROR(IF(H358+1&lt;'General Info and Liability'!$B$15+1,'Property Schedule'!H358+1,""),"")</f>
        <v/>
      </c>
      <c r="J359" s="8"/>
      <c r="K359" s="7" t="str">
        <f>IFERROR(IF($H358+1&lt;'General Info and Liability'!$B$15+1,'General Info and Liability'!$B$18/'General Info and Liability'!$B$10*$L359,""),"")</f>
        <v/>
      </c>
      <c r="L359" s="8"/>
      <c r="M359" s="31" t="str">
        <f>IFERROR(IF($H358+1&lt;'General Info and Liability'!$B$15+1,'General Info and Liability'!$D$14/'General Info and Liability'!$B$10*$L359,""),"")</f>
        <v/>
      </c>
      <c r="N359" s="32" t="str">
        <f>IFERROR(IF($H358+1&lt;'General Info and Liability'!$B$15+1,'General Info and Liability'!$D$15/'General Info and Liability'!$B$10*$L359,""),"")</f>
        <v/>
      </c>
      <c r="O359" s="8"/>
      <c r="P359" s="8"/>
      <c r="Q359" t="str">
        <f>IFERROR(IF($H359+1&gt;0,'General Info and Liability'!$D$16,""),"")</f>
        <v/>
      </c>
      <c r="R359" t="str">
        <f>IFERROR(IF($H359+1&gt;0,'General Info and Liability'!$B$16,""),"")</f>
        <v/>
      </c>
      <c r="S359" t="str">
        <f>IFERROR(IF($H358+1&lt;'General Info and Liability'!$B$15+1,'General Info and Liability'!$D$17,""),"")</f>
        <v/>
      </c>
      <c r="T359" t="str">
        <f>IFERROR(IF($H358+1&lt;'General Info and Liability'!$B$15+1,'General Info and Liability'!$D$18,""),"")</f>
        <v/>
      </c>
      <c r="U359" t="str">
        <f>IFERROR(IF($H358+1&lt;'General Info and Liability'!$B$15+1,'General Info and Liability'!$D$19,""),"")</f>
        <v/>
      </c>
      <c r="V359" t="str">
        <f>IFERROR(IF($H358+1&lt;'General Info and Liability'!$B$15+1,'General Info and Liability'!$B$14,""),"")</f>
        <v/>
      </c>
      <c r="W359" t="str">
        <f>IFERROR(IF($H358+1&lt;'General Info and Liability'!$B$15+1,'General Info and Liability'!$D$20,""),"")</f>
        <v/>
      </c>
    </row>
    <row r="360" spans="8:23" ht="16.5" customHeight="1">
      <c r="H360" t="str">
        <f>IFERROR(IF(H359+1&lt;'General Info and Liability'!$B$15+1,'Property Schedule'!H359+1,""),"")</f>
        <v/>
      </c>
      <c r="J360" s="8"/>
      <c r="K360" s="7" t="str">
        <f>IFERROR(IF($H359+1&lt;'General Info and Liability'!$B$15+1,'General Info and Liability'!$B$18/'General Info and Liability'!$B$10*$L360,""),"")</f>
        <v/>
      </c>
      <c r="L360" s="8"/>
      <c r="M360" s="31" t="str">
        <f>IFERROR(IF($H359+1&lt;'General Info and Liability'!$B$15+1,'General Info and Liability'!$D$14/'General Info and Liability'!$B$10*$L360,""),"")</f>
        <v/>
      </c>
      <c r="N360" s="32" t="str">
        <f>IFERROR(IF($H359+1&lt;'General Info and Liability'!$B$15+1,'General Info and Liability'!$D$15/'General Info and Liability'!$B$10*$L360,""),"")</f>
        <v/>
      </c>
      <c r="O360" s="8"/>
      <c r="P360" s="8"/>
      <c r="Q360" t="str">
        <f>IFERROR(IF($H360+1&gt;0,'General Info and Liability'!$D$16,""),"")</f>
        <v/>
      </c>
      <c r="R360" t="str">
        <f>IFERROR(IF($H360+1&gt;0,'General Info and Liability'!$B$16,""),"")</f>
        <v/>
      </c>
      <c r="S360" t="str">
        <f>IFERROR(IF($H359+1&lt;'General Info and Liability'!$B$15+1,'General Info and Liability'!$D$17,""),"")</f>
        <v/>
      </c>
      <c r="T360" t="str">
        <f>IFERROR(IF($H359+1&lt;'General Info and Liability'!$B$15+1,'General Info and Liability'!$D$18,""),"")</f>
        <v/>
      </c>
      <c r="U360" t="str">
        <f>IFERROR(IF($H359+1&lt;'General Info and Liability'!$B$15+1,'General Info and Liability'!$D$19,""),"")</f>
        <v/>
      </c>
      <c r="V360" t="str">
        <f>IFERROR(IF($H359+1&lt;'General Info and Liability'!$B$15+1,'General Info and Liability'!$B$14,""),"")</f>
        <v/>
      </c>
      <c r="W360" t="str">
        <f>IFERROR(IF($H359+1&lt;'General Info and Liability'!$B$15+1,'General Info and Liability'!$D$20,""),"")</f>
        <v/>
      </c>
    </row>
    <row r="361" spans="8:23" ht="16.5" customHeight="1">
      <c r="H361" t="str">
        <f>IFERROR(IF(H360+1&lt;'General Info and Liability'!$B$15+1,'Property Schedule'!H360+1,""),"")</f>
        <v/>
      </c>
      <c r="J361" s="8"/>
      <c r="K361" s="7" t="str">
        <f>IFERROR(IF($H360+1&lt;'General Info and Liability'!$B$15+1,'General Info and Liability'!$B$18/'General Info and Liability'!$B$10*$L361,""),"")</f>
        <v/>
      </c>
      <c r="L361" s="8"/>
      <c r="M361" s="31" t="str">
        <f>IFERROR(IF($H360+1&lt;'General Info and Liability'!$B$15+1,'General Info and Liability'!$D$14/'General Info and Liability'!$B$10*$L361,""),"")</f>
        <v/>
      </c>
      <c r="N361" s="32" t="str">
        <f>IFERROR(IF($H360+1&lt;'General Info and Liability'!$B$15+1,'General Info and Liability'!$D$15/'General Info and Liability'!$B$10*$L361,""),"")</f>
        <v/>
      </c>
      <c r="O361" s="8"/>
      <c r="P361" s="8"/>
      <c r="Q361" t="str">
        <f>IFERROR(IF($H361+1&gt;0,'General Info and Liability'!$D$16,""),"")</f>
        <v/>
      </c>
      <c r="R361" t="str">
        <f>IFERROR(IF($H361+1&gt;0,'General Info and Liability'!$B$16,""),"")</f>
        <v/>
      </c>
      <c r="S361" t="str">
        <f>IFERROR(IF($H360+1&lt;'General Info and Liability'!$B$15+1,'General Info and Liability'!$D$17,""),"")</f>
        <v/>
      </c>
      <c r="T361" t="str">
        <f>IFERROR(IF($H360+1&lt;'General Info and Liability'!$B$15+1,'General Info and Liability'!$D$18,""),"")</f>
        <v/>
      </c>
      <c r="U361" t="str">
        <f>IFERROR(IF($H360+1&lt;'General Info and Liability'!$B$15+1,'General Info and Liability'!$D$19,""),"")</f>
        <v/>
      </c>
      <c r="V361" t="str">
        <f>IFERROR(IF($H360+1&lt;'General Info and Liability'!$B$15+1,'General Info and Liability'!$B$14,""),"")</f>
        <v/>
      </c>
      <c r="W361" t="str">
        <f>IFERROR(IF($H360+1&lt;'General Info and Liability'!$B$15+1,'General Info and Liability'!$D$20,""),"")</f>
        <v/>
      </c>
    </row>
    <row r="362" spans="8:23" ht="16.5" customHeight="1">
      <c r="H362" t="str">
        <f>IFERROR(IF(H361+1&lt;'General Info and Liability'!$B$15+1,'Property Schedule'!H361+1,""),"")</f>
        <v/>
      </c>
      <c r="J362" s="8"/>
      <c r="K362" s="7" t="str">
        <f>IFERROR(IF($H361+1&lt;'General Info and Liability'!$B$15+1,'General Info and Liability'!$B$18/'General Info and Liability'!$B$10*$L362,""),"")</f>
        <v/>
      </c>
      <c r="L362" s="8"/>
      <c r="M362" s="31" t="str">
        <f>IFERROR(IF($H361+1&lt;'General Info and Liability'!$B$15+1,'General Info and Liability'!$D$14/'General Info and Liability'!$B$10*$L362,""),"")</f>
        <v/>
      </c>
      <c r="N362" s="32" t="str">
        <f>IFERROR(IF($H361+1&lt;'General Info and Liability'!$B$15+1,'General Info and Liability'!$D$15/'General Info and Liability'!$B$10*$L362,""),"")</f>
        <v/>
      </c>
      <c r="O362" s="8"/>
      <c r="P362" s="8"/>
      <c r="Q362" t="str">
        <f>IFERROR(IF($H362+1&gt;0,'General Info and Liability'!$D$16,""),"")</f>
        <v/>
      </c>
      <c r="R362" t="str">
        <f>IFERROR(IF($H362+1&gt;0,'General Info and Liability'!$B$16,""),"")</f>
        <v/>
      </c>
      <c r="S362" t="str">
        <f>IFERROR(IF($H361+1&lt;'General Info and Liability'!$B$15+1,'General Info and Liability'!$D$17,""),"")</f>
        <v/>
      </c>
      <c r="T362" t="str">
        <f>IFERROR(IF($H361+1&lt;'General Info and Liability'!$B$15+1,'General Info and Liability'!$D$18,""),"")</f>
        <v/>
      </c>
      <c r="U362" t="str">
        <f>IFERROR(IF($H361+1&lt;'General Info and Liability'!$B$15+1,'General Info and Liability'!$D$19,""),"")</f>
        <v/>
      </c>
      <c r="V362" t="str">
        <f>IFERROR(IF($H361+1&lt;'General Info and Liability'!$B$15+1,'General Info and Liability'!$B$14,""),"")</f>
        <v/>
      </c>
      <c r="W362" t="str">
        <f>IFERROR(IF($H361+1&lt;'General Info and Liability'!$B$15+1,'General Info and Liability'!$D$20,""),"")</f>
        <v/>
      </c>
    </row>
    <row r="363" spans="8:23" ht="16.5" customHeight="1">
      <c r="H363" t="str">
        <f>IFERROR(IF(H362+1&lt;'General Info and Liability'!$B$15+1,'Property Schedule'!H362+1,""),"")</f>
        <v/>
      </c>
      <c r="J363" s="8"/>
      <c r="K363" s="7" t="str">
        <f>IFERROR(IF($H362+1&lt;'General Info and Liability'!$B$15+1,'General Info and Liability'!$B$18/'General Info and Liability'!$B$10*$L363,""),"")</f>
        <v/>
      </c>
      <c r="L363" s="8"/>
      <c r="M363" s="31" t="str">
        <f>IFERROR(IF($H362+1&lt;'General Info and Liability'!$B$15+1,'General Info and Liability'!$D$14/'General Info and Liability'!$B$10*$L363,""),"")</f>
        <v/>
      </c>
      <c r="N363" s="32" t="str">
        <f>IFERROR(IF($H362+1&lt;'General Info and Liability'!$B$15+1,'General Info and Liability'!$D$15/'General Info and Liability'!$B$10*$L363,""),"")</f>
        <v/>
      </c>
      <c r="O363" s="8"/>
      <c r="P363" s="8"/>
      <c r="Q363" t="str">
        <f>IFERROR(IF($H363+1&gt;0,'General Info and Liability'!$D$16,""),"")</f>
        <v/>
      </c>
      <c r="R363" t="str">
        <f>IFERROR(IF($H363+1&gt;0,'General Info and Liability'!$B$16,""),"")</f>
        <v/>
      </c>
      <c r="S363" t="str">
        <f>IFERROR(IF($H362+1&lt;'General Info and Liability'!$B$15+1,'General Info and Liability'!$D$17,""),"")</f>
        <v/>
      </c>
      <c r="T363" t="str">
        <f>IFERROR(IF($H362+1&lt;'General Info and Liability'!$B$15+1,'General Info and Liability'!$D$18,""),"")</f>
        <v/>
      </c>
      <c r="U363" t="str">
        <f>IFERROR(IF($H362+1&lt;'General Info and Liability'!$B$15+1,'General Info and Liability'!$D$19,""),"")</f>
        <v/>
      </c>
      <c r="V363" t="str">
        <f>IFERROR(IF($H362+1&lt;'General Info and Liability'!$B$15+1,'General Info and Liability'!$B$14,""),"")</f>
        <v/>
      </c>
      <c r="W363" t="str">
        <f>IFERROR(IF($H362+1&lt;'General Info and Liability'!$B$15+1,'General Info and Liability'!$D$20,""),"")</f>
        <v/>
      </c>
    </row>
    <row r="364" spans="8:23" ht="16.5" customHeight="1">
      <c r="H364" t="str">
        <f>IFERROR(IF(H363+1&lt;'General Info and Liability'!$B$15+1,'Property Schedule'!H363+1,""),"")</f>
        <v/>
      </c>
      <c r="J364" s="8"/>
      <c r="K364" s="7" t="str">
        <f>IFERROR(IF($H363+1&lt;'General Info and Liability'!$B$15+1,'General Info and Liability'!$B$18/'General Info and Liability'!$B$10*$L364,""),"")</f>
        <v/>
      </c>
      <c r="L364" s="8"/>
      <c r="M364" s="31" t="str">
        <f>IFERROR(IF($H363+1&lt;'General Info and Liability'!$B$15+1,'General Info and Liability'!$D$14/'General Info and Liability'!$B$10*$L364,""),"")</f>
        <v/>
      </c>
      <c r="N364" s="32" t="str">
        <f>IFERROR(IF($H363+1&lt;'General Info and Liability'!$B$15+1,'General Info and Liability'!$D$15/'General Info and Liability'!$B$10*$L364,""),"")</f>
        <v/>
      </c>
      <c r="O364" s="8"/>
      <c r="P364" s="8"/>
      <c r="Q364" t="str">
        <f>IFERROR(IF($H364+1&gt;0,'General Info and Liability'!$D$16,""),"")</f>
        <v/>
      </c>
      <c r="R364" t="str">
        <f>IFERROR(IF($H364+1&gt;0,'General Info and Liability'!$B$16,""),"")</f>
        <v/>
      </c>
      <c r="S364" t="str">
        <f>IFERROR(IF($H363+1&lt;'General Info and Liability'!$B$15+1,'General Info and Liability'!$D$17,""),"")</f>
        <v/>
      </c>
      <c r="T364" t="str">
        <f>IFERROR(IF($H363+1&lt;'General Info and Liability'!$B$15+1,'General Info and Liability'!$D$18,""),"")</f>
        <v/>
      </c>
      <c r="U364" t="str">
        <f>IFERROR(IF($H363+1&lt;'General Info and Liability'!$B$15+1,'General Info and Liability'!$D$19,""),"")</f>
        <v/>
      </c>
      <c r="V364" t="str">
        <f>IFERROR(IF($H363+1&lt;'General Info and Liability'!$B$15+1,'General Info and Liability'!$B$14,""),"")</f>
        <v/>
      </c>
      <c r="W364" t="str">
        <f>IFERROR(IF($H363+1&lt;'General Info and Liability'!$B$15+1,'General Info and Liability'!$D$20,""),"")</f>
        <v/>
      </c>
    </row>
    <row r="365" spans="8:23" ht="16.5" customHeight="1">
      <c r="H365" t="str">
        <f>IFERROR(IF(H364+1&lt;'General Info and Liability'!$B$15+1,'Property Schedule'!H364+1,""),"")</f>
        <v/>
      </c>
      <c r="J365" s="8"/>
      <c r="K365" s="7" t="str">
        <f>IFERROR(IF($H364+1&lt;'General Info and Liability'!$B$15+1,'General Info and Liability'!$B$18/'General Info and Liability'!$B$10*$L365,""),"")</f>
        <v/>
      </c>
      <c r="L365" s="8"/>
      <c r="M365" s="31" t="str">
        <f>IFERROR(IF($H364+1&lt;'General Info and Liability'!$B$15+1,'General Info and Liability'!$D$14/'General Info and Liability'!$B$10*$L365,""),"")</f>
        <v/>
      </c>
      <c r="N365" s="32" t="str">
        <f>IFERROR(IF($H364+1&lt;'General Info and Liability'!$B$15+1,'General Info and Liability'!$D$15/'General Info and Liability'!$B$10*$L365,""),"")</f>
        <v/>
      </c>
      <c r="O365" s="8"/>
      <c r="P365" s="8"/>
      <c r="Q365" t="str">
        <f>IFERROR(IF($H365+1&gt;0,'General Info and Liability'!$D$16,""),"")</f>
        <v/>
      </c>
      <c r="R365" t="str">
        <f>IFERROR(IF($H365+1&gt;0,'General Info and Liability'!$B$16,""),"")</f>
        <v/>
      </c>
      <c r="S365" t="str">
        <f>IFERROR(IF($H364+1&lt;'General Info and Liability'!$B$15+1,'General Info and Liability'!$D$17,""),"")</f>
        <v/>
      </c>
      <c r="T365" t="str">
        <f>IFERROR(IF($H364+1&lt;'General Info and Liability'!$B$15+1,'General Info and Liability'!$D$18,""),"")</f>
        <v/>
      </c>
      <c r="U365" t="str">
        <f>IFERROR(IF($H364+1&lt;'General Info and Liability'!$B$15+1,'General Info and Liability'!$D$19,""),"")</f>
        <v/>
      </c>
      <c r="V365" t="str">
        <f>IFERROR(IF($H364+1&lt;'General Info and Liability'!$B$15+1,'General Info and Liability'!$B$14,""),"")</f>
        <v/>
      </c>
      <c r="W365" t="str">
        <f>IFERROR(IF($H364+1&lt;'General Info and Liability'!$B$15+1,'General Info and Liability'!$D$20,""),"")</f>
        <v/>
      </c>
    </row>
    <row r="366" spans="8:23" ht="16.5" customHeight="1">
      <c r="H366" t="str">
        <f>IFERROR(IF(H365+1&lt;'General Info and Liability'!$B$15+1,'Property Schedule'!H365+1,""),"")</f>
        <v/>
      </c>
      <c r="J366" s="8"/>
      <c r="K366" s="7" t="str">
        <f>IFERROR(IF($H365+1&lt;'General Info and Liability'!$B$15+1,'General Info and Liability'!$B$18/'General Info and Liability'!$B$10*$L366,""),"")</f>
        <v/>
      </c>
      <c r="L366" s="8"/>
      <c r="M366" s="31" t="str">
        <f>IFERROR(IF($H365+1&lt;'General Info and Liability'!$B$15+1,'General Info and Liability'!$D$14/'General Info and Liability'!$B$10*$L366,""),"")</f>
        <v/>
      </c>
      <c r="N366" s="32" t="str">
        <f>IFERROR(IF($H365+1&lt;'General Info and Liability'!$B$15+1,'General Info and Liability'!$D$15/'General Info and Liability'!$B$10*$L366,""),"")</f>
        <v/>
      </c>
      <c r="O366" s="8"/>
      <c r="P366" s="8"/>
      <c r="Q366" t="str">
        <f>IFERROR(IF($H366+1&gt;0,'General Info and Liability'!$D$16,""),"")</f>
        <v/>
      </c>
      <c r="R366" t="str">
        <f>IFERROR(IF($H366+1&gt;0,'General Info and Liability'!$B$16,""),"")</f>
        <v/>
      </c>
      <c r="S366" t="str">
        <f>IFERROR(IF($H365+1&lt;'General Info and Liability'!$B$15+1,'General Info and Liability'!$D$17,""),"")</f>
        <v/>
      </c>
      <c r="T366" t="str">
        <f>IFERROR(IF($H365+1&lt;'General Info and Liability'!$B$15+1,'General Info and Liability'!$D$18,""),"")</f>
        <v/>
      </c>
      <c r="U366" t="str">
        <f>IFERROR(IF($H365+1&lt;'General Info and Liability'!$B$15+1,'General Info and Liability'!$D$19,""),"")</f>
        <v/>
      </c>
      <c r="V366" t="str">
        <f>IFERROR(IF($H365+1&lt;'General Info and Liability'!$B$15+1,'General Info and Liability'!$B$14,""),"")</f>
        <v/>
      </c>
      <c r="W366" t="str">
        <f>IFERROR(IF($H365+1&lt;'General Info and Liability'!$B$15+1,'General Info and Liability'!$D$20,""),"")</f>
        <v/>
      </c>
    </row>
    <row r="367" spans="8:23" ht="16.5" customHeight="1">
      <c r="H367" t="str">
        <f>IFERROR(IF(H366+1&lt;'General Info and Liability'!$B$15+1,'Property Schedule'!H366+1,""),"")</f>
        <v/>
      </c>
      <c r="J367" s="8"/>
      <c r="K367" s="7" t="str">
        <f>IFERROR(IF($H366+1&lt;'General Info and Liability'!$B$15+1,'General Info and Liability'!$B$18/'General Info and Liability'!$B$10*$L367,""),"")</f>
        <v/>
      </c>
      <c r="L367" s="8"/>
      <c r="M367" s="31" t="str">
        <f>IFERROR(IF($H366+1&lt;'General Info and Liability'!$B$15+1,'General Info and Liability'!$D$14/'General Info and Liability'!$B$10*$L367,""),"")</f>
        <v/>
      </c>
      <c r="N367" s="32" t="str">
        <f>IFERROR(IF($H366+1&lt;'General Info and Liability'!$B$15+1,'General Info and Liability'!$D$15/'General Info and Liability'!$B$10*$L367,""),"")</f>
        <v/>
      </c>
      <c r="O367" s="8"/>
      <c r="P367" s="8"/>
      <c r="Q367" t="str">
        <f>IFERROR(IF($H367+1&gt;0,'General Info and Liability'!$D$16,""),"")</f>
        <v/>
      </c>
      <c r="R367" t="str">
        <f>IFERROR(IF($H367+1&gt;0,'General Info and Liability'!$B$16,""),"")</f>
        <v/>
      </c>
      <c r="S367" t="str">
        <f>IFERROR(IF($H366+1&lt;'General Info and Liability'!$B$15+1,'General Info and Liability'!$D$17,""),"")</f>
        <v/>
      </c>
      <c r="T367" t="str">
        <f>IFERROR(IF($H366+1&lt;'General Info and Liability'!$B$15+1,'General Info and Liability'!$D$18,""),"")</f>
        <v/>
      </c>
      <c r="U367" t="str">
        <f>IFERROR(IF($H366+1&lt;'General Info and Liability'!$B$15+1,'General Info and Liability'!$D$19,""),"")</f>
        <v/>
      </c>
      <c r="V367" t="str">
        <f>IFERROR(IF($H366+1&lt;'General Info and Liability'!$B$15+1,'General Info and Liability'!$B$14,""),"")</f>
        <v/>
      </c>
      <c r="W367" t="str">
        <f>IFERROR(IF($H366+1&lt;'General Info and Liability'!$B$15+1,'General Info and Liability'!$D$20,""),"")</f>
        <v/>
      </c>
    </row>
    <row r="368" spans="8:23" ht="16.5" customHeight="1">
      <c r="H368" t="str">
        <f>IFERROR(IF(H367+1&lt;'General Info and Liability'!$B$15+1,'Property Schedule'!H367+1,""),"")</f>
        <v/>
      </c>
      <c r="J368" s="8"/>
      <c r="K368" s="7" t="str">
        <f>IFERROR(IF($H367+1&lt;'General Info and Liability'!$B$15+1,'General Info and Liability'!$B$18/'General Info and Liability'!$B$10*$L368,""),"")</f>
        <v/>
      </c>
      <c r="L368" s="8"/>
      <c r="M368" s="31" t="str">
        <f>IFERROR(IF($H367+1&lt;'General Info and Liability'!$B$15+1,'General Info and Liability'!$D$14/'General Info and Liability'!$B$10*$L368,""),"")</f>
        <v/>
      </c>
      <c r="N368" s="32" t="str">
        <f>IFERROR(IF($H367+1&lt;'General Info and Liability'!$B$15+1,'General Info and Liability'!$D$15/'General Info and Liability'!$B$10*$L368,""),"")</f>
        <v/>
      </c>
      <c r="O368" s="8"/>
      <c r="P368" s="8"/>
      <c r="Q368" t="str">
        <f>IFERROR(IF($H368+1&gt;0,'General Info and Liability'!$D$16,""),"")</f>
        <v/>
      </c>
      <c r="R368" t="str">
        <f>IFERROR(IF($H368+1&gt;0,'General Info and Liability'!$B$16,""),"")</f>
        <v/>
      </c>
      <c r="S368" t="str">
        <f>IFERROR(IF($H367+1&lt;'General Info and Liability'!$B$15+1,'General Info and Liability'!$D$17,""),"")</f>
        <v/>
      </c>
      <c r="T368" t="str">
        <f>IFERROR(IF($H367+1&lt;'General Info and Liability'!$B$15+1,'General Info and Liability'!$D$18,""),"")</f>
        <v/>
      </c>
      <c r="U368" t="str">
        <f>IFERROR(IF($H367+1&lt;'General Info and Liability'!$B$15+1,'General Info and Liability'!$D$19,""),"")</f>
        <v/>
      </c>
      <c r="V368" t="str">
        <f>IFERROR(IF($H367+1&lt;'General Info and Liability'!$B$15+1,'General Info and Liability'!$B$14,""),"")</f>
        <v/>
      </c>
      <c r="W368" t="str">
        <f>IFERROR(IF($H367+1&lt;'General Info and Liability'!$B$15+1,'General Info and Liability'!$D$20,""),"")</f>
        <v/>
      </c>
    </row>
    <row r="369" spans="8:23" ht="16.5" customHeight="1">
      <c r="H369" t="str">
        <f>IFERROR(IF(H368+1&lt;'General Info and Liability'!$B$15+1,'Property Schedule'!H368+1,""),"")</f>
        <v/>
      </c>
      <c r="J369" s="8"/>
      <c r="K369" s="7" t="str">
        <f>IFERROR(IF($H368+1&lt;'General Info and Liability'!$B$15+1,'General Info and Liability'!$B$18/'General Info and Liability'!$B$10*$L369,""),"")</f>
        <v/>
      </c>
      <c r="L369" s="8"/>
      <c r="M369" s="31" t="str">
        <f>IFERROR(IF($H368+1&lt;'General Info and Liability'!$B$15+1,'General Info and Liability'!$D$14/'General Info and Liability'!$B$10*$L369,""),"")</f>
        <v/>
      </c>
      <c r="N369" s="32" t="str">
        <f>IFERROR(IF($H368+1&lt;'General Info and Liability'!$B$15+1,'General Info and Liability'!$D$15/'General Info and Liability'!$B$10*$L369,""),"")</f>
        <v/>
      </c>
      <c r="O369" s="8"/>
      <c r="P369" s="8"/>
      <c r="Q369" t="str">
        <f>IFERROR(IF($H369+1&gt;0,'General Info and Liability'!$D$16,""),"")</f>
        <v/>
      </c>
      <c r="R369" t="str">
        <f>IFERROR(IF($H369+1&gt;0,'General Info and Liability'!$B$16,""),"")</f>
        <v/>
      </c>
      <c r="S369" t="str">
        <f>IFERROR(IF($H368+1&lt;'General Info and Liability'!$B$15+1,'General Info and Liability'!$D$17,""),"")</f>
        <v/>
      </c>
      <c r="T369" t="str">
        <f>IFERROR(IF($H368+1&lt;'General Info and Liability'!$B$15+1,'General Info and Liability'!$D$18,""),"")</f>
        <v/>
      </c>
      <c r="U369" t="str">
        <f>IFERROR(IF($H368+1&lt;'General Info and Liability'!$B$15+1,'General Info and Liability'!$D$19,""),"")</f>
        <v/>
      </c>
      <c r="V369" t="str">
        <f>IFERROR(IF($H368+1&lt;'General Info and Liability'!$B$15+1,'General Info and Liability'!$B$14,""),"")</f>
        <v/>
      </c>
      <c r="W369" t="str">
        <f>IFERROR(IF($H368+1&lt;'General Info and Liability'!$B$15+1,'General Info and Liability'!$D$20,""),"")</f>
        <v/>
      </c>
    </row>
    <row r="370" spans="8:23" ht="16.5" customHeight="1">
      <c r="H370" t="str">
        <f>IFERROR(IF(H369+1&lt;'General Info and Liability'!$B$15+1,'Property Schedule'!H369+1,""),"")</f>
        <v/>
      </c>
      <c r="J370" s="8"/>
      <c r="K370" s="7" t="str">
        <f>IFERROR(IF($H369+1&lt;'General Info and Liability'!$B$15+1,'General Info and Liability'!$B$18/'General Info and Liability'!$B$10*$L370,""),"")</f>
        <v/>
      </c>
      <c r="L370" s="8"/>
      <c r="M370" s="31" t="str">
        <f>IFERROR(IF($H369+1&lt;'General Info and Liability'!$B$15+1,'General Info and Liability'!$D$14/'General Info and Liability'!$B$10*$L370,""),"")</f>
        <v/>
      </c>
      <c r="N370" s="32" t="str">
        <f>IFERROR(IF($H369+1&lt;'General Info and Liability'!$B$15+1,'General Info and Liability'!$D$15/'General Info and Liability'!$B$10*$L370,""),"")</f>
        <v/>
      </c>
      <c r="O370" s="8"/>
      <c r="P370" s="8"/>
      <c r="Q370" t="str">
        <f>IFERROR(IF($H370+1&gt;0,'General Info and Liability'!$D$16,""),"")</f>
        <v/>
      </c>
      <c r="R370" t="str">
        <f>IFERROR(IF($H370+1&gt;0,'General Info and Liability'!$B$16,""),"")</f>
        <v/>
      </c>
      <c r="S370" t="str">
        <f>IFERROR(IF($H369+1&lt;'General Info and Liability'!$B$15+1,'General Info and Liability'!$D$17,""),"")</f>
        <v/>
      </c>
      <c r="T370" t="str">
        <f>IFERROR(IF($H369+1&lt;'General Info and Liability'!$B$15+1,'General Info and Liability'!$D$18,""),"")</f>
        <v/>
      </c>
      <c r="U370" t="str">
        <f>IFERROR(IF($H369+1&lt;'General Info and Liability'!$B$15+1,'General Info and Liability'!$D$19,""),"")</f>
        <v/>
      </c>
      <c r="V370" t="str">
        <f>IFERROR(IF($H369+1&lt;'General Info and Liability'!$B$15+1,'General Info and Liability'!$B$14,""),"")</f>
        <v/>
      </c>
      <c r="W370" t="str">
        <f>IFERROR(IF($H369+1&lt;'General Info and Liability'!$B$15+1,'General Info and Liability'!$D$20,""),"")</f>
        <v/>
      </c>
    </row>
    <row r="371" spans="8:23" ht="16.5" customHeight="1">
      <c r="H371" t="str">
        <f>IFERROR(IF(H370+1&lt;'General Info and Liability'!$B$15+1,'Property Schedule'!H370+1,""),"")</f>
        <v/>
      </c>
      <c r="J371" s="8"/>
      <c r="K371" s="7" t="str">
        <f>IFERROR(IF($H370+1&lt;'General Info and Liability'!$B$15+1,'General Info and Liability'!$B$18/'General Info and Liability'!$B$10*$L371,""),"")</f>
        <v/>
      </c>
      <c r="L371" s="8"/>
      <c r="M371" s="31" t="str">
        <f>IFERROR(IF($H370+1&lt;'General Info and Liability'!$B$15+1,'General Info and Liability'!$D$14/'General Info and Liability'!$B$10*$L371,""),"")</f>
        <v/>
      </c>
      <c r="N371" s="32" t="str">
        <f>IFERROR(IF($H370+1&lt;'General Info and Liability'!$B$15+1,'General Info and Liability'!$D$15/'General Info and Liability'!$B$10*$L371,""),"")</f>
        <v/>
      </c>
      <c r="O371" s="8"/>
      <c r="P371" s="8"/>
      <c r="Q371" t="str">
        <f>IFERROR(IF($H371+1&gt;0,'General Info and Liability'!$D$16,""),"")</f>
        <v/>
      </c>
      <c r="R371" t="str">
        <f>IFERROR(IF($H371+1&gt;0,'General Info and Liability'!$B$16,""),"")</f>
        <v/>
      </c>
      <c r="S371" t="str">
        <f>IFERROR(IF($H370+1&lt;'General Info and Liability'!$B$15+1,'General Info and Liability'!$D$17,""),"")</f>
        <v/>
      </c>
      <c r="T371" t="str">
        <f>IFERROR(IF($H370+1&lt;'General Info and Liability'!$B$15+1,'General Info and Liability'!$D$18,""),"")</f>
        <v/>
      </c>
      <c r="U371" t="str">
        <f>IFERROR(IF($H370+1&lt;'General Info and Liability'!$B$15+1,'General Info and Liability'!$D$19,""),"")</f>
        <v/>
      </c>
      <c r="V371" t="str">
        <f>IFERROR(IF($H370+1&lt;'General Info and Liability'!$B$15+1,'General Info and Liability'!$B$14,""),"")</f>
        <v/>
      </c>
      <c r="W371" t="str">
        <f>IFERROR(IF($H370+1&lt;'General Info and Liability'!$B$15+1,'General Info and Liability'!$D$20,""),"")</f>
        <v/>
      </c>
    </row>
    <row r="372" spans="8:23" ht="16.5" customHeight="1">
      <c r="H372" t="str">
        <f>IFERROR(IF(H371+1&lt;'General Info and Liability'!$B$15+1,'Property Schedule'!H371+1,""),"")</f>
        <v/>
      </c>
      <c r="J372" s="8"/>
      <c r="K372" s="7" t="str">
        <f>IFERROR(IF($H371+1&lt;'General Info and Liability'!$B$15+1,'General Info and Liability'!$B$18/'General Info and Liability'!$B$10*$L372,""),"")</f>
        <v/>
      </c>
      <c r="L372" s="8"/>
      <c r="M372" s="31" t="str">
        <f>IFERROR(IF($H371+1&lt;'General Info and Liability'!$B$15+1,'General Info and Liability'!$D$14/'General Info and Liability'!$B$10*$L372,""),"")</f>
        <v/>
      </c>
      <c r="N372" s="32" t="str">
        <f>IFERROR(IF($H371+1&lt;'General Info and Liability'!$B$15+1,'General Info and Liability'!$D$15/'General Info and Liability'!$B$10*$L372,""),"")</f>
        <v/>
      </c>
      <c r="O372" s="8"/>
      <c r="P372" s="8"/>
      <c r="Q372" t="str">
        <f>IFERROR(IF($H372+1&gt;0,'General Info and Liability'!$D$16,""),"")</f>
        <v/>
      </c>
      <c r="R372" t="str">
        <f>IFERROR(IF($H372+1&gt;0,'General Info and Liability'!$B$16,""),"")</f>
        <v/>
      </c>
      <c r="S372" t="str">
        <f>IFERROR(IF($H371+1&lt;'General Info and Liability'!$B$15+1,'General Info and Liability'!$D$17,""),"")</f>
        <v/>
      </c>
      <c r="T372" t="str">
        <f>IFERROR(IF($H371+1&lt;'General Info and Liability'!$B$15+1,'General Info and Liability'!$D$18,""),"")</f>
        <v/>
      </c>
      <c r="U372" t="str">
        <f>IFERROR(IF($H371+1&lt;'General Info and Liability'!$B$15+1,'General Info and Liability'!$D$19,""),"")</f>
        <v/>
      </c>
      <c r="V372" t="str">
        <f>IFERROR(IF($H371+1&lt;'General Info and Liability'!$B$15+1,'General Info and Liability'!$B$14,""),"")</f>
        <v/>
      </c>
      <c r="W372" t="str">
        <f>IFERROR(IF($H371+1&lt;'General Info and Liability'!$B$15+1,'General Info and Liability'!$D$20,""),"")</f>
        <v/>
      </c>
    </row>
    <row r="373" spans="8:23" ht="16.5" customHeight="1">
      <c r="H373" t="str">
        <f>IFERROR(IF(H372+1&lt;'General Info and Liability'!$B$15+1,'Property Schedule'!H372+1,""),"")</f>
        <v/>
      </c>
      <c r="J373" s="8"/>
      <c r="K373" s="7" t="str">
        <f>IFERROR(IF($H372+1&lt;'General Info and Liability'!$B$15+1,'General Info and Liability'!$B$18/'General Info and Liability'!$B$10*$L373,""),"")</f>
        <v/>
      </c>
      <c r="L373" s="8"/>
      <c r="M373" s="31" t="str">
        <f>IFERROR(IF($H372+1&lt;'General Info and Liability'!$B$15+1,'General Info and Liability'!$D$14/'General Info and Liability'!$B$10*$L373,""),"")</f>
        <v/>
      </c>
      <c r="N373" s="32" t="str">
        <f>IFERROR(IF($H372+1&lt;'General Info and Liability'!$B$15+1,'General Info and Liability'!$D$15/'General Info and Liability'!$B$10*$L373,""),"")</f>
        <v/>
      </c>
      <c r="O373" s="8"/>
      <c r="P373" s="8"/>
      <c r="Q373" t="str">
        <f>IFERROR(IF($H373+1&gt;0,'General Info and Liability'!$D$16,""),"")</f>
        <v/>
      </c>
      <c r="R373" t="str">
        <f>IFERROR(IF($H373+1&gt;0,'General Info and Liability'!$B$16,""),"")</f>
        <v/>
      </c>
      <c r="S373" t="str">
        <f>IFERROR(IF($H372+1&lt;'General Info and Liability'!$B$15+1,'General Info and Liability'!$D$17,""),"")</f>
        <v/>
      </c>
      <c r="T373" t="str">
        <f>IFERROR(IF($H372+1&lt;'General Info and Liability'!$B$15+1,'General Info and Liability'!$D$18,""),"")</f>
        <v/>
      </c>
      <c r="U373" t="str">
        <f>IFERROR(IF($H372+1&lt;'General Info and Liability'!$B$15+1,'General Info and Liability'!$D$19,""),"")</f>
        <v/>
      </c>
      <c r="V373" t="str">
        <f>IFERROR(IF($H372+1&lt;'General Info and Liability'!$B$15+1,'General Info and Liability'!$B$14,""),"")</f>
        <v/>
      </c>
      <c r="W373" t="str">
        <f>IFERROR(IF($H372+1&lt;'General Info and Liability'!$B$15+1,'General Info and Liability'!$D$20,""),"")</f>
        <v/>
      </c>
    </row>
    <row r="374" spans="8:23" ht="16.5" customHeight="1">
      <c r="H374" t="str">
        <f>IFERROR(IF(H373+1&lt;'General Info and Liability'!$B$15+1,'Property Schedule'!H373+1,""),"")</f>
        <v/>
      </c>
      <c r="J374" s="8"/>
      <c r="K374" s="7" t="str">
        <f>IFERROR(IF($H373+1&lt;'General Info and Liability'!$B$15+1,'General Info and Liability'!$B$18/'General Info and Liability'!$B$10*$L374,""),"")</f>
        <v/>
      </c>
      <c r="L374" s="8"/>
      <c r="M374" s="31" t="str">
        <f>IFERROR(IF($H373+1&lt;'General Info and Liability'!$B$15+1,'General Info and Liability'!$D$14/'General Info and Liability'!$B$10*$L374,""),"")</f>
        <v/>
      </c>
      <c r="N374" s="32" t="str">
        <f>IFERROR(IF($H373+1&lt;'General Info and Liability'!$B$15+1,'General Info and Liability'!$D$15/'General Info and Liability'!$B$10*$L374,""),"")</f>
        <v/>
      </c>
      <c r="O374" s="8"/>
      <c r="P374" s="8"/>
      <c r="Q374" t="str">
        <f>IFERROR(IF($H374+1&gt;0,'General Info and Liability'!$D$16,""),"")</f>
        <v/>
      </c>
      <c r="R374" t="str">
        <f>IFERROR(IF($H374+1&gt;0,'General Info and Liability'!$B$16,""),"")</f>
        <v/>
      </c>
      <c r="S374" t="str">
        <f>IFERROR(IF($H373+1&lt;'General Info and Liability'!$B$15+1,'General Info and Liability'!$D$17,""),"")</f>
        <v/>
      </c>
      <c r="T374" t="str">
        <f>IFERROR(IF($H373+1&lt;'General Info and Liability'!$B$15+1,'General Info and Liability'!$D$18,""),"")</f>
        <v/>
      </c>
      <c r="U374" t="str">
        <f>IFERROR(IF($H373+1&lt;'General Info and Liability'!$B$15+1,'General Info and Liability'!$D$19,""),"")</f>
        <v/>
      </c>
      <c r="V374" t="str">
        <f>IFERROR(IF($H373+1&lt;'General Info and Liability'!$B$15+1,'General Info and Liability'!$B$14,""),"")</f>
        <v/>
      </c>
      <c r="W374" t="str">
        <f>IFERROR(IF($H373+1&lt;'General Info and Liability'!$B$15+1,'General Info and Liability'!$D$20,""),"")</f>
        <v/>
      </c>
    </row>
    <row r="375" spans="8:23" ht="16.5" customHeight="1">
      <c r="H375" t="str">
        <f>IFERROR(IF(H374+1&lt;'General Info and Liability'!$B$15+1,'Property Schedule'!H374+1,""),"")</f>
        <v/>
      </c>
      <c r="J375" s="8"/>
      <c r="K375" s="7" t="str">
        <f>IFERROR(IF($H374+1&lt;'General Info and Liability'!$B$15+1,'General Info and Liability'!$B$18/'General Info and Liability'!$B$10*$L375,""),"")</f>
        <v/>
      </c>
      <c r="L375" s="8"/>
      <c r="M375" s="31" t="str">
        <f>IFERROR(IF($H374+1&lt;'General Info and Liability'!$B$15+1,'General Info and Liability'!$D$14/'General Info and Liability'!$B$10*$L375,""),"")</f>
        <v/>
      </c>
      <c r="N375" s="32" t="str">
        <f>IFERROR(IF($H374+1&lt;'General Info and Liability'!$B$15+1,'General Info and Liability'!$D$15/'General Info and Liability'!$B$10*$L375,""),"")</f>
        <v/>
      </c>
      <c r="O375" s="8"/>
      <c r="P375" s="8"/>
      <c r="Q375" t="str">
        <f>IFERROR(IF($H375+1&gt;0,'General Info and Liability'!$D$16,""),"")</f>
        <v/>
      </c>
      <c r="R375" t="str">
        <f>IFERROR(IF($H375+1&gt;0,'General Info and Liability'!$B$16,""),"")</f>
        <v/>
      </c>
      <c r="S375" t="str">
        <f>IFERROR(IF($H374+1&lt;'General Info and Liability'!$B$15+1,'General Info and Liability'!$D$17,""),"")</f>
        <v/>
      </c>
      <c r="T375" t="str">
        <f>IFERROR(IF($H374+1&lt;'General Info and Liability'!$B$15+1,'General Info and Liability'!$D$18,""),"")</f>
        <v/>
      </c>
      <c r="U375" t="str">
        <f>IFERROR(IF($H374+1&lt;'General Info and Liability'!$B$15+1,'General Info and Liability'!$D$19,""),"")</f>
        <v/>
      </c>
      <c r="V375" t="str">
        <f>IFERROR(IF($H374+1&lt;'General Info and Liability'!$B$15+1,'General Info and Liability'!$B$14,""),"")</f>
        <v/>
      </c>
      <c r="W375" t="str">
        <f>IFERROR(IF($H374+1&lt;'General Info and Liability'!$B$15+1,'General Info and Liability'!$D$20,""),"")</f>
        <v/>
      </c>
    </row>
    <row r="376" spans="8:23" ht="16.5" customHeight="1">
      <c r="H376" t="str">
        <f>IFERROR(IF(H375+1&lt;'General Info and Liability'!$B$15+1,'Property Schedule'!H375+1,""),"")</f>
        <v/>
      </c>
      <c r="J376" s="8"/>
      <c r="K376" s="7" t="str">
        <f>IFERROR(IF($H375+1&lt;'General Info and Liability'!$B$15+1,'General Info and Liability'!$B$18/'General Info and Liability'!$B$10*$L376,""),"")</f>
        <v/>
      </c>
      <c r="L376" s="8"/>
      <c r="M376" s="31" t="str">
        <f>IFERROR(IF($H375+1&lt;'General Info and Liability'!$B$15+1,'General Info and Liability'!$D$14/'General Info and Liability'!$B$10*$L376,""),"")</f>
        <v/>
      </c>
      <c r="N376" s="32" t="str">
        <f>IFERROR(IF($H375+1&lt;'General Info and Liability'!$B$15+1,'General Info and Liability'!$D$15/'General Info and Liability'!$B$10*$L376,""),"")</f>
        <v/>
      </c>
      <c r="O376" s="8"/>
      <c r="P376" s="8"/>
      <c r="Q376" t="str">
        <f>IFERROR(IF($H376+1&gt;0,'General Info and Liability'!$D$16,""),"")</f>
        <v/>
      </c>
      <c r="R376" t="str">
        <f>IFERROR(IF($H376+1&gt;0,'General Info and Liability'!$B$16,""),"")</f>
        <v/>
      </c>
      <c r="S376" t="str">
        <f>IFERROR(IF($H375+1&lt;'General Info and Liability'!$B$15+1,'General Info and Liability'!$D$17,""),"")</f>
        <v/>
      </c>
      <c r="T376" t="str">
        <f>IFERROR(IF($H375+1&lt;'General Info and Liability'!$B$15+1,'General Info and Liability'!$D$18,""),"")</f>
        <v/>
      </c>
      <c r="U376" t="str">
        <f>IFERROR(IF($H375+1&lt;'General Info and Liability'!$B$15+1,'General Info and Liability'!$D$19,""),"")</f>
        <v/>
      </c>
      <c r="V376" t="str">
        <f>IFERROR(IF($H375+1&lt;'General Info and Liability'!$B$15+1,'General Info and Liability'!$B$14,""),"")</f>
        <v/>
      </c>
      <c r="W376" t="str">
        <f>IFERROR(IF($H375+1&lt;'General Info and Liability'!$B$15+1,'General Info and Liability'!$D$20,""),"")</f>
        <v/>
      </c>
    </row>
    <row r="377" spans="8:23" ht="16.5" customHeight="1">
      <c r="H377" t="str">
        <f>IFERROR(IF(H376+1&lt;'General Info and Liability'!$B$15+1,'Property Schedule'!H376+1,""),"")</f>
        <v/>
      </c>
      <c r="J377" s="8"/>
      <c r="K377" s="7" t="str">
        <f>IFERROR(IF($H376+1&lt;'General Info and Liability'!$B$15+1,'General Info and Liability'!$B$18/'General Info and Liability'!$B$10*$L377,""),"")</f>
        <v/>
      </c>
      <c r="L377" s="8"/>
      <c r="M377" s="31" t="str">
        <f>IFERROR(IF($H376+1&lt;'General Info and Liability'!$B$15+1,'General Info and Liability'!$D$14/'General Info and Liability'!$B$10*$L377,""),"")</f>
        <v/>
      </c>
      <c r="N377" s="32" t="str">
        <f>IFERROR(IF($H376+1&lt;'General Info and Liability'!$B$15+1,'General Info and Liability'!$D$15/'General Info and Liability'!$B$10*$L377,""),"")</f>
        <v/>
      </c>
      <c r="O377" s="8"/>
      <c r="P377" s="8"/>
      <c r="Q377" t="str">
        <f>IFERROR(IF($H377+1&gt;0,'General Info and Liability'!$D$16,""),"")</f>
        <v/>
      </c>
      <c r="R377" t="str">
        <f>IFERROR(IF($H377+1&gt;0,'General Info and Liability'!$B$16,""),"")</f>
        <v/>
      </c>
      <c r="S377" t="str">
        <f>IFERROR(IF($H376+1&lt;'General Info and Liability'!$B$15+1,'General Info and Liability'!$D$17,""),"")</f>
        <v/>
      </c>
      <c r="T377" t="str">
        <f>IFERROR(IF($H376+1&lt;'General Info and Liability'!$B$15+1,'General Info and Liability'!$D$18,""),"")</f>
        <v/>
      </c>
      <c r="U377" t="str">
        <f>IFERROR(IF($H376+1&lt;'General Info and Liability'!$B$15+1,'General Info and Liability'!$D$19,""),"")</f>
        <v/>
      </c>
      <c r="V377" t="str">
        <f>IFERROR(IF($H376+1&lt;'General Info and Liability'!$B$15+1,'General Info and Liability'!$B$14,""),"")</f>
        <v/>
      </c>
      <c r="W377" t="str">
        <f>IFERROR(IF($H376+1&lt;'General Info and Liability'!$B$15+1,'General Info and Liability'!$D$20,""),"")</f>
        <v/>
      </c>
    </row>
    <row r="378" spans="8:23" ht="16.5" customHeight="1">
      <c r="H378" t="str">
        <f>IFERROR(IF(H377+1&lt;'General Info and Liability'!$B$15+1,'Property Schedule'!H377+1,""),"")</f>
        <v/>
      </c>
      <c r="J378" s="8"/>
      <c r="K378" s="7" t="str">
        <f>IFERROR(IF($H377+1&lt;'General Info and Liability'!$B$15+1,'General Info and Liability'!$B$18/'General Info and Liability'!$B$10*$L378,""),"")</f>
        <v/>
      </c>
      <c r="L378" s="8"/>
      <c r="M378" s="31" t="str">
        <f>IFERROR(IF($H377+1&lt;'General Info and Liability'!$B$15+1,'General Info and Liability'!$D$14/'General Info and Liability'!$B$10*$L378,""),"")</f>
        <v/>
      </c>
      <c r="N378" s="32" t="str">
        <f>IFERROR(IF($H377+1&lt;'General Info and Liability'!$B$15+1,'General Info and Liability'!$D$15/'General Info and Liability'!$B$10*$L378,""),"")</f>
        <v/>
      </c>
      <c r="O378" s="8"/>
      <c r="P378" s="8"/>
      <c r="Q378" t="str">
        <f>IFERROR(IF($H378+1&gt;0,'General Info and Liability'!$D$16,""),"")</f>
        <v/>
      </c>
      <c r="R378" t="str">
        <f>IFERROR(IF($H378+1&gt;0,'General Info and Liability'!$B$16,""),"")</f>
        <v/>
      </c>
      <c r="S378" t="str">
        <f>IFERROR(IF($H377+1&lt;'General Info and Liability'!$B$15+1,'General Info and Liability'!$D$17,""),"")</f>
        <v/>
      </c>
      <c r="T378" t="str">
        <f>IFERROR(IF($H377+1&lt;'General Info and Liability'!$B$15+1,'General Info and Liability'!$D$18,""),"")</f>
        <v/>
      </c>
      <c r="U378" t="str">
        <f>IFERROR(IF($H377+1&lt;'General Info and Liability'!$B$15+1,'General Info and Liability'!$D$19,""),"")</f>
        <v/>
      </c>
      <c r="V378" t="str">
        <f>IFERROR(IF($H377+1&lt;'General Info and Liability'!$B$15+1,'General Info and Liability'!$B$14,""),"")</f>
        <v/>
      </c>
      <c r="W378" t="str">
        <f>IFERROR(IF($H377+1&lt;'General Info and Liability'!$B$15+1,'General Info and Liability'!$D$20,""),"")</f>
        <v/>
      </c>
    </row>
    <row r="379" spans="8:23" ht="16.5" customHeight="1">
      <c r="H379" t="str">
        <f>IFERROR(IF(H378+1&lt;'General Info and Liability'!$B$15+1,'Property Schedule'!H378+1,""),"")</f>
        <v/>
      </c>
      <c r="J379" s="8"/>
      <c r="K379" s="7" t="str">
        <f>IFERROR(IF($H378+1&lt;'General Info and Liability'!$B$15+1,'General Info and Liability'!$B$18/'General Info and Liability'!$B$10*$L379,""),"")</f>
        <v/>
      </c>
      <c r="L379" s="8"/>
      <c r="M379" s="31" t="str">
        <f>IFERROR(IF($H378+1&lt;'General Info and Liability'!$B$15+1,'General Info and Liability'!$D$14/'General Info and Liability'!$B$10*$L379,""),"")</f>
        <v/>
      </c>
      <c r="N379" s="32" t="str">
        <f>IFERROR(IF($H378+1&lt;'General Info and Liability'!$B$15+1,'General Info and Liability'!$D$15/'General Info and Liability'!$B$10*$L379,""),"")</f>
        <v/>
      </c>
      <c r="O379" s="8"/>
      <c r="P379" s="8"/>
      <c r="Q379" t="str">
        <f>IFERROR(IF($H379+1&gt;0,'General Info and Liability'!$D$16,""),"")</f>
        <v/>
      </c>
      <c r="R379" t="str">
        <f>IFERROR(IF($H379+1&gt;0,'General Info and Liability'!$B$16,""),"")</f>
        <v/>
      </c>
      <c r="S379" t="str">
        <f>IFERROR(IF($H378+1&lt;'General Info and Liability'!$B$15+1,'General Info and Liability'!$D$17,""),"")</f>
        <v/>
      </c>
      <c r="T379" t="str">
        <f>IFERROR(IF($H378+1&lt;'General Info and Liability'!$B$15+1,'General Info and Liability'!$D$18,""),"")</f>
        <v/>
      </c>
      <c r="U379" t="str">
        <f>IFERROR(IF($H378+1&lt;'General Info and Liability'!$B$15+1,'General Info and Liability'!$D$19,""),"")</f>
        <v/>
      </c>
      <c r="V379" t="str">
        <f>IFERROR(IF($H378+1&lt;'General Info and Liability'!$B$15+1,'General Info and Liability'!$B$14,""),"")</f>
        <v/>
      </c>
      <c r="W379" t="str">
        <f>IFERROR(IF($H378+1&lt;'General Info and Liability'!$B$15+1,'General Info and Liability'!$D$20,""),"")</f>
        <v/>
      </c>
    </row>
    <row r="380" spans="8:23" ht="16.5" customHeight="1">
      <c r="H380" t="str">
        <f>IFERROR(IF(H379+1&lt;'General Info and Liability'!$B$15+1,'Property Schedule'!H379+1,""),"")</f>
        <v/>
      </c>
      <c r="J380" s="8"/>
      <c r="K380" s="7" t="str">
        <f>IFERROR(IF($H379+1&lt;'General Info and Liability'!$B$15+1,'General Info and Liability'!$B$18/'General Info and Liability'!$B$10*$L380,""),"")</f>
        <v/>
      </c>
      <c r="L380" s="8"/>
      <c r="M380" s="31" t="str">
        <f>IFERROR(IF($H379+1&lt;'General Info and Liability'!$B$15+1,'General Info and Liability'!$D$14/'General Info and Liability'!$B$10*$L380,""),"")</f>
        <v/>
      </c>
      <c r="N380" s="32" t="str">
        <f>IFERROR(IF($H379+1&lt;'General Info and Liability'!$B$15+1,'General Info and Liability'!$D$15/'General Info and Liability'!$B$10*$L380,""),"")</f>
        <v/>
      </c>
      <c r="O380" s="8"/>
      <c r="P380" s="8"/>
      <c r="Q380" t="str">
        <f>IFERROR(IF($H380+1&gt;0,'General Info and Liability'!$D$16,""),"")</f>
        <v/>
      </c>
      <c r="R380" t="str">
        <f>IFERROR(IF($H380+1&gt;0,'General Info and Liability'!$B$16,""),"")</f>
        <v/>
      </c>
      <c r="S380" t="str">
        <f>IFERROR(IF($H379+1&lt;'General Info and Liability'!$B$15+1,'General Info and Liability'!$D$17,""),"")</f>
        <v/>
      </c>
      <c r="T380" t="str">
        <f>IFERROR(IF($H379+1&lt;'General Info and Liability'!$B$15+1,'General Info and Liability'!$D$18,""),"")</f>
        <v/>
      </c>
      <c r="U380" t="str">
        <f>IFERROR(IF($H379+1&lt;'General Info and Liability'!$B$15+1,'General Info and Liability'!$D$19,""),"")</f>
        <v/>
      </c>
      <c r="V380" t="str">
        <f>IFERROR(IF($H379+1&lt;'General Info and Liability'!$B$15+1,'General Info and Liability'!$B$14,""),"")</f>
        <v/>
      </c>
      <c r="W380" t="str">
        <f>IFERROR(IF($H379+1&lt;'General Info and Liability'!$B$15+1,'General Info and Liability'!$D$20,""),"")</f>
        <v/>
      </c>
    </row>
    <row r="381" spans="8:23" ht="16.5" customHeight="1">
      <c r="H381" t="str">
        <f>IFERROR(IF(H380+1&lt;'General Info and Liability'!$B$15+1,'Property Schedule'!H380+1,""),"")</f>
        <v/>
      </c>
      <c r="J381" s="8"/>
      <c r="K381" s="7" t="str">
        <f>IFERROR(IF($H380+1&lt;'General Info and Liability'!$B$15+1,'General Info and Liability'!$B$18/'General Info and Liability'!$B$10*$L381,""),"")</f>
        <v/>
      </c>
      <c r="L381" s="8"/>
      <c r="M381" s="31" t="str">
        <f>IFERROR(IF($H380+1&lt;'General Info and Liability'!$B$15+1,'General Info and Liability'!$D$14/'General Info and Liability'!$B$10*$L381,""),"")</f>
        <v/>
      </c>
      <c r="N381" s="32" t="str">
        <f>IFERROR(IF($H380+1&lt;'General Info and Liability'!$B$15+1,'General Info and Liability'!$D$15/'General Info and Liability'!$B$10*$L381,""),"")</f>
        <v/>
      </c>
      <c r="O381" s="8"/>
      <c r="P381" s="8"/>
      <c r="Q381" t="str">
        <f>IFERROR(IF($H381+1&gt;0,'General Info and Liability'!$D$16,""),"")</f>
        <v/>
      </c>
      <c r="R381" t="str">
        <f>IFERROR(IF($H381+1&gt;0,'General Info and Liability'!$B$16,""),"")</f>
        <v/>
      </c>
      <c r="S381" t="str">
        <f>IFERROR(IF($H380+1&lt;'General Info and Liability'!$B$15+1,'General Info and Liability'!$D$17,""),"")</f>
        <v/>
      </c>
      <c r="T381" t="str">
        <f>IFERROR(IF($H380+1&lt;'General Info and Liability'!$B$15+1,'General Info and Liability'!$D$18,""),"")</f>
        <v/>
      </c>
      <c r="U381" t="str">
        <f>IFERROR(IF($H380+1&lt;'General Info and Liability'!$B$15+1,'General Info and Liability'!$D$19,""),"")</f>
        <v/>
      </c>
      <c r="V381" t="str">
        <f>IFERROR(IF($H380+1&lt;'General Info and Liability'!$B$15+1,'General Info and Liability'!$B$14,""),"")</f>
        <v/>
      </c>
      <c r="W381" t="str">
        <f>IFERROR(IF($H380+1&lt;'General Info and Liability'!$B$15+1,'General Info and Liability'!$D$20,""),"")</f>
        <v/>
      </c>
    </row>
    <row r="382" spans="8:23" ht="16.5" customHeight="1">
      <c r="H382" t="str">
        <f>IFERROR(IF(H381+1&lt;'General Info and Liability'!$B$15+1,'Property Schedule'!H381+1,""),"")</f>
        <v/>
      </c>
      <c r="J382" s="8"/>
      <c r="K382" s="7" t="str">
        <f>IFERROR(IF($H381+1&lt;'General Info and Liability'!$B$15+1,'General Info and Liability'!$B$18/'General Info and Liability'!$B$10*$L382,""),"")</f>
        <v/>
      </c>
      <c r="L382" s="8"/>
      <c r="M382" s="31" t="str">
        <f>IFERROR(IF($H381+1&lt;'General Info and Liability'!$B$15+1,'General Info and Liability'!$D$14/'General Info and Liability'!$B$10*$L382,""),"")</f>
        <v/>
      </c>
      <c r="N382" s="32" t="str">
        <f>IFERROR(IF($H381+1&lt;'General Info and Liability'!$B$15+1,'General Info and Liability'!$D$15/'General Info and Liability'!$B$10*$L382,""),"")</f>
        <v/>
      </c>
      <c r="O382" s="8"/>
      <c r="P382" s="8"/>
      <c r="Q382" t="str">
        <f>IFERROR(IF($H382+1&gt;0,'General Info and Liability'!$D$16,""),"")</f>
        <v/>
      </c>
      <c r="R382" t="str">
        <f>IFERROR(IF($H382+1&gt;0,'General Info and Liability'!$B$16,""),"")</f>
        <v/>
      </c>
      <c r="S382" t="str">
        <f>IFERROR(IF($H381+1&lt;'General Info and Liability'!$B$15+1,'General Info and Liability'!$D$17,""),"")</f>
        <v/>
      </c>
      <c r="T382" t="str">
        <f>IFERROR(IF($H381+1&lt;'General Info and Liability'!$B$15+1,'General Info and Liability'!$D$18,""),"")</f>
        <v/>
      </c>
      <c r="U382" t="str">
        <f>IFERROR(IF($H381+1&lt;'General Info and Liability'!$B$15+1,'General Info and Liability'!$D$19,""),"")</f>
        <v/>
      </c>
      <c r="V382" t="str">
        <f>IFERROR(IF($H381+1&lt;'General Info and Liability'!$B$15+1,'General Info and Liability'!$B$14,""),"")</f>
        <v/>
      </c>
      <c r="W382" t="str">
        <f>IFERROR(IF($H381+1&lt;'General Info and Liability'!$B$15+1,'General Info and Liability'!$D$20,""),"")</f>
        <v/>
      </c>
    </row>
    <row r="383" spans="8:23" ht="16.5" customHeight="1">
      <c r="H383" t="str">
        <f>IFERROR(IF(H382+1&lt;'General Info and Liability'!$B$15+1,'Property Schedule'!H382+1,""),"")</f>
        <v/>
      </c>
      <c r="J383" s="8"/>
      <c r="K383" s="7" t="str">
        <f>IFERROR(IF($H382+1&lt;'General Info and Liability'!$B$15+1,'General Info and Liability'!$B$18/'General Info and Liability'!$B$10*$L383,""),"")</f>
        <v/>
      </c>
      <c r="L383" s="8"/>
      <c r="M383" s="31" t="str">
        <f>IFERROR(IF($H382+1&lt;'General Info and Liability'!$B$15+1,'General Info and Liability'!$D$14/'General Info and Liability'!$B$10*$L383,""),"")</f>
        <v/>
      </c>
      <c r="N383" s="32" t="str">
        <f>IFERROR(IF($H382+1&lt;'General Info and Liability'!$B$15+1,'General Info and Liability'!$D$15/'General Info and Liability'!$B$10*$L383,""),"")</f>
        <v/>
      </c>
      <c r="O383" s="8"/>
      <c r="P383" s="8"/>
      <c r="Q383" t="str">
        <f>IFERROR(IF($H383+1&gt;0,'General Info and Liability'!$D$16,""),"")</f>
        <v/>
      </c>
      <c r="R383" t="str">
        <f>IFERROR(IF($H383+1&gt;0,'General Info and Liability'!$B$16,""),"")</f>
        <v/>
      </c>
      <c r="S383" t="str">
        <f>IFERROR(IF($H382+1&lt;'General Info and Liability'!$B$15+1,'General Info and Liability'!$D$17,""),"")</f>
        <v/>
      </c>
      <c r="T383" t="str">
        <f>IFERROR(IF($H382+1&lt;'General Info and Liability'!$B$15+1,'General Info and Liability'!$D$18,""),"")</f>
        <v/>
      </c>
      <c r="U383" t="str">
        <f>IFERROR(IF($H382+1&lt;'General Info and Liability'!$B$15+1,'General Info and Liability'!$D$19,""),"")</f>
        <v/>
      </c>
      <c r="V383" t="str">
        <f>IFERROR(IF($H382+1&lt;'General Info and Liability'!$B$15+1,'General Info and Liability'!$B$14,""),"")</f>
        <v/>
      </c>
      <c r="W383" t="str">
        <f>IFERROR(IF($H382+1&lt;'General Info and Liability'!$B$15+1,'General Info and Liability'!$D$20,""),"")</f>
        <v/>
      </c>
    </row>
    <row r="384" spans="8:23" ht="16.5" customHeight="1">
      <c r="H384" t="str">
        <f>IFERROR(IF(H383+1&lt;'General Info and Liability'!$B$15+1,'Property Schedule'!H383+1,""),"")</f>
        <v/>
      </c>
      <c r="J384" s="8"/>
      <c r="K384" s="7" t="str">
        <f>IFERROR(IF($H383+1&lt;'General Info and Liability'!$B$15+1,'General Info and Liability'!$B$18/'General Info and Liability'!$B$10*$L384,""),"")</f>
        <v/>
      </c>
      <c r="L384" s="8"/>
      <c r="M384" s="31" t="str">
        <f>IFERROR(IF($H383+1&lt;'General Info and Liability'!$B$15+1,'General Info and Liability'!$D$14/'General Info and Liability'!$B$10*$L384,""),"")</f>
        <v/>
      </c>
      <c r="N384" s="32" t="str">
        <f>IFERROR(IF($H383+1&lt;'General Info and Liability'!$B$15+1,'General Info and Liability'!$D$15/'General Info and Liability'!$B$10*$L384,""),"")</f>
        <v/>
      </c>
      <c r="O384" s="8"/>
      <c r="P384" s="8"/>
      <c r="Q384" t="str">
        <f>IFERROR(IF($H384+1&gt;0,'General Info and Liability'!$D$16,""),"")</f>
        <v/>
      </c>
      <c r="R384" t="str">
        <f>IFERROR(IF($H384+1&gt;0,'General Info and Liability'!$B$16,""),"")</f>
        <v/>
      </c>
      <c r="S384" t="str">
        <f>IFERROR(IF($H383+1&lt;'General Info and Liability'!$B$15+1,'General Info and Liability'!$D$17,""),"")</f>
        <v/>
      </c>
      <c r="T384" t="str">
        <f>IFERROR(IF($H383+1&lt;'General Info and Liability'!$B$15+1,'General Info and Liability'!$D$18,""),"")</f>
        <v/>
      </c>
      <c r="U384" t="str">
        <f>IFERROR(IF($H383+1&lt;'General Info and Liability'!$B$15+1,'General Info and Liability'!$D$19,""),"")</f>
        <v/>
      </c>
      <c r="V384" t="str">
        <f>IFERROR(IF($H383+1&lt;'General Info and Liability'!$B$15+1,'General Info and Liability'!$B$14,""),"")</f>
        <v/>
      </c>
      <c r="W384" t="str">
        <f>IFERROR(IF($H383+1&lt;'General Info and Liability'!$B$15+1,'General Info and Liability'!$D$20,""),"")</f>
        <v/>
      </c>
    </row>
    <row r="385" spans="8:23" ht="16.5" customHeight="1">
      <c r="H385" t="str">
        <f>IFERROR(IF(H384+1&lt;'General Info and Liability'!$B$15+1,'Property Schedule'!H384+1,""),"")</f>
        <v/>
      </c>
      <c r="J385" s="8"/>
      <c r="K385" s="7" t="str">
        <f>IFERROR(IF($H384+1&lt;'General Info and Liability'!$B$15+1,'General Info and Liability'!$B$18/'General Info and Liability'!$B$10*$L385,""),"")</f>
        <v/>
      </c>
      <c r="L385" s="8"/>
      <c r="M385" s="31" t="str">
        <f>IFERROR(IF($H384+1&lt;'General Info and Liability'!$B$15+1,'General Info and Liability'!$D$14/'General Info and Liability'!$B$10*$L385,""),"")</f>
        <v/>
      </c>
      <c r="N385" s="32" t="str">
        <f>IFERROR(IF($H384+1&lt;'General Info and Liability'!$B$15+1,'General Info and Liability'!$D$15/'General Info and Liability'!$B$10*$L385,""),"")</f>
        <v/>
      </c>
      <c r="O385" s="8"/>
      <c r="P385" s="8"/>
      <c r="Q385" t="str">
        <f>IFERROR(IF($H385+1&gt;0,'General Info and Liability'!$D$16,""),"")</f>
        <v/>
      </c>
      <c r="R385" t="str">
        <f>IFERROR(IF($H385+1&gt;0,'General Info and Liability'!$B$16,""),"")</f>
        <v/>
      </c>
      <c r="S385" t="str">
        <f>IFERROR(IF($H384+1&lt;'General Info and Liability'!$B$15+1,'General Info and Liability'!$D$17,""),"")</f>
        <v/>
      </c>
      <c r="T385" t="str">
        <f>IFERROR(IF($H384+1&lt;'General Info and Liability'!$B$15+1,'General Info and Liability'!$D$18,""),"")</f>
        <v/>
      </c>
      <c r="U385" t="str">
        <f>IFERROR(IF($H384+1&lt;'General Info and Liability'!$B$15+1,'General Info and Liability'!$D$19,""),"")</f>
        <v/>
      </c>
      <c r="V385" t="str">
        <f>IFERROR(IF($H384+1&lt;'General Info and Liability'!$B$15+1,'General Info and Liability'!$B$14,""),"")</f>
        <v/>
      </c>
      <c r="W385" t="str">
        <f>IFERROR(IF($H384+1&lt;'General Info and Liability'!$B$15+1,'General Info and Liability'!$D$20,""),"")</f>
        <v/>
      </c>
    </row>
    <row r="386" spans="8:23" ht="16.5" customHeight="1">
      <c r="H386" t="str">
        <f>IFERROR(IF(H385+1&lt;'General Info and Liability'!$B$15+1,'Property Schedule'!H385+1,""),"")</f>
        <v/>
      </c>
      <c r="J386" s="8"/>
      <c r="K386" s="7" t="str">
        <f>IFERROR(IF($H385+1&lt;'General Info and Liability'!$B$15+1,'General Info and Liability'!$B$18/'General Info and Liability'!$B$10*$L386,""),"")</f>
        <v/>
      </c>
      <c r="L386" s="8"/>
      <c r="M386" s="31" t="str">
        <f>IFERROR(IF($H385+1&lt;'General Info and Liability'!$B$15+1,'General Info and Liability'!$D$14/'General Info and Liability'!$B$10*$L386,""),"")</f>
        <v/>
      </c>
      <c r="N386" s="32" t="str">
        <f>IFERROR(IF($H385+1&lt;'General Info and Liability'!$B$15+1,'General Info and Liability'!$D$15/'General Info and Liability'!$B$10*$L386,""),"")</f>
        <v/>
      </c>
      <c r="O386" s="8"/>
      <c r="P386" s="8"/>
      <c r="Q386" t="str">
        <f>IFERROR(IF($H386+1&gt;0,'General Info and Liability'!$D$16,""),"")</f>
        <v/>
      </c>
      <c r="R386" t="str">
        <f>IFERROR(IF($H386+1&gt;0,'General Info and Liability'!$B$16,""),"")</f>
        <v/>
      </c>
      <c r="S386" t="str">
        <f>IFERROR(IF($H385+1&lt;'General Info and Liability'!$B$15+1,'General Info and Liability'!$D$17,""),"")</f>
        <v/>
      </c>
      <c r="T386" t="str">
        <f>IFERROR(IF($H385+1&lt;'General Info and Liability'!$B$15+1,'General Info and Liability'!$D$18,""),"")</f>
        <v/>
      </c>
      <c r="U386" t="str">
        <f>IFERROR(IF($H385+1&lt;'General Info and Liability'!$B$15+1,'General Info and Liability'!$D$19,""),"")</f>
        <v/>
      </c>
      <c r="V386" t="str">
        <f>IFERROR(IF($H385+1&lt;'General Info and Liability'!$B$15+1,'General Info and Liability'!$B$14,""),"")</f>
        <v/>
      </c>
      <c r="W386" t="str">
        <f>IFERROR(IF($H385+1&lt;'General Info and Liability'!$B$15+1,'General Info and Liability'!$D$20,""),"")</f>
        <v/>
      </c>
    </row>
    <row r="387" spans="8:23" ht="16.5" customHeight="1">
      <c r="H387" t="str">
        <f>IFERROR(IF(H386+1&lt;'General Info and Liability'!$B$15+1,'Property Schedule'!H386+1,""),"")</f>
        <v/>
      </c>
      <c r="J387" s="8"/>
      <c r="K387" s="7" t="str">
        <f>IFERROR(IF($H386+1&lt;'General Info and Liability'!$B$15+1,'General Info and Liability'!$B$18/'General Info and Liability'!$B$10*$L387,""),"")</f>
        <v/>
      </c>
      <c r="L387" s="8"/>
      <c r="M387" s="31" t="str">
        <f>IFERROR(IF($H386+1&lt;'General Info and Liability'!$B$15+1,'General Info and Liability'!$D$14/'General Info and Liability'!$B$10*$L387,""),"")</f>
        <v/>
      </c>
      <c r="N387" s="32" t="str">
        <f>IFERROR(IF($H386+1&lt;'General Info and Liability'!$B$15+1,'General Info and Liability'!$D$15/'General Info and Liability'!$B$10*$L387,""),"")</f>
        <v/>
      </c>
      <c r="O387" s="8"/>
      <c r="P387" s="8"/>
      <c r="Q387" t="str">
        <f>IFERROR(IF($H387+1&gt;0,'General Info and Liability'!$D$16,""),"")</f>
        <v/>
      </c>
      <c r="R387" t="str">
        <f>IFERROR(IF($H387+1&gt;0,'General Info and Liability'!$B$16,""),"")</f>
        <v/>
      </c>
      <c r="S387" t="str">
        <f>IFERROR(IF($H386+1&lt;'General Info and Liability'!$B$15+1,'General Info and Liability'!$D$17,""),"")</f>
        <v/>
      </c>
      <c r="T387" t="str">
        <f>IFERROR(IF($H386+1&lt;'General Info and Liability'!$B$15+1,'General Info and Liability'!$D$18,""),"")</f>
        <v/>
      </c>
      <c r="U387" t="str">
        <f>IFERROR(IF($H386+1&lt;'General Info and Liability'!$B$15+1,'General Info and Liability'!$D$19,""),"")</f>
        <v/>
      </c>
      <c r="V387" t="str">
        <f>IFERROR(IF($H386+1&lt;'General Info and Liability'!$B$15+1,'General Info and Liability'!$B$14,""),"")</f>
        <v/>
      </c>
      <c r="W387" t="str">
        <f>IFERROR(IF($H386+1&lt;'General Info and Liability'!$B$15+1,'General Info and Liability'!$D$20,""),"")</f>
        <v/>
      </c>
    </row>
    <row r="388" spans="8:23" ht="16.5" customHeight="1">
      <c r="H388" t="str">
        <f>IFERROR(IF(H387+1&lt;'General Info and Liability'!$B$15+1,'Property Schedule'!H387+1,""),"")</f>
        <v/>
      </c>
      <c r="J388" s="8"/>
      <c r="K388" s="7" t="str">
        <f>IFERROR(IF($H387+1&lt;'General Info and Liability'!$B$15+1,'General Info and Liability'!$B$18/'General Info and Liability'!$B$10*$L388,""),"")</f>
        <v/>
      </c>
      <c r="L388" s="8"/>
      <c r="M388" s="31" t="str">
        <f>IFERROR(IF($H387+1&lt;'General Info and Liability'!$B$15+1,'General Info and Liability'!$D$14/'General Info and Liability'!$B$10*$L388,""),"")</f>
        <v/>
      </c>
      <c r="N388" s="32" t="str">
        <f>IFERROR(IF($H387+1&lt;'General Info and Liability'!$B$15+1,'General Info and Liability'!$D$15/'General Info and Liability'!$B$10*$L388,""),"")</f>
        <v/>
      </c>
      <c r="O388" s="8"/>
      <c r="P388" s="8"/>
      <c r="Q388" t="str">
        <f>IFERROR(IF($H388+1&gt;0,'General Info and Liability'!$D$16,""),"")</f>
        <v/>
      </c>
      <c r="R388" t="str">
        <f>IFERROR(IF($H388+1&gt;0,'General Info and Liability'!$B$16,""),"")</f>
        <v/>
      </c>
      <c r="S388" t="str">
        <f>IFERROR(IF($H387+1&lt;'General Info and Liability'!$B$15+1,'General Info and Liability'!$D$17,""),"")</f>
        <v/>
      </c>
      <c r="T388" t="str">
        <f>IFERROR(IF($H387+1&lt;'General Info and Liability'!$B$15+1,'General Info and Liability'!$D$18,""),"")</f>
        <v/>
      </c>
      <c r="U388" t="str">
        <f>IFERROR(IF($H387+1&lt;'General Info and Liability'!$B$15+1,'General Info and Liability'!$D$19,""),"")</f>
        <v/>
      </c>
      <c r="V388" t="str">
        <f>IFERROR(IF($H387+1&lt;'General Info and Liability'!$B$15+1,'General Info and Liability'!$B$14,""),"")</f>
        <v/>
      </c>
      <c r="W388" t="str">
        <f>IFERROR(IF($H387+1&lt;'General Info and Liability'!$B$15+1,'General Info and Liability'!$D$20,""),"")</f>
        <v/>
      </c>
    </row>
    <row r="389" spans="8:23" ht="16.5" customHeight="1">
      <c r="H389" t="str">
        <f>IFERROR(IF(H388+1&lt;'General Info and Liability'!$B$15+1,'Property Schedule'!H388+1,""),"")</f>
        <v/>
      </c>
      <c r="J389" s="8"/>
      <c r="K389" s="7" t="str">
        <f>IFERROR(IF($H388+1&lt;'General Info and Liability'!$B$15+1,'General Info and Liability'!$B$18/'General Info and Liability'!$B$10*$L389,""),"")</f>
        <v/>
      </c>
      <c r="L389" s="8"/>
      <c r="M389" s="31" t="str">
        <f>IFERROR(IF($H388+1&lt;'General Info and Liability'!$B$15+1,'General Info and Liability'!$D$14/'General Info and Liability'!$B$10*$L389,""),"")</f>
        <v/>
      </c>
      <c r="N389" s="32" t="str">
        <f>IFERROR(IF($H388+1&lt;'General Info and Liability'!$B$15+1,'General Info and Liability'!$D$15/'General Info and Liability'!$B$10*$L389,""),"")</f>
        <v/>
      </c>
      <c r="O389" s="8"/>
      <c r="P389" s="8"/>
      <c r="Q389" t="str">
        <f>IFERROR(IF($H389+1&gt;0,'General Info and Liability'!$D$16,""),"")</f>
        <v/>
      </c>
      <c r="R389" t="str">
        <f>IFERROR(IF($H389+1&gt;0,'General Info and Liability'!$B$16,""),"")</f>
        <v/>
      </c>
      <c r="S389" t="str">
        <f>IFERROR(IF($H388+1&lt;'General Info and Liability'!$B$15+1,'General Info and Liability'!$D$17,""),"")</f>
        <v/>
      </c>
      <c r="T389" t="str">
        <f>IFERROR(IF($H388+1&lt;'General Info and Liability'!$B$15+1,'General Info and Liability'!$D$18,""),"")</f>
        <v/>
      </c>
      <c r="U389" t="str">
        <f>IFERROR(IF($H388+1&lt;'General Info and Liability'!$B$15+1,'General Info and Liability'!$D$19,""),"")</f>
        <v/>
      </c>
      <c r="V389" t="str">
        <f>IFERROR(IF($H388+1&lt;'General Info and Liability'!$B$15+1,'General Info and Liability'!$B$14,""),"")</f>
        <v/>
      </c>
      <c r="W389" t="str">
        <f>IFERROR(IF($H388+1&lt;'General Info and Liability'!$B$15+1,'General Info and Liability'!$D$20,""),"")</f>
        <v/>
      </c>
    </row>
    <row r="390" spans="8:23" ht="16.5" customHeight="1">
      <c r="H390" t="str">
        <f>IFERROR(IF(H389+1&lt;'General Info and Liability'!$B$15+1,'Property Schedule'!H389+1,""),"")</f>
        <v/>
      </c>
      <c r="J390" s="8"/>
      <c r="K390" s="7" t="str">
        <f>IFERROR(IF($H389+1&lt;'General Info and Liability'!$B$15+1,'General Info and Liability'!$B$18/'General Info and Liability'!$B$10*$L390,""),"")</f>
        <v/>
      </c>
      <c r="L390" s="8"/>
      <c r="M390" s="31" t="str">
        <f>IFERROR(IF($H389+1&lt;'General Info and Liability'!$B$15+1,'General Info and Liability'!$D$14/'General Info and Liability'!$B$10*$L390,""),"")</f>
        <v/>
      </c>
      <c r="N390" s="32" t="str">
        <f>IFERROR(IF($H389+1&lt;'General Info and Liability'!$B$15+1,'General Info and Liability'!$D$15/'General Info and Liability'!$B$10*$L390,""),"")</f>
        <v/>
      </c>
      <c r="O390" s="8"/>
      <c r="P390" s="8"/>
      <c r="Q390" t="str">
        <f>IFERROR(IF($H390+1&gt;0,'General Info and Liability'!$D$16,""),"")</f>
        <v/>
      </c>
      <c r="R390" t="str">
        <f>IFERROR(IF($H390+1&gt;0,'General Info and Liability'!$B$16,""),"")</f>
        <v/>
      </c>
      <c r="S390" t="str">
        <f>IFERROR(IF($H389+1&lt;'General Info and Liability'!$B$15+1,'General Info and Liability'!$D$17,""),"")</f>
        <v/>
      </c>
      <c r="T390" t="str">
        <f>IFERROR(IF($H389+1&lt;'General Info and Liability'!$B$15+1,'General Info and Liability'!$D$18,""),"")</f>
        <v/>
      </c>
      <c r="U390" t="str">
        <f>IFERROR(IF($H389+1&lt;'General Info and Liability'!$B$15+1,'General Info and Liability'!$D$19,""),"")</f>
        <v/>
      </c>
      <c r="V390" t="str">
        <f>IFERROR(IF($H389+1&lt;'General Info and Liability'!$B$15+1,'General Info and Liability'!$B$14,""),"")</f>
        <v/>
      </c>
      <c r="W390" t="str">
        <f>IFERROR(IF($H389+1&lt;'General Info and Liability'!$B$15+1,'General Info and Liability'!$D$20,""),"")</f>
        <v/>
      </c>
    </row>
    <row r="391" spans="8:23" ht="16.5" customHeight="1">
      <c r="H391" t="str">
        <f>IFERROR(IF(H390+1&lt;'General Info and Liability'!$B$15+1,'Property Schedule'!H390+1,""),"")</f>
        <v/>
      </c>
      <c r="J391" s="8"/>
      <c r="K391" s="7" t="str">
        <f>IFERROR(IF($H390+1&lt;'General Info and Liability'!$B$15+1,'General Info and Liability'!$B$18/'General Info and Liability'!$B$10*$L391,""),"")</f>
        <v/>
      </c>
      <c r="L391" s="8"/>
      <c r="M391" s="31" t="str">
        <f>IFERROR(IF($H390+1&lt;'General Info and Liability'!$B$15+1,'General Info and Liability'!$D$14/'General Info and Liability'!$B$10*$L391,""),"")</f>
        <v/>
      </c>
      <c r="N391" s="32" t="str">
        <f>IFERROR(IF($H390+1&lt;'General Info and Liability'!$B$15+1,'General Info and Liability'!$D$15/'General Info and Liability'!$B$10*$L391,""),"")</f>
        <v/>
      </c>
      <c r="O391" s="8"/>
      <c r="P391" s="8"/>
      <c r="Q391" t="str">
        <f>IFERROR(IF($H391+1&gt;0,'General Info and Liability'!$D$16,""),"")</f>
        <v/>
      </c>
      <c r="R391" t="str">
        <f>IFERROR(IF($H391+1&gt;0,'General Info and Liability'!$B$16,""),"")</f>
        <v/>
      </c>
      <c r="S391" t="str">
        <f>IFERROR(IF($H390+1&lt;'General Info and Liability'!$B$15+1,'General Info and Liability'!$D$17,""),"")</f>
        <v/>
      </c>
      <c r="T391" t="str">
        <f>IFERROR(IF($H390+1&lt;'General Info and Liability'!$B$15+1,'General Info and Liability'!$D$18,""),"")</f>
        <v/>
      </c>
      <c r="U391" t="str">
        <f>IFERROR(IF($H390+1&lt;'General Info and Liability'!$B$15+1,'General Info and Liability'!$D$19,""),"")</f>
        <v/>
      </c>
      <c r="V391" t="str">
        <f>IFERROR(IF($H390+1&lt;'General Info and Liability'!$B$15+1,'General Info and Liability'!$B$14,""),"")</f>
        <v/>
      </c>
      <c r="W391" t="str">
        <f>IFERROR(IF($H390+1&lt;'General Info and Liability'!$B$15+1,'General Info and Liability'!$D$20,""),"")</f>
        <v/>
      </c>
    </row>
    <row r="392" spans="8:23" ht="16.5" customHeight="1">
      <c r="H392" t="str">
        <f>IFERROR(IF(H391+1&lt;'General Info and Liability'!$B$15+1,'Property Schedule'!H391+1,""),"")</f>
        <v/>
      </c>
      <c r="J392" s="8"/>
      <c r="K392" s="7" t="str">
        <f>IFERROR(IF($H391+1&lt;'General Info and Liability'!$B$15+1,'General Info and Liability'!$B$18/'General Info and Liability'!$B$10*$L392,""),"")</f>
        <v/>
      </c>
      <c r="L392" s="8"/>
      <c r="M392" s="31" t="str">
        <f>IFERROR(IF($H391+1&lt;'General Info and Liability'!$B$15+1,'General Info and Liability'!$D$14/'General Info and Liability'!$B$10*$L392,""),"")</f>
        <v/>
      </c>
      <c r="N392" s="32" t="str">
        <f>IFERROR(IF($H391+1&lt;'General Info and Liability'!$B$15+1,'General Info and Liability'!$D$15/'General Info and Liability'!$B$10*$L392,""),"")</f>
        <v/>
      </c>
      <c r="O392" s="8"/>
      <c r="P392" s="8"/>
      <c r="Q392" t="str">
        <f>IFERROR(IF($H392+1&gt;0,'General Info and Liability'!$D$16,""),"")</f>
        <v/>
      </c>
      <c r="R392" t="str">
        <f>IFERROR(IF($H392+1&gt;0,'General Info and Liability'!$B$16,""),"")</f>
        <v/>
      </c>
      <c r="S392" t="str">
        <f>IFERROR(IF($H391+1&lt;'General Info and Liability'!$B$15+1,'General Info and Liability'!$D$17,""),"")</f>
        <v/>
      </c>
      <c r="T392" t="str">
        <f>IFERROR(IF($H391+1&lt;'General Info and Liability'!$B$15+1,'General Info and Liability'!$D$18,""),"")</f>
        <v/>
      </c>
      <c r="U392" t="str">
        <f>IFERROR(IF($H391+1&lt;'General Info and Liability'!$B$15+1,'General Info and Liability'!$D$19,""),"")</f>
        <v/>
      </c>
      <c r="V392" t="str">
        <f>IFERROR(IF($H391+1&lt;'General Info and Liability'!$B$15+1,'General Info and Liability'!$B$14,""),"")</f>
        <v/>
      </c>
      <c r="W392" t="str">
        <f>IFERROR(IF($H391+1&lt;'General Info and Liability'!$B$15+1,'General Info and Liability'!$D$20,""),"")</f>
        <v/>
      </c>
    </row>
    <row r="393" spans="8:23" ht="16.5" customHeight="1">
      <c r="H393" t="str">
        <f>IFERROR(IF(H392+1&lt;'General Info and Liability'!$B$15+1,'Property Schedule'!H392+1,""),"")</f>
        <v/>
      </c>
      <c r="J393" s="8"/>
      <c r="K393" s="7" t="str">
        <f>IFERROR(IF($H392+1&lt;'General Info and Liability'!$B$15+1,'General Info and Liability'!$B$18/'General Info and Liability'!$B$10*$L393,""),"")</f>
        <v/>
      </c>
      <c r="L393" s="8"/>
      <c r="M393" s="31" t="str">
        <f>IFERROR(IF($H392+1&lt;'General Info and Liability'!$B$15+1,'General Info and Liability'!$D$14/'General Info and Liability'!$B$10*$L393,""),"")</f>
        <v/>
      </c>
      <c r="N393" s="32" t="str">
        <f>IFERROR(IF($H392+1&lt;'General Info and Liability'!$B$15+1,'General Info and Liability'!$D$15/'General Info and Liability'!$B$10*$L393,""),"")</f>
        <v/>
      </c>
      <c r="O393" s="8"/>
      <c r="P393" s="8"/>
      <c r="Q393" t="str">
        <f>IFERROR(IF($H393+1&gt;0,'General Info and Liability'!$D$16,""),"")</f>
        <v/>
      </c>
      <c r="R393" t="str">
        <f>IFERROR(IF($H393+1&gt;0,'General Info and Liability'!$B$16,""),"")</f>
        <v/>
      </c>
      <c r="S393" t="str">
        <f>IFERROR(IF($H392+1&lt;'General Info and Liability'!$B$15+1,'General Info and Liability'!$D$17,""),"")</f>
        <v/>
      </c>
      <c r="T393" t="str">
        <f>IFERROR(IF($H392+1&lt;'General Info and Liability'!$B$15+1,'General Info and Liability'!$D$18,""),"")</f>
        <v/>
      </c>
      <c r="U393" t="str">
        <f>IFERROR(IF($H392+1&lt;'General Info and Liability'!$B$15+1,'General Info and Liability'!$D$19,""),"")</f>
        <v/>
      </c>
      <c r="V393" t="str">
        <f>IFERROR(IF($H392+1&lt;'General Info and Liability'!$B$15+1,'General Info and Liability'!$B$14,""),"")</f>
        <v/>
      </c>
      <c r="W393" t="str">
        <f>IFERROR(IF($H392+1&lt;'General Info and Liability'!$B$15+1,'General Info and Liability'!$D$20,""),"")</f>
        <v/>
      </c>
    </row>
    <row r="394" spans="8:23" ht="16.5" customHeight="1">
      <c r="H394" t="str">
        <f>IFERROR(IF(H393+1&lt;'General Info and Liability'!$B$15+1,'Property Schedule'!H393+1,""),"")</f>
        <v/>
      </c>
      <c r="J394" s="8"/>
      <c r="K394" s="7" t="str">
        <f>IFERROR(IF($H393+1&lt;'General Info and Liability'!$B$15+1,'General Info and Liability'!$B$18/'General Info and Liability'!$B$10*$L394,""),"")</f>
        <v/>
      </c>
      <c r="L394" s="8"/>
      <c r="M394" s="31" t="str">
        <f>IFERROR(IF($H393+1&lt;'General Info and Liability'!$B$15+1,'General Info and Liability'!$D$14/'General Info and Liability'!$B$10*$L394,""),"")</f>
        <v/>
      </c>
      <c r="N394" s="32" t="str">
        <f>IFERROR(IF($H393+1&lt;'General Info and Liability'!$B$15+1,'General Info and Liability'!$D$15/'General Info and Liability'!$B$10*$L394,""),"")</f>
        <v/>
      </c>
      <c r="O394" s="8"/>
      <c r="P394" s="8"/>
      <c r="Q394" t="str">
        <f>IFERROR(IF($H394+1&gt;0,'General Info and Liability'!$D$16,""),"")</f>
        <v/>
      </c>
      <c r="R394" t="str">
        <f>IFERROR(IF($H394+1&gt;0,'General Info and Liability'!$B$16,""),"")</f>
        <v/>
      </c>
      <c r="S394" t="str">
        <f>IFERROR(IF($H393+1&lt;'General Info and Liability'!$B$15+1,'General Info and Liability'!$D$17,""),"")</f>
        <v/>
      </c>
      <c r="T394" t="str">
        <f>IFERROR(IF($H393+1&lt;'General Info and Liability'!$B$15+1,'General Info and Liability'!$D$18,""),"")</f>
        <v/>
      </c>
      <c r="U394" t="str">
        <f>IFERROR(IF($H393+1&lt;'General Info and Liability'!$B$15+1,'General Info and Liability'!$D$19,""),"")</f>
        <v/>
      </c>
      <c r="V394" t="str">
        <f>IFERROR(IF($H393+1&lt;'General Info and Liability'!$B$15+1,'General Info and Liability'!$B$14,""),"")</f>
        <v/>
      </c>
      <c r="W394" t="str">
        <f>IFERROR(IF($H393+1&lt;'General Info and Liability'!$B$15+1,'General Info and Liability'!$D$20,""),"")</f>
        <v/>
      </c>
    </row>
    <row r="395" spans="8:23" ht="16.5" customHeight="1">
      <c r="H395" t="str">
        <f>IFERROR(IF(H394+1&lt;'General Info and Liability'!$B$15+1,'Property Schedule'!H394+1,""),"")</f>
        <v/>
      </c>
      <c r="J395" s="8"/>
      <c r="K395" s="7" t="str">
        <f>IFERROR(IF($H394+1&lt;'General Info and Liability'!$B$15+1,'General Info and Liability'!$B$18/'General Info and Liability'!$B$10*$L395,""),"")</f>
        <v/>
      </c>
      <c r="L395" s="8"/>
      <c r="M395" s="31" t="str">
        <f>IFERROR(IF($H394+1&lt;'General Info and Liability'!$B$15+1,'General Info and Liability'!$D$14/'General Info and Liability'!$B$10*$L395,""),"")</f>
        <v/>
      </c>
      <c r="N395" s="32" t="str">
        <f>IFERROR(IF($H394+1&lt;'General Info and Liability'!$B$15+1,'General Info and Liability'!$D$15/'General Info and Liability'!$B$10*$L395,""),"")</f>
        <v/>
      </c>
      <c r="O395" s="8"/>
      <c r="P395" s="8"/>
      <c r="Q395" t="str">
        <f>IFERROR(IF($H395+1&gt;0,'General Info and Liability'!$D$16,""),"")</f>
        <v/>
      </c>
      <c r="R395" t="str">
        <f>IFERROR(IF($H395+1&gt;0,'General Info and Liability'!$B$16,""),"")</f>
        <v/>
      </c>
      <c r="S395" t="str">
        <f>IFERROR(IF($H394+1&lt;'General Info and Liability'!$B$15+1,'General Info and Liability'!$D$17,""),"")</f>
        <v/>
      </c>
      <c r="T395" t="str">
        <f>IFERROR(IF($H394+1&lt;'General Info and Liability'!$B$15+1,'General Info and Liability'!$D$18,""),"")</f>
        <v/>
      </c>
      <c r="U395" t="str">
        <f>IFERROR(IF($H394+1&lt;'General Info and Liability'!$B$15+1,'General Info and Liability'!$D$19,""),"")</f>
        <v/>
      </c>
      <c r="V395" t="str">
        <f>IFERROR(IF($H394+1&lt;'General Info and Liability'!$B$15+1,'General Info and Liability'!$B$14,""),"")</f>
        <v/>
      </c>
      <c r="W395" t="str">
        <f>IFERROR(IF($H394+1&lt;'General Info and Liability'!$B$15+1,'General Info and Liability'!$D$20,""),"")</f>
        <v/>
      </c>
    </row>
    <row r="396" spans="8:23" ht="16.5" customHeight="1">
      <c r="H396" t="str">
        <f>IFERROR(IF(H395+1&lt;'General Info and Liability'!$B$15+1,'Property Schedule'!H395+1,""),"")</f>
        <v/>
      </c>
      <c r="J396" s="8"/>
      <c r="K396" s="7" t="str">
        <f>IFERROR(IF($H395+1&lt;'General Info and Liability'!$B$15+1,'General Info and Liability'!$B$18/'General Info and Liability'!$B$10*$L396,""),"")</f>
        <v/>
      </c>
      <c r="L396" s="8"/>
      <c r="M396" s="31" t="str">
        <f>IFERROR(IF($H395+1&lt;'General Info and Liability'!$B$15+1,'General Info and Liability'!$D$14/'General Info and Liability'!$B$10*$L396,""),"")</f>
        <v/>
      </c>
      <c r="N396" s="32" t="str">
        <f>IFERROR(IF($H395+1&lt;'General Info and Liability'!$B$15+1,'General Info and Liability'!$D$15/'General Info and Liability'!$B$10*$L396,""),"")</f>
        <v/>
      </c>
      <c r="O396" s="8"/>
      <c r="P396" s="8"/>
      <c r="Q396" t="str">
        <f>IFERROR(IF($H396+1&gt;0,'General Info and Liability'!$D$16,""),"")</f>
        <v/>
      </c>
      <c r="R396" t="str">
        <f>IFERROR(IF($H396+1&gt;0,'General Info and Liability'!$B$16,""),"")</f>
        <v/>
      </c>
      <c r="S396" t="str">
        <f>IFERROR(IF($H395+1&lt;'General Info and Liability'!$B$15+1,'General Info and Liability'!$D$17,""),"")</f>
        <v/>
      </c>
      <c r="T396" t="str">
        <f>IFERROR(IF($H395+1&lt;'General Info and Liability'!$B$15+1,'General Info and Liability'!$D$18,""),"")</f>
        <v/>
      </c>
      <c r="U396" t="str">
        <f>IFERROR(IF($H395+1&lt;'General Info and Liability'!$B$15+1,'General Info and Liability'!$D$19,""),"")</f>
        <v/>
      </c>
      <c r="V396" t="str">
        <f>IFERROR(IF($H395+1&lt;'General Info and Liability'!$B$15+1,'General Info and Liability'!$B$14,""),"")</f>
        <v/>
      </c>
      <c r="W396" t="str">
        <f>IFERROR(IF($H395+1&lt;'General Info and Liability'!$B$15+1,'General Info and Liability'!$D$20,""),"")</f>
        <v/>
      </c>
    </row>
    <row r="397" spans="8:23" ht="16.5" customHeight="1">
      <c r="H397" t="str">
        <f>IFERROR(IF(H396+1&lt;'General Info and Liability'!$B$15+1,'Property Schedule'!H396+1,""),"")</f>
        <v/>
      </c>
      <c r="J397" s="8"/>
      <c r="K397" s="7" t="str">
        <f>IFERROR(IF($H396+1&lt;'General Info and Liability'!$B$15+1,'General Info and Liability'!$B$18/'General Info and Liability'!$B$10*$L397,""),"")</f>
        <v/>
      </c>
      <c r="L397" s="8"/>
      <c r="M397" s="31" t="str">
        <f>IFERROR(IF($H396+1&lt;'General Info and Liability'!$B$15+1,'General Info and Liability'!$D$14/'General Info and Liability'!$B$10*$L397,""),"")</f>
        <v/>
      </c>
      <c r="N397" s="32" t="str">
        <f>IFERROR(IF($H396+1&lt;'General Info and Liability'!$B$15+1,'General Info and Liability'!$D$15/'General Info and Liability'!$B$10*$L397,""),"")</f>
        <v/>
      </c>
      <c r="O397" s="8"/>
      <c r="P397" s="8"/>
      <c r="Q397" t="str">
        <f>IFERROR(IF($H397+1&gt;0,'General Info and Liability'!$D$16,""),"")</f>
        <v/>
      </c>
      <c r="R397" t="str">
        <f>IFERROR(IF($H397+1&gt;0,'General Info and Liability'!$B$16,""),"")</f>
        <v/>
      </c>
      <c r="S397" t="str">
        <f>IFERROR(IF($H396+1&lt;'General Info and Liability'!$B$15+1,'General Info and Liability'!$D$17,""),"")</f>
        <v/>
      </c>
      <c r="T397" t="str">
        <f>IFERROR(IF($H396+1&lt;'General Info and Liability'!$B$15+1,'General Info and Liability'!$D$18,""),"")</f>
        <v/>
      </c>
      <c r="U397" t="str">
        <f>IFERROR(IF($H396+1&lt;'General Info and Liability'!$B$15+1,'General Info and Liability'!$D$19,""),"")</f>
        <v/>
      </c>
      <c r="V397" t="str">
        <f>IFERROR(IF($H396+1&lt;'General Info and Liability'!$B$15+1,'General Info and Liability'!$B$14,""),"")</f>
        <v/>
      </c>
      <c r="W397" t="str">
        <f>IFERROR(IF($H396+1&lt;'General Info and Liability'!$B$15+1,'General Info and Liability'!$D$20,""),"")</f>
        <v/>
      </c>
    </row>
    <row r="398" spans="8:23" ht="16.5" customHeight="1">
      <c r="H398" t="str">
        <f>IFERROR(IF(H397+1&lt;'General Info and Liability'!$B$15+1,'Property Schedule'!H397+1,""),"")</f>
        <v/>
      </c>
      <c r="J398" s="8"/>
      <c r="K398" s="7" t="str">
        <f>IFERROR(IF($H397+1&lt;'General Info and Liability'!$B$15+1,'General Info and Liability'!$B$18/'General Info and Liability'!$B$10*$L398,""),"")</f>
        <v/>
      </c>
      <c r="L398" s="8"/>
      <c r="M398" s="31" t="str">
        <f>IFERROR(IF($H397+1&lt;'General Info and Liability'!$B$15+1,'General Info and Liability'!$D$14/'General Info and Liability'!$B$10*$L398,""),"")</f>
        <v/>
      </c>
      <c r="N398" s="32" t="str">
        <f>IFERROR(IF($H397+1&lt;'General Info and Liability'!$B$15+1,'General Info and Liability'!$D$15/'General Info and Liability'!$B$10*$L398,""),"")</f>
        <v/>
      </c>
      <c r="O398" s="8"/>
      <c r="P398" s="8"/>
      <c r="Q398" t="str">
        <f>IFERROR(IF($H398+1&gt;0,'General Info and Liability'!$D$16,""),"")</f>
        <v/>
      </c>
      <c r="R398" t="str">
        <f>IFERROR(IF($H398+1&gt;0,'General Info and Liability'!$B$16,""),"")</f>
        <v/>
      </c>
      <c r="S398" t="str">
        <f>IFERROR(IF($H397+1&lt;'General Info and Liability'!$B$15+1,'General Info and Liability'!$D$17,""),"")</f>
        <v/>
      </c>
      <c r="T398" t="str">
        <f>IFERROR(IF($H397+1&lt;'General Info and Liability'!$B$15+1,'General Info and Liability'!$D$18,""),"")</f>
        <v/>
      </c>
      <c r="U398" t="str">
        <f>IFERROR(IF($H397+1&lt;'General Info and Liability'!$B$15+1,'General Info and Liability'!$D$19,""),"")</f>
        <v/>
      </c>
      <c r="V398" t="str">
        <f>IFERROR(IF($H397+1&lt;'General Info and Liability'!$B$15+1,'General Info and Liability'!$B$14,""),"")</f>
        <v/>
      </c>
      <c r="W398" t="str">
        <f>IFERROR(IF($H397+1&lt;'General Info and Liability'!$B$15+1,'General Info and Liability'!$D$20,""),"")</f>
        <v/>
      </c>
    </row>
    <row r="399" spans="8:23" ht="16.5" customHeight="1">
      <c r="H399" t="str">
        <f>IFERROR(IF(H398+1&lt;'General Info and Liability'!$B$15+1,'Property Schedule'!H398+1,""),"")</f>
        <v/>
      </c>
      <c r="J399" s="8"/>
      <c r="K399" s="7" t="str">
        <f>IFERROR(IF($H398+1&lt;'General Info and Liability'!$B$15+1,'General Info and Liability'!$B$18/'General Info and Liability'!$B$10*$L399,""),"")</f>
        <v/>
      </c>
      <c r="L399" s="8"/>
      <c r="M399" s="31" t="str">
        <f>IFERROR(IF($H398+1&lt;'General Info and Liability'!$B$15+1,'General Info and Liability'!$D$14/'General Info and Liability'!$B$10*$L399,""),"")</f>
        <v/>
      </c>
      <c r="N399" s="32" t="str">
        <f>IFERROR(IF($H398+1&lt;'General Info and Liability'!$B$15+1,'General Info and Liability'!$D$15/'General Info and Liability'!$B$10*$L399,""),"")</f>
        <v/>
      </c>
      <c r="O399" s="8"/>
      <c r="P399" s="8"/>
      <c r="Q399" t="str">
        <f>IFERROR(IF($H399+1&gt;0,'General Info and Liability'!$D$16,""),"")</f>
        <v/>
      </c>
      <c r="R399" t="str">
        <f>IFERROR(IF($H399+1&gt;0,'General Info and Liability'!$B$16,""),"")</f>
        <v/>
      </c>
      <c r="S399" t="str">
        <f>IFERROR(IF($H398+1&lt;'General Info and Liability'!$B$15+1,'General Info and Liability'!$D$17,""),"")</f>
        <v/>
      </c>
      <c r="T399" t="str">
        <f>IFERROR(IF($H398+1&lt;'General Info and Liability'!$B$15+1,'General Info and Liability'!$D$18,""),"")</f>
        <v/>
      </c>
      <c r="U399" t="str">
        <f>IFERROR(IF($H398+1&lt;'General Info and Liability'!$B$15+1,'General Info and Liability'!$D$19,""),"")</f>
        <v/>
      </c>
      <c r="V399" t="str">
        <f>IFERROR(IF($H398+1&lt;'General Info and Liability'!$B$15+1,'General Info and Liability'!$B$14,""),"")</f>
        <v/>
      </c>
      <c r="W399" t="str">
        <f>IFERROR(IF($H398+1&lt;'General Info and Liability'!$B$15+1,'General Info and Liability'!$D$20,""),"")</f>
        <v/>
      </c>
    </row>
    <row r="400" spans="8:23" ht="16.5" customHeight="1">
      <c r="H400" t="str">
        <f>IFERROR(IF(H399+1&lt;'General Info and Liability'!$B$15+1,'Property Schedule'!H399+1,""),"")</f>
        <v/>
      </c>
      <c r="J400" s="8"/>
      <c r="K400" s="7" t="str">
        <f>IFERROR(IF($H399+1&lt;'General Info and Liability'!$B$15+1,'General Info and Liability'!$B$18/'General Info and Liability'!$B$10*$L400,""),"")</f>
        <v/>
      </c>
      <c r="L400" s="8"/>
      <c r="M400" s="31" t="str">
        <f>IFERROR(IF($H399+1&lt;'General Info and Liability'!$B$15+1,'General Info and Liability'!$D$14/'General Info and Liability'!$B$10*$L400,""),"")</f>
        <v/>
      </c>
      <c r="N400" s="32" t="str">
        <f>IFERROR(IF($H399+1&lt;'General Info and Liability'!$B$15+1,'General Info and Liability'!$D$15/'General Info and Liability'!$B$10*$L400,""),"")</f>
        <v/>
      </c>
      <c r="O400" s="8"/>
      <c r="P400" s="8"/>
      <c r="Q400" t="str">
        <f>IFERROR(IF($H400+1&gt;0,'General Info and Liability'!$D$16,""),"")</f>
        <v/>
      </c>
      <c r="R400" t="str">
        <f>IFERROR(IF($H400+1&gt;0,'General Info and Liability'!$B$16,""),"")</f>
        <v/>
      </c>
      <c r="S400" t="str">
        <f>IFERROR(IF($H399+1&lt;'General Info and Liability'!$B$15+1,'General Info and Liability'!$D$17,""),"")</f>
        <v/>
      </c>
      <c r="T400" t="str">
        <f>IFERROR(IF($H399+1&lt;'General Info and Liability'!$B$15+1,'General Info and Liability'!$D$18,""),"")</f>
        <v/>
      </c>
      <c r="U400" t="str">
        <f>IFERROR(IF($H399+1&lt;'General Info and Liability'!$B$15+1,'General Info and Liability'!$D$19,""),"")</f>
        <v/>
      </c>
      <c r="V400" t="str">
        <f>IFERROR(IF($H399+1&lt;'General Info and Liability'!$B$15+1,'General Info and Liability'!$B$14,""),"")</f>
        <v/>
      </c>
      <c r="W400" t="str">
        <f>IFERROR(IF($H399+1&lt;'General Info and Liability'!$B$15+1,'General Info and Liability'!$D$20,""),"")</f>
        <v/>
      </c>
    </row>
    <row r="401" spans="8:23" ht="16.5" customHeight="1">
      <c r="H401" t="str">
        <f>IFERROR(IF(H400+1&lt;'General Info and Liability'!$B$15+1,'Property Schedule'!H400+1,""),"")</f>
        <v/>
      </c>
      <c r="J401" s="8"/>
      <c r="K401" s="7" t="str">
        <f>IFERROR(IF($H400+1&lt;'General Info and Liability'!$B$15+1,'General Info and Liability'!$B$18/'General Info and Liability'!$B$10*$L401,""),"")</f>
        <v/>
      </c>
      <c r="L401" s="8"/>
      <c r="M401" s="31" t="str">
        <f>IFERROR(IF($H400+1&lt;'General Info and Liability'!$B$15+1,'General Info and Liability'!$D$14/'General Info and Liability'!$B$10*$L401,""),"")</f>
        <v/>
      </c>
      <c r="N401" s="32" t="str">
        <f>IFERROR(IF($H400+1&lt;'General Info and Liability'!$B$15+1,'General Info and Liability'!$D$15/'General Info and Liability'!$B$10*$L401,""),"")</f>
        <v/>
      </c>
      <c r="O401" s="8"/>
      <c r="P401" s="8"/>
      <c r="Q401" t="str">
        <f>IFERROR(IF($H401+1&gt;0,'General Info and Liability'!$D$16,""),"")</f>
        <v/>
      </c>
      <c r="R401" t="str">
        <f>IFERROR(IF($H401+1&gt;0,'General Info and Liability'!$B$16,""),"")</f>
        <v/>
      </c>
      <c r="S401" t="str">
        <f>IFERROR(IF($H400+1&lt;'General Info and Liability'!$B$15+1,'General Info and Liability'!$D$17,""),"")</f>
        <v/>
      </c>
      <c r="T401" t="str">
        <f>IFERROR(IF($H400+1&lt;'General Info and Liability'!$B$15+1,'General Info and Liability'!$D$18,""),"")</f>
        <v/>
      </c>
      <c r="U401" t="str">
        <f>IFERROR(IF($H400+1&lt;'General Info and Liability'!$B$15+1,'General Info and Liability'!$D$19,""),"")</f>
        <v/>
      </c>
      <c r="V401" t="str">
        <f>IFERROR(IF($H400+1&lt;'General Info and Liability'!$B$15+1,'General Info and Liability'!$B$14,""),"")</f>
        <v/>
      </c>
      <c r="W401" t="str">
        <f>IFERROR(IF($H400+1&lt;'General Info and Liability'!$B$15+1,'General Info and Liability'!$D$20,""),"")</f>
        <v/>
      </c>
    </row>
    <row r="402" spans="8:23" ht="16.5" customHeight="1">
      <c r="H402" t="str">
        <f>IFERROR(IF(H401+1&lt;'General Info and Liability'!$B$15+1,'Property Schedule'!H401+1,""),"")</f>
        <v/>
      </c>
      <c r="J402" s="8"/>
      <c r="K402" s="7" t="str">
        <f>IFERROR(IF($H401+1&lt;'General Info and Liability'!$B$15+1,'General Info and Liability'!$B$18/'General Info and Liability'!$B$10*$L402,""),"")</f>
        <v/>
      </c>
      <c r="L402" s="8"/>
      <c r="M402" s="31" t="str">
        <f>IFERROR(IF($H401+1&lt;'General Info and Liability'!$B$15+1,'General Info and Liability'!$D$14/'General Info and Liability'!$B$10*$L402,""),"")</f>
        <v/>
      </c>
      <c r="N402" s="32" t="str">
        <f>IFERROR(IF($H401+1&lt;'General Info and Liability'!$B$15+1,'General Info and Liability'!$D$15/'General Info and Liability'!$B$10*$L402,""),"")</f>
        <v/>
      </c>
      <c r="O402" s="8"/>
      <c r="P402" s="8"/>
      <c r="Q402" t="str">
        <f>IFERROR(IF($H402+1&gt;0,'General Info and Liability'!$D$16,""),"")</f>
        <v/>
      </c>
      <c r="R402" t="str">
        <f>IFERROR(IF($H402+1&gt;0,'General Info and Liability'!$B$16,""),"")</f>
        <v/>
      </c>
      <c r="S402" t="str">
        <f>IFERROR(IF($H401+1&lt;'General Info and Liability'!$B$15+1,'General Info and Liability'!$D$17,""),"")</f>
        <v/>
      </c>
      <c r="T402" t="str">
        <f>IFERROR(IF($H401+1&lt;'General Info and Liability'!$B$15+1,'General Info and Liability'!$D$18,""),"")</f>
        <v/>
      </c>
      <c r="U402" t="str">
        <f>IFERROR(IF($H401+1&lt;'General Info and Liability'!$B$15+1,'General Info and Liability'!$D$19,""),"")</f>
        <v/>
      </c>
      <c r="V402" t="str">
        <f>IFERROR(IF($H401+1&lt;'General Info and Liability'!$B$15+1,'General Info and Liability'!$B$14,""),"")</f>
        <v/>
      </c>
      <c r="W402" t="str">
        <f>IFERROR(IF($H401+1&lt;'General Info and Liability'!$B$15+1,'General Info and Liability'!$D$20,""),"")</f>
        <v/>
      </c>
    </row>
    <row r="403" spans="8:23" ht="16.5" customHeight="1">
      <c r="H403" t="str">
        <f>IFERROR(IF(H402+1&lt;'General Info and Liability'!$B$15+1,'Property Schedule'!H402+1,""),"")</f>
        <v/>
      </c>
      <c r="J403" s="8"/>
      <c r="K403" s="7" t="str">
        <f>IFERROR(IF($H402+1&lt;'General Info and Liability'!$B$15+1,'General Info and Liability'!$B$18/'General Info and Liability'!$B$10*$L403,""),"")</f>
        <v/>
      </c>
      <c r="L403" s="8"/>
      <c r="M403" s="31" t="str">
        <f>IFERROR(IF($H402+1&lt;'General Info and Liability'!$B$15+1,'General Info and Liability'!$D$14/'General Info and Liability'!$B$10*$L403,""),"")</f>
        <v/>
      </c>
      <c r="N403" s="32" t="str">
        <f>IFERROR(IF($H402+1&lt;'General Info and Liability'!$B$15+1,'General Info and Liability'!$D$15/'General Info and Liability'!$B$10*$L403,""),"")</f>
        <v/>
      </c>
      <c r="O403" s="8"/>
      <c r="P403" s="8"/>
      <c r="Q403" t="str">
        <f>IFERROR(IF($H403+1&gt;0,'General Info and Liability'!$D$16,""),"")</f>
        <v/>
      </c>
      <c r="R403" t="str">
        <f>IFERROR(IF($H403+1&gt;0,'General Info and Liability'!$B$16,""),"")</f>
        <v/>
      </c>
      <c r="S403" t="str">
        <f>IFERROR(IF($H402+1&lt;'General Info and Liability'!$B$15+1,'General Info and Liability'!$D$17,""),"")</f>
        <v/>
      </c>
      <c r="T403" t="str">
        <f>IFERROR(IF($H402+1&lt;'General Info and Liability'!$B$15+1,'General Info and Liability'!$D$18,""),"")</f>
        <v/>
      </c>
      <c r="U403" t="str">
        <f>IFERROR(IF($H402+1&lt;'General Info and Liability'!$B$15+1,'General Info and Liability'!$D$19,""),"")</f>
        <v/>
      </c>
      <c r="V403" t="str">
        <f>IFERROR(IF($H402+1&lt;'General Info and Liability'!$B$15+1,'General Info and Liability'!$B$14,""),"")</f>
        <v/>
      </c>
      <c r="W403" t="str">
        <f>IFERROR(IF($H402+1&lt;'General Info and Liability'!$B$15+1,'General Info and Liability'!$D$20,""),"")</f>
        <v/>
      </c>
    </row>
    <row r="404" spans="8:23" ht="16.5" customHeight="1">
      <c r="H404" t="str">
        <f>IFERROR(IF(H403+1&lt;'General Info and Liability'!$B$15+1,'Property Schedule'!H403+1,""),"")</f>
        <v/>
      </c>
      <c r="J404" s="8"/>
      <c r="K404" s="7" t="str">
        <f>IFERROR(IF($H403+1&lt;'General Info and Liability'!$B$15+1,'General Info and Liability'!$B$18/'General Info and Liability'!$B$10*$L404,""),"")</f>
        <v/>
      </c>
      <c r="L404" s="8"/>
      <c r="M404" s="31" t="str">
        <f>IFERROR(IF($H403+1&lt;'General Info and Liability'!$B$15+1,'General Info and Liability'!$D$14/'General Info and Liability'!$B$10*$L404,""),"")</f>
        <v/>
      </c>
      <c r="N404" s="32" t="str">
        <f>IFERROR(IF($H403+1&lt;'General Info and Liability'!$B$15+1,'General Info and Liability'!$D$15/'General Info and Liability'!$B$10*$L404,""),"")</f>
        <v/>
      </c>
      <c r="O404" s="8"/>
      <c r="P404" s="8"/>
      <c r="Q404" t="str">
        <f>IFERROR(IF($H404+1&gt;0,'General Info and Liability'!$D$16,""),"")</f>
        <v/>
      </c>
      <c r="R404" t="str">
        <f>IFERROR(IF($H404+1&gt;0,'General Info and Liability'!$B$16,""),"")</f>
        <v/>
      </c>
      <c r="S404" t="str">
        <f>IFERROR(IF($H403+1&lt;'General Info and Liability'!$B$15+1,'General Info and Liability'!$D$17,""),"")</f>
        <v/>
      </c>
      <c r="T404" t="str">
        <f>IFERROR(IF($H403+1&lt;'General Info and Liability'!$B$15+1,'General Info and Liability'!$D$18,""),"")</f>
        <v/>
      </c>
      <c r="U404" t="str">
        <f>IFERROR(IF($H403+1&lt;'General Info and Liability'!$B$15+1,'General Info and Liability'!$D$19,""),"")</f>
        <v/>
      </c>
      <c r="V404" t="str">
        <f>IFERROR(IF($H403+1&lt;'General Info and Liability'!$B$15+1,'General Info and Liability'!$B$14,""),"")</f>
        <v/>
      </c>
      <c r="W404" t="str">
        <f>IFERROR(IF($H403+1&lt;'General Info and Liability'!$B$15+1,'General Info and Liability'!$D$20,""),"")</f>
        <v/>
      </c>
    </row>
    <row r="405" spans="8:23" ht="16.5" customHeight="1">
      <c r="H405" t="str">
        <f>IFERROR(IF(H404+1&lt;'General Info and Liability'!$B$15+1,'Property Schedule'!H404+1,""),"")</f>
        <v/>
      </c>
      <c r="J405" s="8"/>
      <c r="K405" s="7" t="str">
        <f>IFERROR(IF($H404+1&lt;'General Info and Liability'!$B$15+1,'General Info and Liability'!$B$18/'General Info and Liability'!$B$10*$L405,""),"")</f>
        <v/>
      </c>
      <c r="L405" s="8"/>
      <c r="M405" s="31" t="str">
        <f>IFERROR(IF($H404+1&lt;'General Info and Liability'!$B$15+1,'General Info and Liability'!$D$14/'General Info and Liability'!$B$10*$L405,""),"")</f>
        <v/>
      </c>
      <c r="N405" s="32" t="str">
        <f>IFERROR(IF($H404+1&lt;'General Info and Liability'!$B$15+1,'General Info and Liability'!$D$15/'General Info and Liability'!$B$10*$L405,""),"")</f>
        <v/>
      </c>
      <c r="O405" s="8"/>
      <c r="P405" s="8"/>
      <c r="Q405" t="str">
        <f>IFERROR(IF($H405+1&gt;0,'General Info and Liability'!$D$16,""),"")</f>
        <v/>
      </c>
      <c r="R405" t="str">
        <f>IFERROR(IF($H405+1&gt;0,'General Info and Liability'!$B$16,""),"")</f>
        <v/>
      </c>
      <c r="S405" t="str">
        <f>IFERROR(IF($H404+1&lt;'General Info and Liability'!$B$15+1,'General Info and Liability'!$D$17,""),"")</f>
        <v/>
      </c>
      <c r="T405" t="str">
        <f>IFERROR(IF($H404+1&lt;'General Info and Liability'!$B$15+1,'General Info and Liability'!$D$18,""),"")</f>
        <v/>
      </c>
      <c r="U405" t="str">
        <f>IFERROR(IF($H404+1&lt;'General Info and Liability'!$B$15+1,'General Info and Liability'!$D$19,""),"")</f>
        <v/>
      </c>
      <c r="V405" t="str">
        <f>IFERROR(IF($H404+1&lt;'General Info and Liability'!$B$15+1,'General Info and Liability'!$B$14,""),"")</f>
        <v/>
      </c>
      <c r="W405" t="str">
        <f>IFERROR(IF($H404+1&lt;'General Info and Liability'!$B$15+1,'General Info and Liability'!$D$20,""),"")</f>
        <v/>
      </c>
    </row>
    <row r="406" spans="8:23" ht="16.5" customHeight="1">
      <c r="H406" t="str">
        <f>IFERROR(IF(H405+1&lt;'General Info and Liability'!$B$15+1,'Property Schedule'!H405+1,""),"")</f>
        <v/>
      </c>
      <c r="J406" s="8"/>
      <c r="K406" s="7" t="str">
        <f>IFERROR(IF($H405+1&lt;'General Info and Liability'!$B$15+1,'General Info and Liability'!$B$18/'General Info and Liability'!$B$10*$L406,""),"")</f>
        <v/>
      </c>
      <c r="L406" s="8"/>
      <c r="M406" s="31" t="str">
        <f>IFERROR(IF($H405+1&lt;'General Info and Liability'!$B$15+1,'General Info and Liability'!$D$14/'General Info and Liability'!$B$10*$L406,""),"")</f>
        <v/>
      </c>
      <c r="N406" s="32" t="str">
        <f>IFERROR(IF($H405+1&lt;'General Info and Liability'!$B$15+1,'General Info and Liability'!$D$15/'General Info and Liability'!$B$10*$L406,""),"")</f>
        <v/>
      </c>
      <c r="O406" s="8"/>
      <c r="P406" s="8"/>
      <c r="Q406" t="str">
        <f>IFERROR(IF($H406+1&gt;0,'General Info and Liability'!$D$16,""),"")</f>
        <v/>
      </c>
      <c r="R406" t="str">
        <f>IFERROR(IF($H406+1&gt;0,'General Info and Liability'!$B$16,""),"")</f>
        <v/>
      </c>
      <c r="S406" t="str">
        <f>IFERROR(IF($H405+1&lt;'General Info and Liability'!$B$15+1,'General Info and Liability'!$D$17,""),"")</f>
        <v/>
      </c>
      <c r="T406" t="str">
        <f>IFERROR(IF($H405+1&lt;'General Info and Liability'!$B$15+1,'General Info and Liability'!$D$18,""),"")</f>
        <v/>
      </c>
      <c r="U406" t="str">
        <f>IFERROR(IF($H405+1&lt;'General Info and Liability'!$B$15+1,'General Info and Liability'!$D$19,""),"")</f>
        <v/>
      </c>
      <c r="V406" t="str">
        <f>IFERROR(IF($H405+1&lt;'General Info and Liability'!$B$15+1,'General Info and Liability'!$B$14,""),"")</f>
        <v/>
      </c>
      <c r="W406" t="str">
        <f>IFERROR(IF($H405+1&lt;'General Info and Liability'!$B$15+1,'General Info and Liability'!$D$20,""),"")</f>
        <v/>
      </c>
    </row>
    <row r="407" spans="8:23" ht="16.5" customHeight="1">
      <c r="H407" t="str">
        <f>IFERROR(IF(H406+1&lt;'General Info and Liability'!$B$15+1,'Property Schedule'!H406+1,""),"")</f>
        <v/>
      </c>
      <c r="J407" s="8"/>
      <c r="K407" s="7" t="str">
        <f>IFERROR(IF($H406+1&lt;'General Info and Liability'!$B$15+1,'General Info and Liability'!$B$18/'General Info and Liability'!$B$10*$L407,""),"")</f>
        <v/>
      </c>
      <c r="L407" s="8"/>
      <c r="M407" s="31" t="str">
        <f>IFERROR(IF($H406+1&lt;'General Info and Liability'!$B$15+1,'General Info and Liability'!$D$14/'General Info and Liability'!$B$10*$L407,""),"")</f>
        <v/>
      </c>
      <c r="N407" s="32" t="str">
        <f>IFERROR(IF($H406+1&lt;'General Info and Liability'!$B$15+1,'General Info and Liability'!$D$15/'General Info and Liability'!$B$10*$L407,""),"")</f>
        <v/>
      </c>
      <c r="O407" s="8"/>
      <c r="P407" s="8"/>
      <c r="Q407" t="str">
        <f>IFERROR(IF($H407+1&gt;0,'General Info and Liability'!$D$16,""),"")</f>
        <v/>
      </c>
      <c r="R407" t="str">
        <f>IFERROR(IF($H407+1&gt;0,'General Info and Liability'!$B$16,""),"")</f>
        <v/>
      </c>
      <c r="S407" t="str">
        <f>IFERROR(IF($H406+1&lt;'General Info and Liability'!$B$15+1,'General Info and Liability'!$D$17,""),"")</f>
        <v/>
      </c>
      <c r="T407" t="str">
        <f>IFERROR(IF($H406+1&lt;'General Info and Liability'!$B$15+1,'General Info and Liability'!$D$18,""),"")</f>
        <v/>
      </c>
      <c r="U407" t="str">
        <f>IFERROR(IF($H406+1&lt;'General Info and Liability'!$B$15+1,'General Info and Liability'!$D$19,""),"")</f>
        <v/>
      </c>
      <c r="V407" t="str">
        <f>IFERROR(IF($H406+1&lt;'General Info and Liability'!$B$15+1,'General Info and Liability'!$B$14,""),"")</f>
        <v/>
      </c>
      <c r="W407" t="str">
        <f>IFERROR(IF($H406+1&lt;'General Info and Liability'!$B$15+1,'General Info and Liability'!$D$20,""),"")</f>
        <v/>
      </c>
    </row>
    <row r="408" spans="8:23" ht="16.5" customHeight="1">
      <c r="H408" t="str">
        <f>IFERROR(IF(H407+1&lt;'General Info and Liability'!$B$15+1,'Property Schedule'!H407+1,""),"")</f>
        <v/>
      </c>
      <c r="J408" s="8"/>
      <c r="K408" s="7" t="str">
        <f>IFERROR(IF($H407+1&lt;'General Info and Liability'!$B$15+1,'General Info and Liability'!$B$18/'General Info and Liability'!$B$10*$L408,""),"")</f>
        <v/>
      </c>
      <c r="L408" s="8"/>
      <c r="M408" s="31" t="str">
        <f>IFERROR(IF($H407+1&lt;'General Info and Liability'!$B$15+1,'General Info and Liability'!$D$14/'General Info and Liability'!$B$10*$L408,""),"")</f>
        <v/>
      </c>
      <c r="N408" s="32" t="str">
        <f>IFERROR(IF($H407+1&lt;'General Info and Liability'!$B$15+1,'General Info and Liability'!$D$15/'General Info and Liability'!$B$10*$L408,""),"")</f>
        <v/>
      </c>
      <c r="O408" s="8"/>
      <c r="P408" s="8"/>
      <c r="Q408" t="str">
        <f>IFERROR(IF($H408+1&gt;0,'General Info and Liability'!$D$16,""),"")</f>
        <v/>
      </c>
      <c r="R408" t="str">
        <f>IFERROR(IF($H408+1&gt;0,'General Info and Liability'!$B$16,""),"")</f>
        <v/>
      </c>
      <c r="S408" t="str">
        <f>IFERROR(IF($H407+1&lt;'General Info and Liability'!$B$15+1,'General Info and Liability'!$D$17,""),"")</f>
        <v/>
      </c>
      <c r="T408" t="str">
        <f>IFERROR(IF($H407+1&lt;'General Info and Liability'!$B$15+1,'General Info and Liability'!$D$18,""),"")</f>
        <v/>
      </c>
      <c r="U408" t="str">
        <f>IFERROR(IF($H407+1&lt;'General Info and Liability'!$B$15+1,'General Info and Liability'!$D$19,""),"")</f>
        <v/>
      </c>
      <c r="V408" t="str">
        <f>IFERROR(IF($H407+1&lt;'General Info and Liability'!$B$15+1,'General Info and Liability'!$B$14,""),"")</f>
        <v/>
      </c>
      <c r="W408" t="str">
        <f>IFERROR(IF($H407+1&lt;'General Info and Liability'!$B$15+1,'General Info and Liability'!$D$20,""),"")</f>
        <v/>
      </c>
    </row>
    <row r="409" spans="8:23" ht="16.5" customHeight="1">
      <c r="H409" t="str">
        <f>IFERROR(IF(H408+1&lt;'General Info and Liability'!$B$15+1,'Property Schedule'!H408+1,""),"")</f>
        <v/>
      </c>
      <c r="J409" s="8"/>
      <c r="K409" s="7" t="str">
        <f>IFERROR(IF($H408+1&lt;'General Info and Liability'!$B$15+1,'General Info and Liability'!$B$18/'General Info and Liability'!$B$10*$L409,""),"")</f>
        <v/>
      </c>
      <c r="L409" s="8"/>
      <c r="M409" s="31" t="str">
        <f>IFERROR(IF($H408+1&lt;'General Info and Liability'!$B$15+1,'General Info and Liability'!$D$14/'General Info and Liability'!$B$10*$L409,""),"")</f>
        <v/>
      </c>
      <c r="N409" s="32" t="str">
        <f>IFERROR(IF($H408+1&lt;'General Info and Liability'!$B$15+1,'General Info and Liability'!$D$15/'General Info and Liability'!$B$10*$L409,""),"")</f>
        <v/>
      </c>
      <c r="O409" s="8"/>
      <c r="P409" s="8"/>
      <c r="Q409" t="str">
        <f>IFERROR(IF($H409+1&gt;0,'General Info and Liability'!$D$16,""),"")</f>
        <v/>
      </c>
      <c r="R409" t="str">
        <f>IFERROR(IF($H409+1&gt;0,'General Info and Liability'!$B$16,""),"")</f>
        <v/>
      </c>
      <c r="S409" t="str">
        <f>IFERROR(IF($H408+1&lt;'General Info and Liability'!$B$15+1,'General Info and Liability'!$D$17,""),"")</f>
        <v/>
      </c>
      <c r="T409" t="str">
        <f>IFERROR(IF($H408+1&lt;'General Info and Liability'!$B$15+1,'General Info and Liability'!$D$18,""),"")</f>
        <v/>
      </c>
      <c r="U409" t="str">
        <f>IFERROR(IF($H408+1&lt;'General Info and Liability'!$B$15+1,'General Info and Liability'!$D$19,""),"")</f>
        <v/>
      </c>
      <c r="V409" t="str">
        <f>IFERROR(IF($H408+1&lt;'General Info and Liability'!$B$15+1,'General Info and Liability'!$B$14,""),"")</f>
        <v/>
      </c>
      <c r="W409" t="str">
        <f>IFERROR(IF($H408+1&lt;'General Info and Liability'!$B$15+1,'General Info and Liability'!$D$20,""),"")</f>
        <v/>
      </c>
    </row>
    <row r="410" spans="8:23">
      <c r="H410" t="str">
        <f>IFERROR(IF(H409+1&lt;'General Info and Liability'!$B$15+1,'Property Schedule'!H409+1,""),"")</f>
        <v/>
      </c>
      <c r="J410" s="8"/>
      <c r="K410" s="7" t="str">
        <f>IFERROR(IF($H409+1&lt;'General Info and Liability'!$B$15+1,'General Info and Liability'!$B$18/'General Info and Liability'!$B$10*$L410,""),"")</f>
        <v/>
      </c>
      <c r="L410" s="8"/>
      <c r="M410" s="31" t="str">
        <f>IFERROR(IF($H409+1&lt;'General Info and Liability'!$B$15+1,'General Info and Liability'!$D$14/'General Info and Liability'!$B$10*$L410,""),"")</f>
        <v/>
      </c>
      <c r="N410" s="32" t="str">
        <f>IFERROR(IF($H409+1&lt;'General Info and Liability'!$B$15+1,'General Info and Liability'!$D$15/'General Info and Liability'!$B$10*$L410,""),"")</f>
        <v/>
      </c>
      <c r="O410" s="8"/>
      <c r="P410" s="8"/>
      <c r="Q410" t="str">
        <f>IFERROR(IF($H410+1&gt;0,'General Info and Liability'!$D$16,""),"")</f>
        <v/>
      </c>
      <c r="R410" t="str">
        <f>IFERROR(IF($H410+1&gt;0,'General Info and Liability'!$B$16,""),"")</f>
        <v/>
      </c>
      <c r="S410" t="str">
        <f>IFERROR(IF($H409+1&lt;'General Info and Liability'!$B$15+1,'General Info and Liability'!$D$17,""),"")</f>
        <v/>
      </c>
      <c r="T410" t="str">
        <f>IFERROR(IF($H409+1&lt;'General Info and Liability'!$B$15+1,'General Info and Liability'!$D$18,""),"")</f>
        <v/>
      </c>
      <c r="U410" t="str">
        <f>IFERROR(IF($H409+1&lt;'General Info and Liability'!$B$15+1,'General Info and Liability'!$D$19,""),"")</f>
        <v/>
      </c>
      <c r="V410" t="str">
        <f>IFERROR(IF($H409+1&lt;'General Info and Liability'!$B$15+1,'General Info and Liability'!$B$14,""),"")</f>
        <v/>
      </c>
      <c r="W410" t="str">
        <f>IFERROR(IF($H409+1&lt;'General Info and Liability'!$B$15+1,'General Info and Liability'!$D$20,""),"")</f>
        <v/>
      </c>
    </row>
  </sheetData>
  <sheetProtection algorithmName="SHA-512" hashValue="NczN0R98K2PcA67UsHjeGk7bPsBqrQSbN/oefVGyHhL3l02L8puyBjnn6a0sAXYPt5ViHsEQCvOQqaJOcuXD9g==" saltValue="/dH+he1TyZ+N3/Kmx5Gjdw==" spinCount="100000" sheet="1" formatCells="0" formatColumns="0" formatRows="0" insertHyperlinks="0" sort="0" autoFilter="0" pivotTables="0"/>
  <mergeCells count="1">
    <mergeCell ref="A1:B1"/>
  </mergeCells>
  <pageMargins left="0.7" right="0.7" top="0.75" bottom="0.75" header="0.3" footer="0.3"/>
  <pageSetup orientation="portrait" r:id="rId1"/>
  <ignoredErrors>
    <ignoredError sqref="F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1C3F-A552-45DE-8732-A424DC36B779}">
  <sheetPr codeName="Sheet4"/>
  <dimension ref="A1:N14"/>
  <sheetViews>
    <sheetView workbookViewId="0">
      <selection activeCell="D4" sqref="D4"/>
    </sheetView>
  </sheetViews>
  <sheetFormatPr defaultRowHeight="15"/>
  <cols>
    <col min="1" max="1" width="8.140625" customWidth="1"/>
    <col min="2" max="2" width="12.5703125" customWidth="1"/>
    <col min="3" max="3" width="9.42578125" bestFit="1" customWidth="1"/>
    <col min="4" max="4" width="12.42578125" bestFit="1" customWidth="1"/>
    <col min="5" max="5" width="10.5703125" bestFit="1" customWidth="1"/>
    <col min="6" max="6" width="8.5703125" bestFit="1" customWidth="1"/>
    <col min="7" max="7" width="12.5703125" bestFit="1" customWidth="1"/>
    <col min="8" max="8" width="12.140625" bestFit="1" customWidth="1"/>
    <col min="9" max="9" width="17" bestFit="1" customWidth="1"/>
    <col min="10" max="10" width="13.42578125" bestFit="1" customWidth="1"/>
    <col min="11" max="11" width="13.85546875" bestFit="1" customWidth="1"/>
    <col min="12" max="12" width="16.42578125" bestFit="1" customWidth="1"/>
    <col min="13" max="13" width="18.42578125" bestFit="1" customWidth="1"/>
    <col min="14" max="14" width="80.42578125" customWidth="1"/>
  </cols>
  <sheetData>
    <row r="1" spans="1:14" ht="20.25" customHeight="1">
      <c r="A1" s="2" t="s">
        <v>99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ht="21" customHeight="1">
      <c r="A2" s="1" t="s">
        <v>113</v>
      </c>
      <c r="B2" s="3" t="s">
        <v>114</v>
      </c>
      <c r="C2" s="4">
        <v>44562</v>
      </c>
      <c r="D2" s="5"/>
      <c r="E2" s="1" t="s">
        <v>115</v>
      </c>
      <c r="F2" s="1" t="s">
        <v>116</v>
      </c>
      <c r="G2" s="1" t="s">
        <v>117</v>
      </c>
      <c r="H2" s="1" t="s">
        <v>118</v>
      </c>
      <c r="I2" s="1" t="s">
        <v>119</v>
      </c>
      <c r="J2" s="1" t="s">
        <v>120</v>
      </c>
      <c r="K2" s="1" t="s">
        <v>121</v>
      </c>
      <c r="L2" s="1" t="s">
        <v>122</v>
      </c>
      <c r="M2" s="1" t="s">
        <v>123</v>
      </c>
      <c r="N2" s="1" t="s">
        <v>124</v>
      </c>
    </row>
    <row r="3" spans="1:14" ht="21" customHeight="1">
      <c r="A3" s="1" t="s">
        <v>113</v>
      </c>
      <c r="B3" s="3" t="s">
        <v>125</v>
      </c>
      <c r="C3" s="4">
        <v>44562</v>
      </c>
      <c r="D3" s="5"/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126</v>
      </c>
      <c r="K3" s="1" t="s">
        <v>121</v>
      </c>
      <c r="L3" s="1" t="s">
        <v>122</v>
      </c>
      <c r="M3" s="1" t="s">
        <v>123</v>
      </c>
      <c r="N3" s="1" t="s">
        <v>127</v>
      </c>
    </row>
    <row r="4" spans="1:14" ht="21" customHeight="1">
      <c r="A4" s="1" t="s">
        <v>113</v>
      </c>
      <c r="B4" s="3" t="s">
        <v>128</v>
      </c>
      <c r="C4" s="4">
        <v>44562</v>
      </c>
      <c r="D4" s="5">
        <v>20621</v>
      </c>
      <c r="E4" s="1" t="s">
        <v>115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129</v>
      </c>
      <c r="K4" s="1" t="s">
        <v>121</v>
      </c>
      <c r="L4" s="1" t="s">
        <v>122</v>
      </c>
      <c r="M4" s="1" t="s">
        <v>123</v>
      </c>
      <c r="N4" s="1" t="s">
        <v>130</v>
      </c>
    </row>
    <row r="5" spans="1:14" ht="21" customHeight="1">
      <c r="A5" s="1" t="s">
        <v>113</v>
      </c>
      <c r="B5" s="3" t="s">
        <v>131</v>
      </c>
      <c r="C5" s="4">
        <v>44562</v>
      </c>
      <c r="D5" s="5">
        <v>355</v>
      </c>
      <c r="E5" s="1" t="s">
        <v>115</v>
      </c>
      <c r="F5" s="1" t="s">
        <v>132</v>
      </c>
      <c r="G5" s="1" t="s">
        <v>117</v>
      </c>
      <c r="H5" s="1" t="s">
        <v>133</v>
      </c>
      <c r="I5" s="1" t="s">
        <v>134</v>
      </c>
      <c r="J5" s="1" t="s">
        <v>135</v>
      </c>
      <c r="K5" s="1" t="s">
        <v>121</v>
      </c>
      <c r="L5" s="1" t="s">
        <v>122</v>
      </c>
      <c r="M5" s="1" t="s">
        <v>123</v>
      </c>
      <c r="N5" s="1" t="s">
        <v>136</v>
      </c>
    </row>
    <row r="6" spans="1:14" ht="21" customHeight="1">
      <c r="A6" s="1" t="s">
        <v>113</v>
      </c>
      <c r="B6" s="3" t="s">
        <v>137</v>
      </c>
      <c r="C6" s="4">
        <v>44562</v>
      </c>
      <c r="D6" s="5">
        <v>357</v>
      </c>
      <c r="E6" s="1" t="s">
        <v>115</v>
      </c>
      <c r="F6" s="1" t="s">
        <v>132</v>
      </c>
      <c r="G6" s="1" t="s">
        <v>117</v>
      </c>
      <c r="H6" s="1" t="s">
        <v>133</v>
      </c>
      <c r="I6" s="1" t="s">
        <v>134</v>
      </c>
      <c r="J6" s="1" t="s">
        <v>137</v>
      </c>
      <c r="K6" s="1" t="s">
        <v>121</v>
      </c>
      <c r="L6" s="1" t="s">
        <v>122</v>
      </c>
      <c r="M6" s="1" t="s">
        <v>123</v>
      </c>
      <c r="N6" s="1" t="s">
        <v>138</v>
      </c>
    </row>
    <row r="7" spans="1:14" ht="21" customHeight="1">
      <c r="A7" s="1" t="s">
        <v>113</v>
      </c>
      <c r="B7" s="3" t="s">
        <v>139</v>
      </c>
      <c r="C7" s="4">
        <v>44562</v>
      </c>
      <c r="D7" s="5">
        <v>1216</v>
      </c>
      <c r="E7" s="1" t="s">
        <v>115</v>
      </c>
      <c r="F7" s="1" t="s">
        <v>116</v>
      </c>
      <c r="G7" s="1" t="s">
        <v>117</v>
      </c>
      <c r="H7" s="1" t="s">
        <v>140</v>
      </c>
      <c r="I7" s="1" t="s">
        <v>141</v>
      </c>
      <c r="J7" s="1" t="s">
        <v>142</v>
      </c>
      <c r="K7" s="1" t="s">
        <v>121</v>
      </c>
      <c r="L7" s="1" t="s">
        <v>122</v>
      </c>
      <c r="M7" s="1" t="s">
        <v>123</v>
      </c>
      <c r="N7" s="1" t="s">
        <v>143</v>
      </c>
    </row>
    <row r="8" spans="1:14" ht="21" customHeight="1">
      <c r="A8" s="1" t="s">
        <v>113</v>
      </c>
      <c r="B8" s="3" t="s">
        <v>144</v>
      </c>
      <c r="C8" s="4">
        <v>44562</v>
      </c>
      <c r="D8" s="5">
        <v>681</v>
      </c>
      <c r="E8" s="1" t="s">
        <v>115</v>
      </c>
      <c r="F8" s="1" t="s">
        <v>116</v>
      </c>
      <c r="G8" s="1" t="s">
        <v>117</v>
      </c>
      <c r="H8" s="1" t="s">
        <v>145</v>
      </c>
      <c r="I8" s="1" t="s">
        <v>146</v>
      </c>
      <c r="J8" s="1" t="s">
        <v>144</v>
      </c>
      <c r="K8" s="1" t="s">
        <v>121</v>
      </c>
      <c r="L8" s="1" t="s">
        <v>122</v>
      </c>
      <c r="M8" s="1" t="s">
        <v>123</v>
      </c>
      <c r="N8" s="1" t="s">
        <v>147</v>
      </c>
    </row>
    <row r="11" spans="1:14" ht="18.75">
      <c r="A11" s="75" t="s">
        <v>148</v>
      </c>
      <c r="B11" s="75"/>
      <c r="C11" s="75"/>
      <c r="D11" s="75"/>
      <c r="E11" s="75"/>
    </row>
    <row r="12" spans="1:14" ht="102.75" customHeight="1">
      <c r="A12" s="76" t="s">
        <v>149</v>
      </c>
      <c r="B12" s="77"/>
      <c r="C12" s="77"/>
      <c r="D12" s="77"/>
      <c r="E12" s="77"/>
    </row>
    <row r="13" spans="1:14" ht="76.5" customHeight="1">
      <c r="A13" s="77" t="s">
        <v>150</v>
      </c>
      <c r="B13" s="77"/>
      <c r="C13" s="77"/>
      <c r="D13" s="77"/>
      <c r="E13" s="77"/>
    </row>
    <row r="14" spans="1:14" ht="199.5" customHeight="1">
      <c r="A14" s="76" t="s">
        <v>151</v>
      </c>
      <c r="B14" s="77"/>
      <c r="C14" s="77"/>
      <c r="D14" s="77"/>
      <c r="E14" s="77"/>
    </row>
  </sheetData>
  <mergeCells count="4">
    <mergeCell ref="A11:E11"/>
    <mergeCell ref="A12:E12"/>
    <mergeCell ref="A13:E13"/>
    <mergeCell ref="A14:E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FAAC-01C6-4277-B2EF-9BBB9CF393C1}">
  <sheetPr codeName="Sheet5"/>
  <dimension ref="A1:I7"/>
  <sheetViews>
    <sheetView workbookViewId="0">
      <selection activeCell="D19" sqref="D19"/>
    </sheetView>
  </sheetViews>
  <sheetFormatPr defaultRowHeight="15"/>
  <cols>
    <col min="2" max="2" width="16.85546875" bestFit="1" customWidth="1"/>
    <col min="3" max="3" width="36.85546875" bestFit="1" customWidth="1"/>
    <col min="4" max="4" width="24.85546875" bestFit="1" customWidth="1"/>
    <col min="5" max="5" width="14.140625" bestFit="1" customWidth="1"/>
    <col min="6" max="6" width="22" bestFit="1" customWidth="1"/>
  </cols>
  <sheetData>
    <row r="1" spans="1:9">
      <c r="A1" t="s">
        <v>152</v>
      </c>
      <c r="B1" t="s">
        <v>14</v>
      </c>
      <c r="C1" t="s">
        <v>153</v>
      </c>
      <c r="D1" t="s">
        <v>154</v>
      </c>
      <c r="E1" t="s">
        <v>32</v>
      </c>
      <c r="F1" t="s">
        <v>38</v>
      </c>
      <c r="G1" t="s">
        <v>29</v>
      </c>
      <c r="H1" t="s">
        <v>155</v>
      </c>
      <c r="I1" t="s">
        <v>30</v>
      </c>
    </row>
    <row r="2" spans="1:9" ht="15.75">
      <c r="A2" t="s">
        <v>156</v>
      </c>
      <c r="B2" t="s">
        <v>157</v>
      </c>
      <c r="C2" t="s">
        <v>158</v>
      </c>
      <c r="D2" t="s">
        <v>79</v>
      </c>
      <c r="E2" t="s">
        <v>159</v>
      </c>
      <c r="F2" t="s">
        <v>160</v>
      </c>
      <c r="G2" t="s">
        <v>161</v>
      </c>
      <c r="H2" t="s">
        <v>162</v>
      </c>
      <c r="I2" s="6" t="s">
        <v>163</v>
      </c>
    </row>
    <row r="3" spans="1:9" ht="15.75">
      <c r="A3" t="s">
        <v>164</v>
      </c>
      <c r="B3" t="s">
        <v>165</v>
      </c>
      <c r="C3" t="s">
        <v>166</v>
      </c>
      <c r="D3" t="s">
        <v>167</v>
      </c>
      <c r="E3" t="s">
        <v>168</v>
      </c>
      <c r="F3" t="s">
        <v>169</v>
      </c>
      <c r="G3" t="s">
        <v>170</v>
      </c>
      <c r="H3" t="s">
        <v>171</v>
      </c>
      <c r="I3" s="6" t="s">
        <v>172</v>
      </c>
    </row>
    <row r="4" spans="1:9" ht="15.75">
      <c r="B4" t="s">
        <v>173</v>
      </c>
      <c r="C4" t="s">
        <v>174</v>
      </c>
      <c r="D4" t="s">
        <v>175</v>
      </c>
      <c r="F4" t="s">
        <v>176</v>
      </c>
      <c r="G4" t="s">
        <v>177</v>
      </c>
      <c r="I4" s="6" t="s">
        <v>178</v>
      </c>
    </row>
    <row r="5" spans="1:9" ht="15.75">
      <c r="B5" t="s">
        <v>179</v>
      </c>
      <c r="C5" t="s">
        <v>180</v>
      </c>
      <c r="F5" t="s">
        <v>181</v>
      </c>
      <c r="G5" t="s">
        <v>182</v>
      </c>
      <c r="I5" s="6" t="s">
        <v>183</v>
      </c>
    </row>
    <row r="6" spans="1:9" ht="15.75">
      <c r="C6" t="s">
        <v>184</v>
      </c>
      <c r="I6" s="6" t="s">
        <v>185</v>
      </c>
    </row>
    <row r="7" spans="1:9" ht="15.75">
      <c r="I7" s="6" t="s">
        <v>186</v>
      </c>
    </row>
  </sheetData>
  <sheetProtection algorithmName="SHA-512" hashValue="YdvY0zPNIG+Ocsg/qDFkv3M5ybFJwYTxsj+9vEfKgOXsTCIcPzwaII0znKQvLfcaGooyra7Cr1g3TkdRhDKC3Q==" saltValue="d/D7RJC+Vgj4Og7KO3PqKw==" spinCount="100000" sheet="1" objects="1" scenarios="1"/>
  <dataValidations count="1">
    <dataValidation type="list" allowBlank="1" showInputMessage="1" showErrorMessage="1" sqref="H4" xr:uid="{D1A22EE7-1E78-4AF2-9702-ED694E687E13}">
      <formula1>$G$2:$G$5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Info and Liability</vt:lpstr>
      <vt:lpstr>Property Schedule</vt:lpstr>
      <vt:lpstr>Policy and Cert Info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Dundas</dc:creator>
  <cp:keywords/>
  <dc:description/>
  <cp:lastModifiedBy>Tony Mendoza</cp:lastModifiedBy>
  <cp:revision/>
  <dcterms:created xsi:type="dcterms:W3CDTF">2022-04-01T15:47:21Z</dcterms:created>
  <dcterms:modified xsi:type="dcterms:W3CDTF">2025-06-19T23:05:34Z</dcterms:modified>
  <cp:category/>
  <cp:contentStatus/>
</cp:coreProperties>
</file>