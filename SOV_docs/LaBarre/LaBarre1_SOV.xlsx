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keJeong\Desktop\Quote\Pending\12.01 - Albrook Condominium Association\"/>
    </mc:Choice>
  </mc:AlternateContent>
  <xr:revisionPtr revIDLastSave="0" documentId="13_ncr:1_{33C7972E-BE9D-49AB-940F-0D14CA793903}" xr6:coauthVersionLast="47" xr6:coauthVersionMax="47" xr10:uidLastSave="{00000000-0000-0000-0000-000000000000}"/>
  <bookViews>
    <workbookView xWindow="13575" yWindow="435" windowWidth="19350" windowHeight="151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assocfees">Sheet2!$F:$F</definedName>
    <definedName name="construction">Sheet2!$E:$E</definedName>
    <definedName name="garagetype">Sheet2!$B:$B</definedName>
    <definedName name="_xlnm.Print_Area" localSheetId="0">Sheet1!$A$1:$H$29</definedName>
    <definedName name="rooftype">Sheet2!$A:$A</definedName>
    <definedName name="smokedetector">Sheet2!$D:$D</definedName>
    <definedName name="sprinklered">Sheet2!$C:$C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8" i="1" l="1"/>
  <c r="C28" i="1"/>
  <c r="F16" i="1" l="1"/>
  <c r="H16" i="1"/>
  <c r="G16" i="1"/>
  <c r="E16" i="1"/>
  <c r="H18" i="1" l="1"/>
  <c r="H25" i="1"/>
</calcChain>
</file>

<file path=xl/sharedStrings.xml><?xml version="1.0" encoding="utf-8"?>
<sst xmlns="http://schemas.openxmlformats.org/spreadsheetml/2006/main" count="97" uniqueCount="81">
  <si>
    <t>STATEMENT OF VALUES FOR:</t>
  </si>
  <si>
    <t>EFFECTIVE DATE:</t>
  </si>
  <si>
    <t>LOCATION (STATE, CITY, ZIP):</t>
  </si>
  <si>
    <t>Bldg #</t>
  </si>
  <si>
    <t>Address #</t>
  </si>
  <si>
    <t>Street Name</t>
  </si>
  <si>
    <t>Unit #s (if applicable)</t>
  </si>
  <si>
    <t xml:space="preserve">Building Replacement Cost </t>
  </si>
  <si>
    <t># of Units</t>
  </si>
  <si>
    <t>Garage Square Footage</t>
  </si>
  <si>
    <t>TOTAL BUILDING REPLACEMENT COST:</t>
  </si>
  <si>
    <t>SEPARATE STRUCTURES / MISC.</t>
  </si>
  <si>
    <t>REPLACEMENT COST</t>
  </si>
  <si>
    <t>SQUARE FOOTAGE</t>
  </si>
  <si>
    <t>Number of Stories:</t>
  </si>
  <si>
    <t>TOTAL SQUARE FOOTAGE:</t>
  </si>
  <si>
    <t xml:space="preserve">Walks / Paved Surfaces: </t>
  </si>
  <si>
    <t xml:space="preserve">N/A </t>
  </si>
  <si>
    <t xml:space="preserve">Roof Type: </t>
  </si>
  <si>
    <t>Flat</t>
  </si>
  <si>
    <t>Fencing / Walls / Gates:</t>
  </si>
  <si>
    <t>Garage Type:</t>
  </si>
  <si>
    <t>Attached</t>
  </si>
  <si>
    <t>Landscaping / Irrigation:</t>
  </si>
  <si>
    <t>Sprinklered:</t>
  </si>
  <si>
    <t>Yes</t>
  </si>
  <si>
    <t>HVAC:</t>
  </si>
  <si>
    <t xml:space="preserve">Lighting: </t>
  </si>
  <si>
    <t xml:space="preserve">Smoke Detectors: </t>
  </si>
  <si>
    <t>Hard-Wired</t>
  </si>
  <si>
    <t>Electrical:</t>
  </si>
  <si>
    <t xml:space="preserve">Mailboxes: </t>
  </si>
  <si>
    <t xml:space="preserve">Construction Type: </t>
  </si>
  <si>
    <t>Frame</t>
  </si>
  <si>
    <t>Plumbing:</t>
  </si>
  <si>
    <t>TOTAL BLANKET REPLACEMENT COST:</t>
  </si>
  <si>
    <t>TOTAL BUSINESS PERSONAL PROPERTY:</t>
  </si>
  <si>
    <t>TOTAL BUILDING ORDINANCE:</t>
  </si>
  <si>
    <t>A , B &amp; C Limits:</t>
  </si>
  <si>
    <t>SEPARATE STRUCTURES TOTAL:</t>
  </si>
  <si>
    <t>TOTAL BUSINESS INCOME:</t>
  </si>
  <si>
    <t xml:space="preserve">Tile </t>
  </si>
  <si>
    <t>Habitational over Garage</t>
  </si>
  <si>
    <t>Battery</t>
  </si>
  <si>
    <t>Comp.</t>
  </si>
  <si>
    <t>Detached</t>
  </si>
  <si>
    <t>No</t>
  </si>
  <si>
    <t>Joisted Masonry</t>
  </si>
  <si>
    <t>Actual Loss Sustained Total:</t>
  </si>
  <si>
    <t>Partially</t>
  </si>
  <si>
    <t>None</t>
  </si>
  <si>
    <t>Fire Resistive</t>
  </si>
  <si>
    <t>Shake</t>
  </si>
  <si>
    <t>Subterranean</t>
  </si>
  <si>
    <t>Steel Frame w/ Concrete Block</t>
  </si>
  <si>
    <t>Masonry Above-Ground</t>
  </si>
  <si>
    <t>Partial Subterranean</t>
  </si>
  <si>
    <t xml:space="preserve">Year of Construction: </t>
  </si>
  <si>
    <t>Signs/Monuments</t>
  </si>
  <si>
    <t>INC</t>
  </si>
  <si>
    <t># of Rentals:</t>
  </si>
  <si>
    <t>Albrook Condominium Association</t>
  </si>
  <si>
    <t>13322 W Stonebrook Drive, Sun City West, AZ 85375</t>
  </si>
  <si>
    <t>13361, 59,55,51,47</t>
  </si>
  <si>
    <t>W Aleppo</t>
  </si>
  <si>
    <t>13343, 39,35,31,27</t>
  </si>
  <si>
    <t>13323, 19, 15, 11, 07, 03</t>
  </si>
  <si>
    <t>N Stonebrook Dr</t>
  </si>
  <si>
    <t>18231, 27, 23, 19, 15</t>
  </si>
  <si>
    <t>13346, 48, 50,52,54</t>
  </si>
  <si>
    <t>Zephyr Court</t>
  </si>
  <si>
    <t>13344, 42, 40, 38, 36</t>
  </si>
  <si>
    <t>13326, 28, 30, 32, 34</t>
  </si>
  <si>
    <t>MossCourt</t>
  </si>
  <si>
    <t>13324, 22, 20, 18</t>
  </si>
  <si>
    <t>18214, 10, 06, 02</t>
  </si>
  <si>
    <t>Opal Drive</t>
  </si>
  <si>
    <t xml:space="preserve">Update Information: </t>
  </si>
  <si>
    <t>4/28/2015   YOC 1979  All-IN</t>
  </si>
  <si>
    <t>Roof: 2018</t>
  </si>
  <si>
    <t>Livable Square Footage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</si>
</sst>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&quot;$&quot;#,##0"/>
  </numFmts>
  <fonts count="6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FFFF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164" fontId="0" fillId="0" borderId="0" xfId="0" applyNumberFormat="1"/>
    <xf numFmtId="0" fontId="1" fillId="0" borderId="0" xfId="0" applyFont="1"/>
    <xf numFmtId="0" fontId="2" fillId="0" borderId="0" xfId="0" applyFont="1"/>
    <xf numFmtId="164" fontId="1" fillId="2" borderId="0" xfId="0" applyNumberFormat="1" applyFont="1" applyFill="1"/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4" xfId="0" applyFont="1" applyBorder="1"/>
    <xf numFmtId="0" fontId="4" fillId="0" borderId="5" xfId="0" applyFont="1" applyBorder="1"/>
    <xf numFmtId="0" fontId="4" fillId="0" borderId="1" xfId="0" applyFont="1" applyBorder="1"/>
    <xf numFmtId="0" fontId="5" fillId="0" borderId="4" xfId="0" applyFont="1" applyBorder="1"/>
    <xf numFmtId="0" fontId="5" fillId="0" borderId="5" xfId="0" applyFont="1" applyBorder="1"/>
    <xf numFmtId="164" fontId="5" fillId="0" borderId="1" xfId="0" applyNumberFormat="1" applyFont="1" applyBorder="1"/>
    <xf numFmtId="0" fontId="5" fillId="0" borderId="2" xfId="0" applyFont="1" applyBorder="1"/>
    <xf numFmtId="0" fontId="5" fillId="0" borderId="0" xfId="0" applyFont="1"/>
    <xf numFmtId="164" fontId="5" fillId="2" borderId="1" xfId="0" applyNumberFormat="1" applyFont="1" applyFill="1" applyBorder="1"/>
    <xf numFmtId="0" fontId="4" fillId="0" borderId="0" xfId="0" applyFont="1"/>
    <xf numFmtId="164" fontId="5" fillId="2" borderId="0" xfId="0" applyNumberFormat="1" applyFont="1" applyFill="1"/>
    <xf numFmtId="6" fontId="5" fillId="0" borderId="0" xfId="0" applyNumberFormat="1" applyFont="1"/>
    <xf numFmtId="3" fontId="5" fillId="3" borderId="0" xfId="0" applyNumberFormat="1" applyFont="1" applyFill="1"/>
    <xf numFmtId="3" fontId="5" fillId="0" borderId="1" xfId="0" applyNumberFormat="1" applyFont="1" applyBorder="1"/>
    <xf numFmtId="0" fontId="1" fillId="2" borderId="0" xfId="0" applyFont="1" applyFill="1"/>
    <xf numFmtId="0" fontId="4" fillId="2" borderId="0" xfId="0" applyFont="1" applyFill="1"/>
    <xf numFmtId="0" fontId="5" fillId="2" borderId="0" xfId="0" applyFont="1" applyFill="1"/>
    <xf numFmtId="3" fontId="5" fillId="3" borderId="1" xfId="0" applyNumberFormat="1" applyFont="1" applyFill="1" applyBorder="1"/>
    <xf numFmtId="6" fontId="1" fillId="2" borderId="0" xfId="0" applyNumberFormat="1" applyFont="1" applyFill="1"/>
    <xf numFmtId="3" fontId="1" fillId="2" borderId="0" xfId="0" applyNumberFormat="1" applyFont="1" applyFill="1"/>
    <xf numFmtId="164" fontId="5" fillId="0" borderId="3" xfId="0" applyNumberFormat="1" applyFont="1" applyBorder="1"/>
    <xf numFmtId="0" fontId="5" fillId="0" borderId="1" xfId="0" applyFont="1" applyBorder="1" applyAlignment="1">
      <alignment horizontal="center"/>
    </xf>
    <xf numFmtId="164" fontId="5" fillId="0" borderId="1" xfId="0" applyNumberFormat="1" applyFont="1" applyBorder="1" applyAlignment="1">
      <alignment horizontal="right"/>
    </xf>
    <xf numFmtId="3" fontId="5" fillId="0" borderId="1" xfId="0" applyNumberFormat="1" applyFont="1" applyBorder="1" applyAlignment="1">
      <alignment horizontal="center"/>
    </xf>
    <xf numFmtId="0" fontId="0" fillId="0" borderId="0" xfId="0" applyAlignment="1">
      <alignment horizontal="right"/>
    </xf>
    <xf numFmtId="14" fontId="0" fillId="0" borderId="0" xfId="0" applyNumberFormat="1" applyAlignment="1">
      <alignment horizontal="left"/>
    </xf>
    <xf numFmtId="0" fontId="2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5" fillId="3" borderId="0" xfId="0" applyFont="1" applyFill="1" applyAlignment="1">
      <alignment horizontal="center"/>
    </xf>
    <xf numFmtId="0" fontId="5" fillId="0" borderId="0" xfId="0" applyFont="1" applyBorder="1" applyAlignment="1">
      <alignment horizontal="center"/>
    </xf>
    <xf numFmtId="164" fontId="5" fillId="0" borderId="0" xfId="0" applyNumberFormat="1" applyFont="1" applyBorder="1" applyAlignment="1">
      <alignment horizontal="right"/>
    </xf>
    <xf numFmtId="3" fontId="5" fillId="0" borderId="0" xfId="0" applyNumberFormat="1" applyFont="1" applyBorder="1"/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CFFCC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8"/>
  <sheetViews>
    <sheetView tabSelected="1" zoomScaleNormal="100" workbookViewId="0">
      <selection activeCell="C1" sqref="C1:D1"/>
    </sheetView>
  </sheetViews>
  <sheetFormatPr defaultRowHeight="15" x14ac:dyDescent="0.25"/>
  <cols>
    <col min="1" max="1" width="11.7109375" customWidth="1"/>
    <col min="2" max="2" width="23.5703125" customWidth="1"/>
    <col min="3" max="3" width="26.42578125" customWidth="1"/>
    <col min="4" max="4" width="27.140625" customWidth="1"/>
    <col min="5" max="5" width="29.42578125" customWidth="1"/>
    <col min="6" max="6" width="9" customWidth="1"/>
    <col min="7" max="7" width="27.7109375" customWidth="1"/>
    <col min="8" max="8" width="27.85546875" customWidth="1"/>
  </cols>
  <sheetData>
    <row r="1" spans="1:8" ht="18.75" x14ac:dyDescent="0.3">
      <c r="A1" s="7" t="s">
        <v>0</v>
      </c>
      <c r="B1" s="7"/>
      <c r="C1" s="35" t="s">
        <v>61</v>
      </c>
      <c r="D1" s="35"/>
    </row>
    <row r="2" spans="1:8" ht="17.25" x14ac:dyDescent="0.3">
      <c r="A2" s="8" t="s">
        <v>1</v>
      </c>
      <c r="B2" s="8"/>
      <c r="C2" s="36">
        <v>45992</v>
      </c>
      <c r="D2" s="37"/>
      <c r="E2" s="1"/>
      <c r="F2" s="1"/>
      <c r="G2" s="1"/>
      <c r="H2" s="1"/>
    </row>
    <row r="3" spans="1:8" ht="17.25" x14ac:dyDescent="0.3">
      <c r="A3" s="8" t="s">
        <v>2</v>
      </c>
      <c r="B3" s="8"/>
      <c r="C3" s="37" t="s">
        <v>62</v>
      </c>
      <c r="D3" s="37"/>
      <c r="E3" s="1"/>
      <c r="F3" s="1"/>
      <c r="G3" s="1"/>
      <c r="H3" s="1"/>
    </row>
    <row r="4" spans="1:8" x14ac:dyDescent="0.25">
      <c r="B4" s="33" t="s">
        <v>59</v>
      </c>
      <c r="C4" s="34" t="s">
        <v>78</v>
      </c>
    </row>
    <row r="5" spans="1:8" s="2" customFormat="1" ht="34.5" x14ac:dyDescent="0.25">
      <c r="A5" s="43" t="s">
        <v>3</v>
      </c>
      <c r="B5" s="43" t="s">
        <v>4</v>
      </c>
      <c r="C5" s="43" t="s">
        <v>5</v>
      </c>
      <c r="D5" s="43" t="s">
        <v>6</v>
      </c>
      <c r="E5" s="43" t="s">
        <v>7</v>
      </c>
      <c r="F5" s="43" t="s">
        <v>8</v>
      </c>
      <c r="G5" s="43" t="s">
        <v>80</v>
      </c>
      <c r="H5" s="43" t="s">
        <v>9</v>
      </c>
    </row>
    <row r="6" spans="1:8" ht="15.75" x14ac:dyDescent="0.25">
      <c r="A6" s="30">
        <v>1</v>
      </c>
      <c r="B6" s="32" t="s">
        <v>63</v>
      </c>
      <c r="C6" s="30" t="s">
        <v>64</v>
      </c>
      <c r="D6" s="30"/>
      <c r="E6" s="31">
        <v>1241989</v>
      </c>
      <c r="F6" s="30">
        <v>5</v>
      </c>
      <c r="G6" s="22">
        <v>7015</v>
      </c>
      <c r="H6" s="22">
        <v>1500</v>
      </c>
    </row>
    <row r="7" spans="1:8" ht="15.75" x14ac:dyDescent="0.25">
      <c r="A7" s="30">
        <v>2</v>
      </c>
      <c r="B7" s="30" t="s">
        <v>65</v>
      </c>
      <c r="C7" s="30" t="s">
        <v>64</v>
      </c>
      <c r="D7" s="30"/>
      <c r="E7" s="31">
        <v>1241989</v>
      </c>
      <c r="F7" s="30">
        <v>5</v>
      </c>
      <c r="G7" s="22">
        <v>7015</v>
      </c>
      <c r="H7" s="22">
        <v>1500</v>
      </c>
    </row>
    <row r="8" spans="1:8" ht="15.75" x14ac:dyDescent="0.25">
      <c r="A8" s="30">
        <v>3</v>
      </c>
      <c r="B8" s="30" t="s">
        <v>66</v>
      </c>
      <c r="C8" s="30" t="s">
        <v>64</v>
      </c>
      <c r="D8" s="30"/>
      <c r="E8" s="31">
        <v>1515315</v>
      </c>
      <c r="F8" s="30">
        <v>6</v>
      </c>
      <c r="G8" s="22">
        <v>8697</v>
      </c>
      <c r="H8" s="22">
        <v>1800</v>
      </c>
    </row>
    <row r="9" spans="1:8" ht="15.75" x14ac:dyDescent="0.25">
      <c r="A9" s="30">
        <v>4</v>
      </c>
      <c r="B9" s="30" t="s">
        <v>68</v>
      </c>
      <c r="C9" s="30" t="s">
        <v>67</v>
      </c>
      <c r="D9" s="30"/>
      <c r="E9" s="31">
        <v>1047792</v>
      </c>
      <c r="F9" s="30">
        <v>5</v>
      </c>
      <c r="G9" s="22">
        <v>5842</v>
      </c>
      <c r="H9" s="22">
        <v>1500</v>
      </c>
    </row>
    <row r="10" spans="1:8" ht="15.75" x14ac:dyDescent="0.25">
      <c r="A10" s="30">
        <v>5</v>
      </c>
      <c r="B10" s="30" t="s">
        <v>69</v>
      </c>
      <c r="C10" s="30" t="s">
        <v>70</v>
      </c>
      <c r="D10" s="30"/>
      <c r="E10" s="31">
        <v>1059833</v>
      </c>
      <c r="F10" s="30">
        <v>5</v>
      </c>
      <c r="G10" s="22">
        <v>5890</v>
      </c>
      <c r="H10" s="22">
        <v>1500</v>
      </c>
    </row>
    <row r="11" spans="1:8" ht="15.75" x14ac:dyDescent="0.25">
      <c r="A11" s="30">
        <v>6</v>
      </c>
      <c r="B11" s="30" t="s">
        <v>71</v>
      </c>
      <c r="C11" s="30" t="s">
        <v>70</v>
      </c>
      <c r="D11" s="30"/>
      <c r="E11" s="31">
        <v>1106632</v>
      </c>
      <c r="F11" s="30">
        <v>5</v>
      </c>
      <c r="G11" s="22">
        <v>6168</v>
      </c>
      <c r="H11" s="22">
        <v>1500</v>
      </c>
    </row>
    <row r="12" spans="1:8" ht="15.75" x14ac:dyDescent="0.25">
      <c r="A12" s="30">
        <v>7</v>
      </c>
      <c r="B12" s="30" t="s">
        <v>72</v>
      </c>
      <c r="C12" s="30" t="s">
        <v>73</v>
      </c>
      <c r="D12" s="30"/>
      <c r="E12" s="31">
        <v>1015374</v>
      </c>
      <c r="F12" s="30">
        <v>5</v>
      </c>
      <c r="G12" s="22">
        <v>5631</v>
      </c>
      <c r="H12" s="22">
        <v>1500</v>
      </c>
    </row>
    <row r="13" spans="1:8" ht="15.75" x14ac:dyDescent="0.25">
      <c r="A13" s="30">
        <v>8</v>
      </c>
      <c r="B13" s="30" t="s">
        <v>74</v>
      </c>
      <c r="C13" s="30" t="s">
        <v>73</v>
      </c>
      <c r="D13" s="30"/>
      <c r="E13" s="31">
        <v>983303</v>
      </c>
      <c r="F13" s="30">
        <v>4</v>
      </c>
      <c r="G13" s="22">
        <v>5424</v>
      </c>
      <c r="H13" s="22">
        <v>1200</v>
      </c>
    </row>
    <row r="14" spans="1:8" ht="15.75" x14ac:dyDescent="0.25">
      <c r="A14" s="30">
        <v>9</v>
      </c>
      <c r="B14" s="30" t="s">
        <v>75</v>
      </c>
      <c r="C14" s="30" t="s">
        <v>76</v>
      </c>
      <c r="D14" s="30"/>
      <c r="E14" s="31">
        <v>841631</v>
      </c>
      <c r="F14" s="30">
        <v>4</v>
      </c>
      <c r="G14" s="22">
        <v>4587</v>
      </c>
      <c r="H14" s="22">
        <v>1200</v>
      </c>
    </row>
    <row r="15" spans="1:8" ht="15.75" x14ac:dyDescent="0.25">
      <c r="A15" s="40"/>
      <c r="B15" s="40"/>
      <c r="C15" s="40"/>
      <c r="D15" s="40"/>
      <c r="E15" s="41"/>
      <c r="F15" s="40"/>
      <c r="G15" s="42"/>
      <c r="H15" s="42"/>
    </row>
    <row r="16" spans="1:8" ht="15.75" x14ac:dyDescent="0.25">
      <c r="A16" s="24" t="s">
        <v>10</v>
      </c>
      <c r="B16" s="25"/>
      <c r="C16" s="25"/>
      <c r="D16" s="19"/>
      <c r="E16" s="19">
        <f>SUM(E6:E14)</f>
        <v>10053858</v>
      </c>
      <c r="F16" s="39">
        <f>SUM(F6:F14)</f>
        <v>44</v>
      </c>
      <c r="G16" s="21">
        <f>SUM(G6:G14)</f>
        <v>56269</v>
      </c>
      <c r="H16" s="21">
        <f>SUM(H6:H14)</f>
        <v>13200</v>
      </c>
    </row>
    <row r="17" spans="1:8" x14ac:dyDescent="0.25">
      <c r="E17" s="3"/>
    </row>
    <row r="18" spans="1:8" ht="15.75" x14ac:dyDescent="0.25">
      <c r="A18" s="9" t="s">
        <v>11</v>
      </c>
      <c r="B18" s="10"/>
      <c r="C18" s="11" t="s">
        <v>12</v>
      </c>
      <c r="D18" s="11" t="s">
        <v>13</v>
      </c>
      <c r="E18" s="16" t="s">
        <v>14</v>
      </c>
      <c r="F18" s="38">
        <v>1</v>
      </c>
      <c r="G18" s="18" t="s">
        <v>15</v>
      </c>
      <c r="H18" s="21">
        <f>G16+H16+D28</f>
        <v>69469</v>
      </c>
    </row>
    <row r="19" spans="1:8" ht="15.75" x14ac:dyDescent="0.25">
      <c r="A19" s="12" t="s">
        <v>16</v>
      </c>
      <c r="B19" s="13"/>
      <c r="C19" s="14">
        <v>100000</v>
      </c>
      <c r="D19" s="22" t="s">
        <v>17</v>
      </c>
      <c r="E19" s="16" t="s">
        <v>18</v>
      </c>
      <c r="F19" t="s">
        <v>19</v>
      </c>
      <c r="G19" t="s">
        <v>77</v>
      </c>
    </row>
    <row r="20" spans="1:8" ht="15.75" x14ac:dyDescent="0.25">
      <c r="A20" s="12" t="s">
        <v>20</v>
      </c>
      <c r="B20" s="13"/>
      <c r="C20" s="14">
        <v>10000</v>
      </c>
      <c r="D20" s="22" t="s">
        <v>17</v>
      </c>
      <c r="E20" s="16" t="s">
        <v>21</v>
      </c>
      <c r="F20" t="s">
        <v>22</v>
      </c>
      <c r="G20" t="s">
        <v>79</v>
      </c>
    </row>
    <row r="21" spans="1:8" ht="15.75" x14ac:dyDescent="0.25">
      <c r="A21" s="12" t="s">
        <v>23</v>
      </c>
      <c r="B21" s="13"/>
      <c r="C21" s="14">
        <v>5000</v>
      </c>
      <c r="D21" s="22" t="s">
        <v>17</v>
      </c>
      <c r="E21" s="16" t="s">
        <v>24</v>
      </c>
      <c r="F21" t="s">
        <v>46</v>
      </c>
      <c r="G21" t="s">
        <v>26</v>
      </c>
    </row>
    <row r="22" spans="1:8" ht="15.75" x14ac:dyDescent="0.25">
      <c r="A22" s="12" t="s">
        <v>27</v>
      </c>
      <c r="B22" s="13"/>
      <c r="C22" s="14">
        <v>10000</v>
      </c>
      <c r="D22" s="22" t="s">
        <v>17</v>
      </c>
      <c r="E22" s="16" t="s">
        <v>28</v>
      </c>
      <c r="F22" t="s">
        <v>29</v>
      </c>
      <c r="G22" t="s">
        <v>30</v>
      </c>
    </row>
    <row r="23" spans="1:8" ht="15.75" x14ac:dyDescent="0.25">
      <c r="A23" s="12" t="s">
        <v>31</v>
      </c>
      <c r="B23" s="13"/>
      <c r="C23" s="14">
        <v>5000</v>
      </c>
      <c r="D23" s="22" t="s">
        <v>17</v>
      </c>
      <c r="E23" s="16" t="s">
        <v>32</v>
      </c>
      <c r="F23" t="s">
        <v>33</v>
      </c>
      <c r="G23" t="s">
        <v>34</v>
      </c>
    </row>
    <row r="24" spans="1:8" ht="15.75" x14ac:dyDescent="0.25">
      <c r="A24" s="15" t="s">
        <v>58</v>
      </c>
      <c r="B24" s="13"/>
      <c r="C24" s="14">
        <v>5000</v>
      </c>
      <c r="D24" s="22" t="s">
        <v>17</v>
      </c>
      <c r="E24" s="16" t="s">
        <v>57</v>
      </c>
      <c r="F24" s="1">
        <v>1979</v>
      </c>
      <c r="G24" t="s">
        <v>60</v>
      </c>
    </row>
    <row r="25" spans="1:8" ht="18.75" x14ac:dyDescent="0.3">
      <c r="A25" s="12"/>
      <c r="B25" s="13"/>
      <c r="C25" s="14"/>
      <c r="D25" s="22"/>
      <c r="E25" s="5" t="s">
        <v>35</v>
      </c>
      <c r="F25" s="4"/>
      <c r="G25" s="4"/>
      <c r="H25" s="6">
        <f>E16+C28</f>
        <v>10188858</v>
      </c>
    </row>
    <row r="26" spans="1:8" ht="18.75" x14ac:dyDescent="0.3">
      <c r="A26" s="12"/>
      <c r="B26" s="13"/>
      <c r="C26" s="14"/>
      <c r="D26" s="22"/>
      <c r="E26" s="5" t="s">
        <v>36</v>
      </c>
      <c r="F26" s="4"/>
      <c r="G26" s="4"/>
      <c r="H26" s="27">
        <v>10000</v>
      </c>
    </row>
    <row r="27" spans="1:8" ht="18.75" x14ac:dyDescent="0.3">
      <c r="A27" s="15"/>
      <c r="B27" s="16"/>
      <c r="C27" s="29"/>
      <c r="D27" s="22"/>
      <c r="E27" s="5" t="s">
        <v>37</v>
      </c>
      <c r="F27" s="4"/>
      <c r="G27" s="28" t="s">
        <v>38</v>
      </c>
      <c r="H27" s="23">
        <v>300000</v>
      </c>
    </row>
    <row r="28" spans="1:8" ht="18.75" x14ac:dyDescent="0.3">
      <c r="A28" s="9" t="s">
        <v>39</v>
      </c>
      <c r="B28" s="10"/>
      <c r="C28" s="17">
        <f>SUM(C19:C27)</f>
        <v>135000</v>
      </c>
      <c r="D28" s="26">
        <f>SUM(D19:D27)</f>
        <v>0</v>
      </c>
      <c r="E28" s="5" t="s">
        <v>40</v>
      </c>
      <c r="F28" s="4"/>
      <c r="G28" s="6" t="s">
        <v>48</v>
      </c>
      <c r="H28" s="4">
        <v>100000</v>
      </c>
    </row>
  </sheetData>
  <mergeCells count="3">
    <mergeCell ref="C1:D1"/>
    <mergeCell ref="C2:D2"/>
    <mergeCell ref="C3:D3"/>
  </mergeCells>
  <dataValidations count="6">
    <dataValidation type="list" allowBlank="1" showInputMessage="1" showErrorMessage="1" sqref="F19" xr:uid="{00000000-0002-0000-0000-000000000000}">
      <formula1>rooftype</formula1>
    </dataValidation>
    <dataValidation type="list" allowBlank="1" showInputMessage="1" showErrorMessage="1" sqref="F21" xr:uid="{00000000-0002-0000-0000-000001000000}">
      <formula1>sprinklered</formula1>
    </dataValidation>
    <dataValidation type="list" allowBlank="1" showInputMessage="1" showErrorMessage="1" sqref="F22" xr:uid="{00000000-0002-0000-0000-000002000000}">
      <formula1>smokedetector</formula1>
    </dataValidation>
    <dataValidation type="list" allowBlank="1" showInputMessage="1" showErrorMessage="1" sqref="F23" xr:uid="{00000000-0002-0000-0000-000003000000}">
      <formula1>construction</formula1>
    </dataValidation>
    <dataValidation type="list" allowBlank="1" showInputMessage="1" showErrorMessage="1" sqref="G28" xr:uid="{00000000-0002-0000-0000-000004000000}">
      <formula1>assocfees</formula1>
    </dataValidation>
    <dataValidation type="list" allowBlank="1" showInputMessage="1" showErrorMessage="1" sqref="F20" xr:uid="{00000000-0002-0000-0000-000005000000}">
      <formula1>garagetype</formula1>
    </dataValidation>
  </dataValidations>
  <pageMargins left="0.25" right="0.25" top="0.75" bottom="0.75" header="0.3" footer="0.3"/>
  <pageSetup scale="73" orientation="landscape" verticalDpi="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"/>
  <sheetViews>
    <sheetView workbookViewId="0">
      <selection activeCell="G8" sqref="G8"/>
    </sheetView>
  </sheetViews>
  <sheetFormatPr defaultRowHeight="15" x14ac:dyDescent="0.25"/>
  <cols>
    <col min="2" max="2" width="22.42578125" bestFit="1" customWidth="1"/>
    <col min="4" max="4" width="11.28515625" bestFit="1" customWidth="1"/>
    <col min="5" max="5" width="28.5703125" bestFit="1" customWidth="1"/>
    <col min="6" max="6" width="27.5703125" bestFit="1" customWidth="1"/>
  </cols>
  <sheetData>
    <row r="1" spans="1:7" ht="15.75" x14ac:dyDescent="0.25">
      <c r="A1" s="16" t="s">
        <v>41</v>
      </c>
      <c r="B1" s="16" t="s">
        <v>42</v>
      </c>
      <c r="C1" s="16" t="s">
        <v>25</v>
      </c>
      <c r="D1" s="16" t="s">
        <v>43</v>
      </c>
      <c r="E1" s="16" t="s">
        <v>33</v>
      </c>
      <c r="F1" s="20">
        <v>100000</v>
      </c>
    </row>
    <row r="2" spans="1:7" ht="15.75" x14ac:dyDescent="0.25">
      <c r="A2" s="16" t="s">
        <v>44</v>
      </c>
      <c r="B2" s="16" t="s">
        <v>45</v>
      </c>
      <c r="C2" s="16" t="s">
        <v>46</v>
      </c>
      <c r="D2" s="16" t="s">
        <v>29</v>
      </c>
      <c r="E2" s="16" t="s">
        <v>47</v>
      </c>
      <c r="F2" s="16" t="s">
        <v>48</v>
      </c>
    </row>
    <row r="3" spans="1:7" ht="15.75" x14ac:dyDescent="0.25">
      <c r="A3" s="16" t="s">
        <v>19</v>
      </c>
      <c r="B3" s="16" t="s">
        <v>22</v>
      </c>
      <c r="C3" s="16" t="s">
        <v>49</v>
      </c>
      <c r="D3" s="16" t="s">
        <v>50</v>
      </c>
      <c r="E3" s="16" t="s">
        <v>51</v>
      </c>
      <c r="F3" s="16" t="s">
        <v>50</v>
      </c>
      <c r="G3" s="16"/>
    </row>
    <row r="4" spans="1:7" ht="15.75" x14ac:dyDescent="0.25">
      <c r="A4" s="16" t="s">
        <v>52</v>
      </c>
      <c r="B4" s="16" t="s">
        <v>53</v>
      </c>
      <c r="C4" s="16"/>
      <c r="D4" s="16"/>
      <c r="E4" s="16" t="s">
        <v>54</v>
      </c>
      <c r="F4" s="16"/>
    </row>
    <row r="5" spans="1:7" ht="15.75" x14ac:dyDescent="0.25">
      <c r="A5" s="16"/>
      <c r="B5" s="16" t="s">
        <v>55</v>
      </c>
      <c r="C5" s="16"/>
      <c r="D5" s="16"/>
      <c r="E5" s="16"/>
      <c r="F5" s="16"/>
    </row>
    <row r="6" spans="1:7" ht="15.75" x14ac:dyDescent="0.25">
      <c r="A6" s="16"/>
      <c r="B6" s="16" t="s">
        <v>56</v>
      </c>
      <c r="C6" s="16"/>
      <c r="D6" s="16"/>
      <c r="E6" s="16"/>
      <c r="F6" s="16"/>
    </row>
    <row r="7" spans="1:7" ht="15.75" x14ac:dyDescent="0.25">
      <c r="A7" s="16"/>
      <c r="B7" s="16"/>
      <c r="C7" s="16"/>
      <c r="D7" s="16"/>
      <c r="E7" s="16"/>
      <c r="F7" s="1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C78C132932754C8148AF12D17B3413" ma:contentTypeVersion="0" ma:contentTypeDescription="Create a new document." ma:contentTypeScope="" ma:versionID="1f3e0f26296dc6b8688be0a0b54b5993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2fdb0ffa457db17e93317e727f8a95b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8F7A9FD-5A42-4E85-995F-FF50B830BB2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6298DAF-66A3-4152-865F-59C1EE3C011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B8423A50-1AFA-4D8D-A52F-AE356BFB8E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7</vt:i4>
      </vt:variant>
    </vt:vector>
  </HeadingPairs>
  <TitlesOfParts>
    <vt:vector size="10" baseType="lpstr">
      <vt:lpstr>Sheet1</vt:lpstr>
      <vt:lpstr>Sheet2</vt:lpstr>
      <vt:lpstr>Sheet3</vt:lpstr>
      <vt:lpstr>assocfees</vt:lpstr>
      <vt:lpstr>construction</vt:lpstr>
      <vt:lpstr>garagetype</vt:lpstr>
      <vt:lpstr>Sheet1!Print_Area</vt:lpstr>
      <vt:lpstr>rooftype</vt:lpstr>
      <vt:lpstr>smokedetector</vt:lpstr>
      <vt:lpstr>sprinklered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Leslie Ware</dc:creator>
  <cp:keywords/>
  <dc:description/>
  <cp:lastModifiedBy>Jake Jeong</cp:lastModifiedBy>
  <cp:revision/>
  <dcterms:created xsi:type="dcterms:W3CDTF">2012-01-09T17:03:03Z</dcterms:created>
  <dcterms:modified xsi:type="dcterms:W3CDTF">2025-09-18T18:55:47Z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0x01010098C78C132932754C8148AF12D17B3413</vt:lpwstr>
  </property>
</Properties>
</file>