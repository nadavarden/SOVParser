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baldwininsurance-my.sharepoint.com/personal/nichole_block_baldwin_com/Documents/Documents/"/>
    </mc:Choice>
  </mc:AlternateContent>
  <xr:revisionPtr revIDLastSave="0" documentId="8_{F59080F7-A909-449D-8C4C-0646575C92B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atement of Values" sheetId="1" r:id="rId1"/>
    <sheet name="Sheet2" sheetId="2" state="hidden" r:id="rId2"/>
  </sheets>
  <definedNames>
    <definedName name="assocfees">Sheet2!$F:$F</definedName>
    <definedName name="construction">Sheet2!$E:$E</definedName>
    <definedName name="garagetype">Sheet2!$B:$B</definedName>
    <definedName name="rooftype">Sheet2!$A:$A</definedName>
    <definedName name="smokedetector">Sheet2!$D:$D</definedName>
    <definedName name="sprinklered">Sheet2!$C:$C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M30" i="1" l="1"/>
  <c r="L30" i="1"/>
  <c r="N30" i="1"/>
  <c r="G30" i="1"/>
  <c r="D30" i="1"/>
</calcChain>
</file>

<file path=xl/sharedStrings.xml><?xml version="1.0" encoding="utf-8"?>
<sst xmlns="http://schemas.openxmlformats.org/spreadsheetml/2006/main" count="173" uniqueCount="42">
  <si>
    <t>Bldg #</t>
  </si>
  <si>
    <t>Address #</t>
  </si>
  <si>
    <t>Street Name</t>
  </si>
  <si>
    <t>Building Replacement Cost (including Garages)</t>
  </si>
  <si>
    <t># of Units</t>
  </si>
  <si>
    <t xml:space="preserve">Tile </t>
  </si>
  <si>
    <t>Habitational over Garage</t>
  </si>
  <si>
    <t>Yes</t>
  </si>
  <si>
    <t>Battery</t>
  </si>
  <si>
    <t>Frame</t>
  </si>
  <si>
    <t>Comp.</t>
  </si>
  <si>
    <t>Detached</t>
  </si>
  <si>
    <t>No</t>
  </si>
  <si>
    <t>Hard-Wired</t>
  </si>
  <si>
    <t>Joisted Masonry</t>
  </si>
  <si>
    <t>Actual Loss Sustained Total:</t>
  </si>
  <si>
    <t>Flat</t>
  </si>
  <si>
    <t>Attached</t>
  </si>
  <si>
    <t>Partially</t>
  </si>
  <si>
    <t>None</t>
  </si>
  <si>
    <t>Fire Resistive</t>
  </si>
  <si>
    <t>Shake</t>
  </si>
  <si>
    <t>Subterranean</t>
  </si>
  <si>
    <t>Steel Frame w/ Concrete Block</t>
  </si>
  <si>
    <t>Masonry Above-Ground</t>
  </si>
  <si>
    <t>Partial Subterranean</t>
  </si>
  <si>
    <t>Arbor Grove Homeowners Association, Inc.</t>
  </si>
  <si>
    <t>Arbor Parkway</t>
  </si>
  <si>
    <t>Grove Way</t>
  </si>
  <si>
    <t>Year Built</t>
  </si>
  <si>
    <t>Construction</t>
  </si>
  <si>
    <t>Square Feet</t>
  </si>
  <si>
    <t>% Sprinklered</t>
  </si>
  <si>
    <t>Smoke Detectors</t>
  </si>
  <si>
    <t>HW w/battery backup</t>
  </si>
  <si>
    <t>Fire Alarm</t>
  </si>
  <si>
    <t>Central Station</t>
  </si>
  <si>
    <t>Roof Type</t>
  </si>
  <si>
    <t>Asphalt Shingles</t>
  </si>
  <si>
    <t>Business Personal Property</t>
  </si>
  <si>
    <t>Business Income</t>
  </si>
  <si>
    <t>TOTALS: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</si>
</sst>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41" formatCode="_(* #,##0_);_(* \(#,##0\);_(* &quot;-&quot;_);_(@_)"/>
    <numFmt numFmtId="43" formatCode="_(* #,##0.00_);_(* \(#,##0.00\);_(* &quot;-&quot;??_);_(@_)"/>
    <numFmt numFmtId="164" formatCode="&quot;$&quot;#,##0"/>
    <numFmt numFmtId="166" formatCode="0_);\(0\)"/>
  </numFmts>
  <fonts count="7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29">
    <xf numFmtId="0" fontId="0" fillId="0" borderId="0" xfId="0"/>
    <xf numFmtId="0" fontId="0" fillId="0" borderId="0" xfId="0" applyAlignment="1">
      <alignment wrapText="1"/>
    </xf>
    <xf numFmtId="164" fontId="2" fillId="0" borderId="1" xfId="0" applyNumberFormat="1" applyFont="1" applyBorder="1"/>
    <xf numFmtId="0" fontId="2" fillId="0" borderId="1" xfId="0" applyFont="1" applyBorder="1"/>
    <xf numFmtId="0" fontId="2" fillId="0" borderId="0" xfId="0" applyFont="1"/>
    <xf numFmtId="6" fontId="2" fillId="0" borderId="0" xfId="0" applyNumberFormat="1" applyFont="1"/>
    <xf numFmtId="3" fontId="2" fillId="0" borderId="1" xfId="0" applyNumberFormat="1" applyFont="1" applyBorder="1"/>
    <xf numFmtId="0" fontId="3" fillId="0" borderId="1" xfId="0" applyFont="1" applyBorder="1" applyAlignment="1">
      <alignment wrapText="1"/>
    </xf>
    <xf numFmtId="0" fontId="0" fillId="0" borderId="0" xfId="0" applyAlignment="1">
      <alignment horizontal="center"/>
    </xf>
    <xf numFmtId="0" fontId="2" fillId="0" borderId="3" xfId="0" applyFont="1" applyBorder="1"/>
    <xf numFmtId="166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 wrapText="1"/>
    </xf>
    <xf numFmtId="166" fontId="0" fillId="0" borderId="3" xfId="0" applyNumberFormat="1" applyBorder="1" applyAlignment="1">
      <alignment horizontal="center" wrapText="1"/>
    </xf>
    <xf numFmtId="166" fontId="0" fillId="0" borderId="8" xfId="0" applyNumberFormat="1" applyBorder="1" applyAlignment="1">
      <alignment horizontal="center" wrapText="1"/>
    </xf>
    <xf numFmtId="0" fontId="6" fillId="0" borderId="7" xfId="0" applyFont="1" applyBorder="1" applyAlignment="1">
      <alignment horizontal="center"/>
    </xf>
    <xf numFmtId="0" fontId="5" fillId="0" borderId="9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1" fillId="4" borderId="6" xfId="0" applyFont="1" applyFill="1" applyBorder="1"/>
    <xf numFmtId="3" fontId="1" fillId="3" borderId="1" xfId="0" applyNumberFormat="1" applyFont="1" applyFill="1" applyBorder="1"/>
    <xf numFmtId="3" fontId="1" fillId="3" borderId="4" xfId="0" applyNumberFormat="1" applyFont="1" applyFill="1" applyBorder="1"/>
    <xf numFmtId="164" fontId="1" fillId="2" borderId="5" xfId="0" applyNumberFormat="1" applyFont="1" applyFill="1" applyBorder="1"/>
    <xf numFmtId="0" fontId="0" fillId="0" borderId="1" xfId="0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 wrapText="1"/>
    </xf>
    <xf numFmtId="41" fontId="0" fillId="0" borderId="1" xfId="1" applyNumberFormat="1" applyFont="1" applyBorder="1" applyAlignment="1">
      <alignment horizontal="center" wrapText="1"/>
    </xf>
    <xf numFmtId="41" fontId="0" fillId="0" borderId="0" xfId="1" applyNumberFormat="1" applyFont="1" applyAlignment="1">
      <alignment horizontal="center" wrapText="1"/>
    </xf>
    <xf numFmtId="41" fontId="0" fillId="0" borderId="3" xfId="1" applyNumberFormat="1" applyFont="1" applyBorder="1" applyAlignment="1">
      <alignment horizontal="center"/>
    </xf>
    <xf numFmtId="41" fontId="0" fillId="0" borderId="1" xfId="1" applyNumberFormat="1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colors>
    <mruColors>
      <color rgb="FFCCFFCC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"/>
  <sheetViews>
    <sheetView tabSelected="1" zoomScale="70" zoomScaleNormal="70" zoomScalePageLayoutView="125" workbookViewId="0">
      <selection activeCell="G12" sqref="G12"/>
    </sheetView>
  </sheetViews>
  <sheetFormatPr defaultColWidth="8.85546875" defaultRowHeight="15" x14ac:dyDescent="0.25"/>
  <cols>
    <col min="1" max="1" width="8.7109375" customWidth="1"/>
    <col min="2" max="2" width="11.85546875" customWidth="1"/>
    <col min="3" max="3" width="26.42578125" customWidth="1"/>
    <col min="4" max="4" width="12.7109375" customWidth="1"/>
    <col min="5" max="5" width="13.7109375" customWidth="1"/>
    <col min="6" max="6" width="12.28515625" customWidth="1"/>
    <col min="7" max="7" width="13.28515625" customWidth="1"/>
    <col min="8" max="8" width="15.5703125" customWidth="1"/>
    <col min="9" max="13" width="22.28515625" customWidth="1"/>
    <col min="14" max="14" width="35" customWidth="1"/>
  </cols>
  <sheetData>
    <row r="1" spans="1:14" ht="28.5" x14ac:dyDescent="0.45">
      <c r="A1" s="14" t="s">
        <v>26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spans="1:14" s="1" customFormat="1" ht="34.5" x14ac:dyDescent="0.3">
      <c r="A2" s="7" t="s">
        <v>0</v>
      </c>
      <c r="B2" s="7" t="s">
        <v>1</v>
      </c>
      <c r="C2" s="7" t="s">
        <v>2</v>
      </c>
      <c r="D2" s="7" t="s">
        <v>4</v>
      </c>
      <c r="E2" s="7" t="s">
        <v>30</v>
      </c>
      <c r="F2" s="7" t="s">
        <v>29</v>
      </c>
      <c r="G2" s="7" t="s">
        <v>31</v>
      </c>
      <c r="H2" s="7" t="s">
        <v>32</v>
      </c>
      <c r="I2" s="7" t="s">
        <v>33</v>
      </c>
      <c r="J2" s="7" t="s">
        <v>35</v>
      </c>
      <c r="K2" s="7" t="s">
        <v>37</v>
      </c>
      <c r="L2" s="7" t="s">
        <v>40</v>
      </c>
      <c r="M2" s="7" t="s">
        <v>39</v>
      </c>
      <c r="N2" s="7" t="s">
        <v>3</v>
      </c>
    </row>
    <row r="3" spans="1:14" ht="15.75" x14ac:dyDescent="0.25">
      <c r="A3" s="3">
        <v>1</v>
      </c>
      <c r="B3" s="22">
        <v>700</v>
      </c>
      <c r="C3" s="6" t="s">
        <v>27</v>
      </c>
      <c r="D3" s="22">
        <v>2</v>
      </c>
      <c r="E3" s="22" t="s">
        <v>9</v>
      </c>
      <c r="F3" s="22">
        <v>2013</v>
      </c>
      <c r="G3" s="27">
        <v>4616</v>
      </c>
      <c r="H3" s="10">
        <v>0</v>
      </c>
      <c r="I3" s="12" t="s">
        <v>34</v>
      </c>
      <c r="J3" s="11" t="s">
        <v>19</v>
      </c>
      <c r="K3" s="24" t="s">
        <v>38</v>
      </c>
      <c r="L3" s="25">
        <v>10000</v>
      </c>
      <c r="M3" s="25">
        <v>0</v>
      </c>
      <c r="N3" s="2">
        <v>572425.69999999995</v>
      </c>
    </row>
    <row r="4" spans="1:14" ht="15.75" x14ac:dyDescent="0.25">
      <c r="A4" s="3">
        <v>2</v>
      </c>
      <c r="B4" s="22">
        <v>701</v>
      </c>
      <c r="C4" s="6" t="s">
        <v>27</v>
      </c>
      <c r="D4" s="22">
        <v>4</v>
      </c>
      <c r="E4" s="22" t="s">
        <v>9</v>
      </c>
      <c r="F4" s="22">
        <v>2009</v>
      </c>
      <c r="G4" s="28">
        <v>6495</v>
      </c>
      <c r="H4" s="23">
        <v>0</v>
      </c>
      <c r="I4" s="24" t="s">
        <v>34</v>
      </c>
      <c r="J4" s="24" t="s">
        <v>19</v>
      </c>
      <c r="K4" s="13" t="s">
        <v>38</v>
      </c>
      <c r="L4" s="25">
        <v>12000</v>
      </c>
      <c r="M4" s="25">
        <v>0</v>
      </c>
      <c r="N4" s="2">
        <v>1144851</v>
      </c>
    </row>
    <row r="5" spans="1:14" ht="15.75" x14ac:dyDescent="0.25">
      <c r="A5" s="3">
        <v>3</v>
      </c>
      <c r="B5" s="22">
        <v>702</v>
      </c>
      <c r="C5" s="6" t="s">
        <v>27</v>
      </c>
      <c r="D5" s="22">
        <v>2</v>
      </c>
      <c r="E5" s="22" t="s">
        <v>9</v>
      </c>
      <c r="F5" s="22">
        <v>2012</v>
      </c>
      <c r="G5" s="28">
        <v>4176</v>
      </c>
      <c r="H5" s="23">
        <v>0</v>
      </c>
      <c r="I5" s="24" t="s">
        <v>34</v>
      </c>
      <c r="J5" s="24" t="s">
        <v>19</v>
      </c>
      <c r="K5" s="24" t="s">
        <v>38</v>
      </c>
      <c r="L5" s="25">
        <v>10000</v>
      </c>
      <c r="M5" s="25">
        <v>0</v>
      </c>
      <c r="N5" s="2">
        <v>572425.69999999995</v>
      </c>
    </row>
    <row r="6" spans="1:14" ht="15.75" x14ac:dyDescent="0.25">
      <c r="A6" s="3">
        <v>4</v>
      </c>
      <c r="B6" s="22">
        <v>703</v>
      </c>
      <c r="C6" s="6" t="s">
        <v>27</v>
      </c>
      <c r="D6" s="22">
        <v>4</v>
      </c>
      <c r="E6" s="22" t="s">
        <v>9</v>
      </c>
      <c r="F6" s="22">
        <v>2008</v>
      </c>
      <c r="G6" s="28">
        <v>7251</v>
      </c>
      <c r="H6" s="23">
        <v>0</v>
      </c>
      <c r="I6" s="24" t="s">
        <v>34</v>
      </c>
      <c r="J6" s="24" t="s">
        <v>19</v>
      </c>
      <c r="K6" s="24" t="s">
        <v>38</v>
      </c>
      <c r="L6" s="26">
        <v>12000</v>
      </c>
      <c r="M6" s="25">
        <v>0</v>
      </c>
      <c r="N6" s="2">
        <v>1144851</v>
      </c>
    </row>
    <row r="7" spans="1:14" ht="15.75" x14ac:dyDescent="0.25">
      <c r="A7" s="3">
        <v>5</v>
      </c>
      <c r="B7" s="22">
        <v>704</v>
      </c>
      <c r="C7" s="6" t="s">
        <v>27</v>
      </c>
      <c r="D7" s="22">
        <v>2</v>
      </c>
      <c r="E7" s="22" t="s">
        <v>9</v>
      </c>
      <c r="F7" s="22">
        <v>2012</v>
      </c>
      <c r="G7" s="28">
        <v>3936</v>
      </c>
      <c r="H7" s="23">
        <v>0</v>
      </c>
      <c r="I7" s="24" t="s">
        <v>34</v>
      </c>
      <c r="J7" s="24" t="s">
        <v>19</v>
      </c>
      <c r="K7" s="24" t="s">
        <v>38</v>
      </c>
      <c r="L7" s="25">
        <v>10000</v>
      </c>
      <c r="M7" s="25">
        <v>0</v>
      </c>
      <c r="N7" s="2">
        <v>572425.69999999995</v>
      </c>
    </row>
    <row r="8" spans="1:14" ht="15.75" x14ac:dyDescent="0.25">
      <c r="A8" s="3">
        <v>6</v>
      </c>
      <c r="B8" s="22">
        <v>705</v>
      </c>
      <c r="C8" s="6" t="s">
        <v>27</v>
      </c>
      <c r="D8" s="22">
        <v>4</v>
      </c>
      <c r="E8" s="22" t="s">
        <v>9</v>
      </c>
      <c r="F8" s="22">
        <v>2007</v>
      </c>
      <c r="G8" s="28">
        <v>6811</v>
      </c>
      <c r="H8" s="23">
        <v>0</v>
      </c>
      <c r="I8" s="24" t="s">
        <v>34</v>
      </c>
      <c r="J8" s="24" t="s">
        <v>19</v>
      </c>
      <c r="K8" s="24" t="s">
        <v>38</v>
      </c>
      <c r="L8" s="25">
        <v>12000</v>
      </c>
      <c r="M8" s="25">
        <v>0</v>
      </c>
      <c r="N8" s="2">
        <v>1144851</v>
      </c>
    </row>
    <row r="9" spans="1:14" ht="15.75" x14ac:dyDescent="0.25">
      <c r="A9" s="3">
        <v>7</v>
      </c>
      <c r="B9" s="22">
        <v>706</v>
      </c>
      <c r="C9" s="6" t="s">
        <v>27</v>
      </c>
      <c r="D9" s="22">
        <v>2</v>
      </c>
      <c r="E9" s="22" t="s">
        <v>9</v>
      </c>
      <c r="F9" s="22">
        <v>2007</v>
      </c>
      <c r="G9" s="28">
        <v>3936</v>
      </c>
      <c r="H9" s="23">
        <v>0</v>
      </c>
      <c r="I9" s="24" t="s">
        <v>34</v>
      </c>
      <c r="J9" s="24" t="s">
        <v>19</v>
      </c>
      <c r="K9" s="24" t="s">
        <v>38</v>
      </c>
      <c r="L9" s="25">
        <v>10000</v>
      </c>
      <c r="M9" s="25">
        <v>0</v>
      </c>
      <c r="N9" s="2">
        <v>572425.69999999995</v>
      </c>
    </row>
    <row r="10" spans="1:14" ht="15.75" x14ac:dyDescent="0.25">
      <c r="A10" s="3">
        <v>8</v>
      </c>
      <c r="B10" s="22">
        <v>707</v>
      </c>
      <c r="C10" s="6" t="s">
        <v>27</v>
      </c>
      <c r="D10" s="22">
        <v>4</v>
      </c>
      <c r="E10" s="22" t="s">
        <v>9</v>
      </c>
      <c r="F10" s="22">
        <v>2006</v>
      </c>
      <c r="G10" s="28">
        <v>6992</v>
      </c>
      <c r="H10" s="23">
        <v>0</v>
      </c>
      <c r="I10" s="24" t="s">
        <v>34</v>
      </c>
      <c r="J10" s="24" t="s">
        <v>19</v>
      </c>
      <c r="K10" s="24" t="s">
        <v>38</v>
      </c>
      <c r="L10" s="25">
        <v>12000</v>
      </c>
      <c r="M10" s="25">
        <v>0</v>
      </c>
      <c r="N10" s="2">
        <v>1144851</v>
      </c>
    </row>
    <row r="11" spans="1:14" ht="15.75" x14ac:dyDescent="0.25">
      <c r="A11" s="3">
        <v>9</v>
      </c>
      <c r="B11" s="22">
        <v>708</v>
      </c>
      <c r="C11" s="6" t="s">
        <v>27</v>
      </c>
      <c r="D11" s="22">
        <v>2</v>
      </c>
      <c r="E11" s="22" t="s">
        <v>9</v>
      </c>
      <c r="F11" s="22">
        <v>2007</v>
      </c>
      <c r="G11" s="28">
        <v>2940</v>
      </c>
      <c r="H11" s="23">
        <v>0</v>
      </c>
      <c r="I11" s="24" t="s">
        <v>34</v>
      </c>
      <c r="J11" s="24" t="s">
        <v>19</v>
      </c>
      <c r="K11" s="24" t="s">
        <v>38</v>
      </c>
      <c r="L11" s="25">
        <v>10000</v>
      </c>
      <c r="M11" s="25">
        <v>0</v>
      </c>
      <c r="N11" s="2">
        <v>572425.69999999995</v>
      </c>
    </row>
    <row r="12" spans="1:14" ht="15.75" x14ac:dyDescent="0.25">
      <c r="A12" s="3">
        <v>10</v>
      </c>
      <c r="B12" s="22">
        <v>709</v>
      </c>
      <c r="C12" s="6" t="s">
        <v>27</v>
      </c>
      <c r="D12" s="22">
        <v>1</v>
      </c>
      <c r="E12" s="22" t="s">
        <v>9</v>
      </c>
      <c r="F12" s="22">
        <v>2007</v>
      </c>
      <c r="G12" s="28">
        <v>2000</v>
      </c>
      <c r="H12" s="23">
        <v>0</v>
      </c>
      <c r="I12" s="24" t="s">
        <v>34</v>
      </c>
      <c r="J12" s="24" t="s">
        <v>36</v>
      </c>
      <c r="K12" s="24" t="s">
        <v>38</v>
      </c>
      <c r="L12" s="26">
        <v>0</v>
      </c>
      <c r="M12" s="25">
        <v>250000</v>
      </c>
      <c r="N12" s="2">
        <v>289711</v>
      </c>
    </row>
    <row r="13" spans="1:14" ht="15.75" x14ac:dyDescent="0.25">
      <c r="A13" s="3">
        <v>11</v>
      </c>
      <c r="B13" s="22">
        <v>710</v>
      </c>
      <c r="C13" s="6" t="s">
        <v>27</v>
      </c>
      <c r="D13" s="22">
        <v>2</v>
      </c>
      <c r="E13" s="22" t="s">
        <v>9</v>
      </c>
      <c r="F13" s="22">
        <v>2009</v>
      </c>
      <c r="G13" s="28">
        <v>3496</v>
      </c>
      <c r="H13" s="23">
        <v>0</v>
      </c>
      <c r="I13" s="24" t="s">
        <v>34</v>
      </c>
      <c r="J13" s="24" t="s">
        <v>19</v>
      </c>
      <c r="K13" s="24" t="s">
        <v>38</v>
      </c>
      <c r="L13" s="25">
        <v>10000</v>
      </c>
      <c r="M13" s="25">
        <v>0</v>
      </c>
      <c r="N13" s="2">
        <v>572425.69999999995</v>
      </c>
    </row>
    <row r="14" spans="1:14" ht="15.75" x14ac:dyDescent="0.25">
      <c r="A14" s="3">
        <v>12</v>
      </c>
      <c r="B14" s="22">
        <v>711</v>
      </c>
      <c r="C14" s="6" t="s">
        <v>27</v>
      </c>
      <c r="D14" s="22">
        <v>4</v>
      </c>
      <c r="E14" s="22" t="s">
        <v>9</v>
      </c>
      <c r="F14" s="22">
        <v>2007</v>
      </c>
      <c r="G14" s="28">
        <v>7672</v>
      </c>
      <c r="H14" s="23">
        <v>0</v>
      </c>
      <c r="I14" s="24" t="s">
        <v>34</v>
      </c>
      <c r="J14" s="24" t="s">
        <v>19</v>
      </c>
      <c r="K14" s="24" t="s">
        <v>38</v>
      </c>
      <c r="L14" s="25">
        <v>12000</v>
      </c>
      <c r="M14" s="25">
        <v>0</v>
      </c>
      <c r="N14" s="2">
        <v>1144851</v>
      </c>
    </row>
    <row r="15" spans="1:14" ht="15.75" x14ac:dyDescent="0.25">
      <c r="A15" s="3">
        <v>13</v>
      </c>
      <c r="B15" s="22">
        <v>713</v>
      </c>
      <c r="C15" s="6" t="s">
        <v>27</v>
      </c>
      <c r="D15" s="22">
        <v>4</v>
      </c>
      <c r="E15" s="22" t="s">
        <v>9</v>
      </c>
      <c r="F15" s="22">
        <v>2007</v>
      </c>
      <c r="G15" s="28">
        <v>7251</v>
      </c>
      <c r="H15" s="23">
        <v>0</v>
      </c>
      <c r="I15" s="24" t="s">
        <v>34</v>
      </c>
      <c r="J15" s="24" t="s">
        <v>19</v>
      </c>
      <c r="K15" s="24" t="s">
        <v>38</v>
      </c>
      <c r="L15" s="25">
        <v>12000</v>
      </c>
      <c r="M15" s="25">
        <v>0</v>
      </c>
      <c r="N15" s="2">
        <v>1144851</v>
      </c>
    </row>
    <row r="16" spans="1:14" ht="15.75" x14ac:dyDescent="0.25">
      <c r="A16" s="3">
        <v>14</v>
      </c>
      <c r="B16" s="8">
        <v>715</v>
      </c>
      <c r="C16" s="6" t="s">
        <v>27</v>
      </c>
      <c r="D16" s="22">
        <v>4</v>
      </c>
      <c r="E16" s="22" t="s">
        <v>9</v>
      </c>
      <c r="F16" s="22">
        <v>2014</v>
      </c>
      <c r="G16" s="28">
        <v>7912</v>
      </c>
      <c r="H16" s="23">
        <v>0</v>
      </c>
      <c r="I16" s="24" t="s">
        <v>34</v>
      </c>
      <c r="J16" s="24" t="s">
        <v>19</v>
      </c>
      <c r="K16" s="24" t="s">
        <v>38</v>
      </c>
      <c r="L16" s="25">
        <v>12000</v>
      </c>
      <c r="M16" s="25">
        <v>0</v>
      </c>
      <c r="N16" s="2">
        <v>1144851</v>
      </c>
    </row>
    <row r="17" spans="1:14" ht="15.75" x14ac:dyDescent="0.25">
      <c r="A17" s="3">
        <v>15</v>
      </c>
      <c r="B17" s="22">
        <v>717</v>
      </c>
      <c r="C17" s="6" t="s">
        <v>27</v>
      </c>
      <c r="D17" s="8">
        <v>4</v>
      </c>
      <c r="E17" s="22" t="s">
        <v>9</v>
      </c>
      <c r="F17" s="22">
        <v>2014</v>
      </c>
      <c r="G17" s="28">
        <v>7232</v>
      </c>
      <c r="H17" s="23">
        <v>0</v>
      </c>
      <c r="I17" s="24" t="s">
        <v>34</v>
      </c>
      <c r="J17" s="24" t="s">
        <v>19</v>
      </c>
      <c r="K17" s="24" t="s">
        <v>38</v>
      </c>
      <c r="L17" s="25">
        <v>12000</v>
      </c>
      <c r="M17" s="25">
        <v>0</v>
      </c>
      <c r="N17" s="2">
        <v>1144851</v>
      </c>
    </row>
    <row r="18" spans="1:14" ht="15.75" x14ac:dyDescent="0.25">
      <c r="A18" s="3">
        <v>16</v>
      </c>
      <c r="B18" s="22">
        <v>719</v>
      </c>
      <c r="C18" s="6" t="s">
        <v>27</v>
      </c>
      <c r="D18" s="22">
        <v>4</v>
      </c>
      <c r="E18" s="22" t="s">
        <v>9</v>
      </c>
      <c r="F18" s="22">
        <v>2013</v>
      </c>
      <c r="G18" s="28">
        <v>9232</v>
      </c>
      <c r="H18" s="23">
        <v>0</v>
      </c>
      <c r="I18" s="24" t="s">
        <v>34</v>
      </c>
      <c r="J18" s="24" t="s">
        <v>19</v>
      </c>
      <c r="K18" s="24" t="s">
        <v>38</v>
      </c>
      <c r="L18" s="25">
        <v>12000</v>
      </c>
      <c r="M18" s="25">
        <v>0</v>
      </c>
      <c r="N18" s="2">
        <v>1144851</v>
      </c>
    </row>
    <row r="19" spans="1:14" ht="15.75" x14ac:dyDescent="0.25">
      <c r="A19" s="3">
        <v>17</v>
      </c>
      <c r="B19" s="8">
        <v>720</v>
      </c>
      <c r="C19" s="3" t="s">
        <v>28</v>
      </c>
      <c r="D19" s="8">
        <v>4</v>
      </c>
      <c r="E19" s="22" t="s">
        <v>9</v>
      </c>
      <c r="F19" s="22">
        <v>2009</v>
      </c>
      <c r="G19" s="28">
        <v>7232</v>
      </c>
      <c r="H19" s="23">
        <v>0</v>
      </c>
      <c r="I19" s="24" t="s">
        <v>34</v>
      </c>
      <c r="J19" s="24" t="s">
        <v>19</v>
      </c>
      <c r="K19" s="24" t="s">
        <v>38</v>
      </c>
      <c r="L19" s="25">
        <v>12000</v>
      </c>
      <c r="M19" s="25">
        <v>0</v>
      </c>
      <c r="N19" s="2">
        <v>1144851</v>
      </c>
    </row>
    <row r="20" spans="1:14" ht="15.75" x14ac:dyDescent="0.25">
      <c r="A20" s="3">
        <v>18</v>
      </c>
      <c r="B20" s="22">
        <v>721</v>
      </c>
      <c r="C20" s="3" t="s">
        <v>28</v>
      </c>
      <c r="D20" s="22">
        <v>4</v>
      </c>
      <c r="E20" s="22" t="s">
        <v>9</v>
      </c>
      <c r="F20" s="22">
        <v>2014</v>
      </c>
      <c r="G20" s="28">
        <v>7672</v>
      </c>
      <c r="H20" s="23">
        <v>0</v>
      </c>
      <c r="I20" s="24" t="s">
        <v>34</v>
      </c>
      <c r="J20" s="24" t="s">
        <v>19</v>
      </c>
      <c r="K20" s="24" t="s">
        <v>38</v>
      </c>
      <c r="L20" s="25">
        <v>12000</v>
      </c>
      <c r="M20" s="25">
        <v>0</v>
      </c>
      <c r="N20" s="2">
        <v>1144851</v>
      </c>
    </row>
    <row r="21" spans="1:14" ht="15.75" x14ac:dyDescent="0.25">
      <c r="A21" s="3">
        <v>19</v>
      </c>
      <c r="B21" s="22">
        <v>722</v>
      </c>
      <c r="C21" s="3" t="s">
        <v>28</v>
      </c>
      <c r="D21" s="22">
        <v>4</v>
      </c>
      <c r="E21" s="22" t="s">
        <v>9</v>
      </c>
      <c r="F21" s="22">
        <v>2013</v>
      </c>
      <c r="G21" s="28">
        <v>6811</v>
      </c>
      <c r="H21" s="23">
        <v>0</v>
      </c>
      <c r="I21" s="24" t="s">
        <v>34</v>
      </c>
      <c r="J21" s="24" t="s">
        <v>19</v>
      </c>
      <c r="K21" s="24" t="s">
        <v>38</v>
      </c>
      <c r="L21" s="25">
        <v>12000</v>
      </c>
      <c r="M21" s="25">
        <v>0</v>
      </c>
      <c r="N21" s="2">
        <v>1144851</v>
      </c>
    </row>
    <row r="22" spans="1:14" ht="15.75" x14ac:dyDescent="0.25">
      <c r="A22" s="3">
        <v>20</v>
      </c>
      <c r="B22" s="8">
        <v>723</v>
      </c>
      <c r="C22" s="3" t="s">
        <v>28</v>
      </c>
      <c r="D22" s="22">
        <v>4</v>
      </c>
      <c r="E22" s="22" t="s">
        <v>9</v>
      </c>
      <c r="F22" s="22">
        <v>2014</v>
      </c>
      <c r="G22" s="28">
        <v>6811</v>
      </c>
      <c r="H22" s="23">
        <v>0</v>
      </c>
      <c r="I22" s="24" t="s">
        <v>34</v>
      </c>
      <c r="J22" s="24" t="s">
        <v>19</v>
      </c>
      <c r="K22" s="24" t="s">
        <v>38</v>
      </c>
      <c r="L22" s="25">
        <v>12000</v>
      </c>
      <c r="M22" s="25">
        <v>0</v>
      </c>
      <c r="N22" s="2">
        <v>1144851</v>
      </c>
    </row>
    <row r="23" spans="1:14" ht="15.75" x14ac:dyDescent="0.25">
      <c r="A23" s="3">
        <v>21</v>
      </c>
      <c r="B23" s="22">
        <v>724</v>
      </c>
      <c r="C23" s="3" t="s">
        <v>28</v>
      </c>
      <c r="D23" s="22">
        <v>4</v>
      </c>
      <c r="E23" s="22" t="s">
        <v>9</v>
      </c>
      <c r="F23" s="22">
        <v>2012</v>
      </c>
      <c r="G23" s="28">
        <v>7672</v>
      </c>
      <c r="H23" s="23">
        <v>0</v>
      </c>
      <c r="I23" s="24" t="s">
        <v>34</v>
      </c>
      <c r="J23" s="24" t="s">
        <v>19</v>
      </c>
      <c r="K23" s="24" t="s">
        <v>38</v>
      </c>
      <c r="L23" s="25">
        <v>12000</v>
      </c>
      <c r="M23" s="25">
        <v>0</v>
      </c>
      <c r="N23" s="2">
        <v>1144851</v>
      </c>
    </row>
    <row r="24" spans="1:14" ht="15.75" x14ac:dyDescent="0.25">
      <c r="A24" s="3">
        <v>22</v>
      </c>
      <c r="B24" s="22">
        <v>725</v>
      </c>
      <c r="C24" s="3" t="s">
        <v>28</v>
      </c>
      <c r="D24" s="8">
        <v>4</v>
      </c>
      <c r="E24" s="22" t="s">
        <v>9</v>
      </c>
      <c r="F24" s="22">
        <v>2017</v>
      </c>
      <c r="G24" s="28">
        <v>7672</v>
      </c>
      <c r="H24" s="23">
        <v>0</v>
      </c>
      <c r="I24" s="24" t="s">
        <v>34</v>
      </c>
      <c r="J24" s="24" t="s">
        <v>19</v>
      </c>
      <c r="K24" s="24" t="s">
        <v>38</v>
      </c>
      <c r="L24" s="26">
        <v>12000</v>
      </c>
      <c r="M24" s="25">
        <v>0</v>
      </c>
      <c r="N24" s="2">
        <v>1144851</v>
      </c>
    </row>
    <row r="25" spans="1:14" ht="15.75" x14ac:dyDescent="0.25">
      <c r="A25" s="3">
        <v>23</v>
      </c>
      <c r="B25" s="22">
        <v>726</v>
      </c>
      <c r="C25" s="3" t="s">
        <v>28</v>
      </c>
      <c r="D25" s="22">
        <v>4</v>
      </c>
      <c r="E25" s="22" t="s">
        <v>9</v>
      </c>
      <c r="F25" s="22">
        <v>2013</v>
      </c>
      <c r="G25" s="28">
        <v>6806</v>
      </c>
      <c r="H25" s="23">
        <v>0</v>
      </c>
      <c r="I25" s="24" t="s">
        <v>34</v>
      </c>
      <c r="J25" s="24" t="s">
        <v>19</v>
      </c>
      <c r="K25" s="24" t="s">
        <v>38</v>
      </c>
      <c r="L25" s="25">
        <v>12000</v>
      </c>
      <c r="M25" s="25">
        <v>0</v>
      </c>
      <c r="N25" s="2">
        <v>1144851</v>
      </c>
    </row>
    <row r="26" spans="1:14" ht="15.75" x14ac:dyDescent="0.25">
      <c r="A26" s="3">
        <v>24</v>
      </c>
      <c r="B26" s="8">
        <v>727</v>
      </c>
      <c r="C26" s="3" t="s">
        <v>28</v>
      </c>
      <c r="D26" s="22">
        <v>4</v>
      </c>
      <c r="E26" s="22" t="s">
        <v>9</v>
      </c>
      <c r="F26" s="22">
        <v>2016</v>
      </c>
      <c r="G26" s="28">
        <v>7051</v>
      </c>
      <c r="H26" s="23">
        <v>0</v>
      </c>
      <c r="I26" s="24" t="s">
        <v>34</v>
      </c>
      <c r="J26" s="24" t="s">
        <v>19</v>
      </c>
      <c r="K26" s="24" t="s">
        <v>38</v>
      </c>
      <c r="L26" s="25">
        <v>12000</v>
      </c>
      <c r="M26" s="25">
        <v>0</v>
      </c>
      <c r="N26" s="2">
        <v>1144851</v>
      </c>
    </row>
    <row r="27" spans="1:14" ht="15.75" x14ac:dyDescent="0.25">
      <c r="A27" s="3">
        <v>25</v>
      </c>
      <c r="B27" s="22">
        <v>731</v>
      </c>
      <c r="C27" s="3" t="s">
        <v>28</v>
      </c>
      <c r="D27" s="22">
        <v>4</v>
      </c>
      <c r="E27" s="22" t="s">
        <v>9</v>
      </c>
      <c r="F27" s="22">
        <v>2015</v>
      </c>
      <c r="G27" s="28">
        <v>8352</v>
      </c>
      <c r="H27" s="23">
        <v>0</v>
      </c>
      <c r="I27" s="24" t="s">
        <v>34</v>
      </c>
      <c r="J27" s="24" t="s">
        <v>19</v>
      </c>
      <c r="K27" s="24" t="s">
        <v>38</v>
      </c>
      <c r="L27" s="25">
        <v>12000</v>
      </c>
      <c r="M27" s="25">
        <v>0</v>
      </c>
      <c r="N27" s="2">
        <v>1144851</v>
      </c>
    </row>
    <row r="28" spans="1:14" ht="15.95" customHeight="1" x14ac:dyDescent="0.25">
      <c r="A28" s="3">
        <v>26</v>
      </c>
      <c r="B28" s="22">
        <v>733</v>
      </c>
      <c r="C28" s="3" t="s">
        <v>28</v>
      </c>
      <c r="D28" s="22">
        <v>4</v>
      </c>
      <c r="E28" s="22" t="s">
        <v>9</v>
      </c>
      <c r="F28" s="22">
        <v>2016</v>
      </c>
      <c r="G28" s="28">
        <v>7051</v>
      </c>
      <c r="H28" s="23">
        <v>0</v>
      </c>
      <c r="I28" s="24" t="s">
        <v>34</v>
      </c>
      <c r="J28" s="24" t="s">
        <v>19</v>
      </c>
      <c r="K28" s="24" t="s">
        <v>38</v>
      </c>
      <c r="L28" s="25">
        <v>12000</v>
      </c>
      <c r="M28" s="25">
        <v>0</v>
      </c>
      <c r="N28" s="2">
        <v>1144851</v>
      </c>
    </row>
    <row r="29" spans="1:14" ht="16.5" thickBot="1" x14ac:dyDescent="0.3">
      <c r="A29" s="9">
        <v>27</v>
      </c>
      <c r="B29" s="22">
        <v>735</v>
      </c>
      <c r="C29" s="9" t="s">
        <v>28</v>
      </c>
      <c r="D29" s="22">
        <v>4</v>
      </c>
      <c r="E29" s="22" t="s">
        <v>9</v>
      </c>
      <c r="F29" s="22">
        <v>2016</v>
      </c>
      <c r="G29" s="28">
        <v>7051</v>
      </c>
      <c r="H29" s="23">
        <v>0</v>
      </c>
      <c r="I29" s="24" t="s">
        <v>34</v>
      </c>
      <c r="J29" s="11" t="s">
        <v>19</v>
      </c>
      <c r="K29" s="24" t="s">
        <v>38</v>
      </c>
      <c r="L29" s="25">
        <v>12000</v>
      </c>
      <c r="M29" s="25">
        <v>0</v>
      </c>
      <c r="N29" s="2">
        <v>1144851</v>
      </c>
    </row>
    <row r="30" spans="1:14" ht="16.5" thickBot="1" x14ac:dyDescent="0.3">
      <c r="A30" s="15" t="s">
        <v>41</v>
      </c>
      <c r="B30" s="16"/>
      <c r="C30" s="17"/>
      <c r="D30" s="18">
        <f>SUM(D3:D29)</f>
        <v>93</v>
      </c>
      <c r="E30" s="18"/>
      <c r="F30" s="18"/>
      <c r="G30" s="19">
        <f>SUM(G3:G29)</f>
        <v>172129</v>
      </c>
      <c r="H30" s="19"/>
      <c r="I30" s="19"/>
      <c r="J30" s="19"/>
      <c r="K30" s="19"/>
      <c r="L30" s="19">
        <f>SUM(L3:L29)</f>
        <v>300000</v>
      </c>
      <c r="M30" s="20">
        <f>SUM(M3:M29)</f>
        <v>250000</v>
      </c>
      <c r="N30" s="21">
        <f>SUM(N3:N29)</f>
        <v>26621285.199999999</v>
      </c>
    </row>
  </sheetData>
  <mergeCells count="2">
    <mergeCell ref="A1:N1"/>
    <mergeCell ref="A30:C30"/>
  </mergeCells>
  <pageMargins left="0.25" right="0.25" top="0.75" bottom="0.75" header="0.3" footer="0.3"/>
  <pageSetup scale="74" orientation="landscape" verticalDpi="2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"/>
  <sheetViews>
    <sheetView workbookViewId="0">
      <selection activeCell="F1" sqref="F1"/>
    </sheetView>
  </sheetViews>
  <sheetFormatPr defaultColWidth="8.85546875" defaultRowHeight="15" x14ac:dyDescent="0.25"/>
  <cols>
    <col min="2" max="2" width="28.42578125" customWidth="1"/>
    <col min="4" max="4" width="11.28515625" bestFit="1" customWidth="1"/>
    <col min="5" max="5" width="28.42578125" bestFit="1" customWidth="1"/>
    <col min="6" max="6" width="27.42578125" bestFit="1" customWidth="1"/>
  </cols>
  <sheetData>
    <row r="1" spans="1:7" ht="15.75" x14ac:dyDescent="0.25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5">
        <v>100000</v>
      </c>
    </row>
    <row r="2" spans="1:7" ht="15.75" x14ac:dyDescent="0.25">
      <c r="A2" s="4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</row>
    <row r="3" spans="1:7" ht="15.75" x14ac:dyDescent="0.25">
      <c r="A3" s="4" t="s">
        <v>16</v>
      </c>
      <c r="B3" s="4" t="s">
        <v>17</v>
      </c>
      <c r="C3" s="4" t="s">
        <v>18</v>
      </c>
      <c r="D3" s="4" t="s">
        <v>19</v>
      </c>
      <c r="E3" s="4" t="s">
        <v>20</v>
      </c>
      <c r="F3" s="4" t="s">
        <v>19</v>
      </c>
      <c r="G3" s="4"/>
    </row>
    <row r="4" spans="1:7" ht="15.75" x14ac:dyDescent="0.25">
      <c r="A4" s="4" t="s">
        <v>21</v>
      </c>
      <c r="B4" s="4" t="s">
        <v>22</v>
      </c>
      <c r="C4" s="4"/>
      <c r="D4" s="4"/>
      <c r="E4" s="4" t="s">
        <v>23</v>
      </c>
      <c r="F4" s="4"/>
    </row>
    <row r="5" spans="1:7" ht="15.75" x14ac:dyDescent="0.25">
      <c r="A5" s="4"/>
      <c r="B5" s="4" t="s">
        <v>24</v>
      </c>
      <c r="C5" s="4"/>
      <c r="D5" s="4"/>
      <c r="E5" s="4"/>
      <c r="F5" s="4"/>
    </row>
    <row r="6" spans="1:7" ht="15.75" x14ac:dyDescent="0.25">
      <c r="A6" s="4"/>
      <c r="B6" s="4" t="s">
        <v>25</v>
      </c>
      <c r="C6" s="4"/>
      <c r="D6" s="4"/>
      <c r="E6" s="4"/>
      <c r="F6" s="4"/>
    </row>
    <row r="7" spans="1:7" ht="15.75" x14ac:dyDescent="0.25">
      <c r="A7" s="4"/>
      <c r="B7" s="4"/>
      <c r="C7" s="4"/>
      <c r="D7" s="4"/>
      <c r="E7" s="4"/>
      <c r="F7" s="4"/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1D0D5C853A1DE4F8949B78BEBF0E4DC" ma:contentTypeVersion="19" ma:contentTypeDescription="Create a new document." ma:contentTypeScope="" ma:versionID="d38392f2f6992ef45a4236bbc4137265">
  <xsd:schema xmlns:xsd="http://www.w3.org/2001/XMLSchema" xmlns:xs="http://www.w3.org/2001/XMLSchema" xmlns:p="http://schemas.microsoft.com/office/2006/metadata/properties" xmlns:ns2="8a41ad68-e0e0-4f41-8011-1d1bc4d7905e" xmlns:ns3="03572007-efe5-4fb3-aed7-a41d0c924ebd" targetNamespace="http://schemas.microsoft.com/office/2006/metadata/properties" ma:root="true" ma:fieldsID="4ee140ba5d276b6624eb537f06ce516e" ns2:_="" ns3:_="">
    <xsd:import namespace="8a41ad68-e0e0-4f41-8011-1d1bc4d7905e"/>
    <xsd:import namespace="03572007-efe5-4fb3-aed7-a41d0c924e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Dat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41ad68-e0e0-4f41-8011-1d1bc4d790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Date" ma:index="14" nillable="true" ma:displayName="Date" ma:format="DateTime" ma:internalName="Date">
      <xsd:simpleType>
        <xsd:restriction base="dms:DateTime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3344de64-a3b7-4a41-b424-6b5622b54b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572007-efe5-4fb3-aed7-a41d0c924ebd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0f0e9d81-9041-4675-a257-c1090fff7026}" ma:internalName="TaxCatchAll" ma:showField="CatchAllData" ma:web="03572007-efe5-4fb3-aed7-a41d0c924e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 xmlns="8a41ad68-e0e0-4f41-8011-1d1bc4d7905e" xsi:nil="true"/>
    <TaxCatchAll xmlns="03572007-efe5-4fb3-aed7-a41d0c924ebd" xsi:nil="true"/>
    <lcf76f155ced4ddcb4097134ff3c332f xmlns="8a41ad68-e0e0-4f41-8011-1d1bc4d7905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04EAE9D-932E-4826-9975-C4F7A9E84F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41ad68-e0e0-4f41-8011-1d1bc4d7905e"/>
    <ds:schemaRef ds:uri="03572007-efe5-4fb3-aed7-a41d0c924eb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162A7DA-A3EB-4E9D-9341-BD5191EFD72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8DF815B-F12F-475E-9F30-9FD44FD0DF71}">
  <ds:schemaRefs>
    <ds:schemaRef ds:uri="http://schemas.microsoft.com/office/2006/metadata/properties"/>
    <ds:schemaRef ds:uri="http://schemas.microsoft.com/office/infopath/2007/PartnerControls"/>
    <ds:schemaRef ds:uri="8a41ad68-e0e0-4f41-8011-1d1bc4d7905e"/>
    <ds:schemaRef ds:uri="03572007-efe5-4fb3-aed7-a41d0c924e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HeadingPairs>
  <TitlesOfParts>
    <vt:vector size="8" baseType="lpstr">
      <vt:lpstr>Statement of Values</vt:lpstr>
      <vt:lpstr>Sheet2</vt:lpstr>
      <vt:lpstr>assocfees</vt:lpstr>
      <vt:lpstr>construction</vt:lpstr>
      <vt:lpstr>garagetype</vt:lpstr>
      <vt:lpstr>rooftype</vt:lpstr>
      <vt:lpstr>smokedetector</vt:lpstr>
      <vt:lpstr>sprinklered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Leslie Ware</dc:creator>
  <cp:keywords/>
  <dc:description/>
  <cp:lastModifiedBy>Nichole Block</cp:lastModifiedBy>
  <cp:revision/>
  <dcterms:created xsi:type="dcterms:W3CDTF">2012-01-09T17:03:03Z</dcterms:created>
  <dcterms:modified xsi:type="dcterms:W3CDTF">2025-09-04T16:33:54Z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0x01010071D0D5C853A1DE4F8949B78BEBF0E4DC</vt:lpwstr>
  </property>
  <property fmtid="{D5CDD505-2E9C-101B-9397-08002B2CF9AE}" pid="3" name="Order">
    <vt:r8>285200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  <property fmtid="{D5CDD505-2E9C-101B-9397-08002B2CF9AE}" pid="7" name="MediaServiceImageTags">
    <vt:lpwstr/>
  </property>
</Properties>
</file>