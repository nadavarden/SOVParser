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mfam.sharepoint.com/sites/msteams_011fc7/Shared Documents/General/Agency Folder/A. client_files/falls_at_snoqualmie/Renewals/2025-2026/Quotes &amp; Apps/"/>
    </mc:Choice>
  </mc:AlternateContent>
  <xr:revisionPtr revIDLastSave="50" documentId="8_{1EF8E123-058D-4F0E-96C8-306CDF1B4EF8}" xr6:coauthVersionLast="47" xr6:coauthVersionMax="47" xr10:uidLastSave="{04380E3A-6707-4AFB-8CBA-3A4EB596F068}"/>
  <bookViews>
    <workbookView xWindow="33720" yWindow="-120" windowWidth="29040" windowHeight="15720" xr2:uid="{FCF305F0-349C-4D87-A478-A3B96EF1B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N20" i="1"/>
  <c r="M20" i="1"/>
  <c r="H20" i="1" l="1"/>
</calcChain>
</file>

<file path=xl/sharedStrings.xml><?xml version="1.0" encoding="utf-8"?>
<sst xmlns="http://schemas.openxmlformats.org/spreadsheetml/2006/main" count="400" uniqueCount="125">
  <si>
    <t>Building Attributes</t>
  </si>
  <si>
    <t>Year Updated</t>
  </si>
  <si>
    <t>Rented to Students</t>
  </si>
  <si>
    <t>Rented to Others</t>
  </si>
  <si>
    <t>Locations</t>
  </si>
  <si>
    <t>Buildings</t>
  </si>
  <si>
    <t>Address</t>
  </si>
  <si>
    <t>City</t>
  </si>
  <si>
    <t>State</t>
  </si>
  <si>
    <t>Zip</t>
  </si>
  <si>
    <t>County</t>
  </si>
  <si>
    <t>Building Limit</t>
  </si>
  <si>
    <t>RC / ACV</t>
  </si>
  <si>
    <t>Occupancy Type</t>
  </si>
  <si>
    <t>Construction Type</t>
  </si>
  <si>
    <t>Sprinklered</t>
  </si>
  <si>
    <t>Stories</t>
  </si>
  <si>
    <t>Year Built</t>
  </si>
  <si>
    <t>Units</t>
  </si>
  <si>
    <t>Electrical</t>
  </si>
  <si>
    <t>Plumbing</t>
  </si>
  <si>
    <t>Heating</t>
  </si>
  <si>
    <t>Roof</t>
  </si>
  <si>
    <t>Roof Type</t>
  </si>
  <si>
    <t>Year Purchased</t>
  </si>
  <si>
    <t>WF Score</t>
  </si>
  <si>
    <t>B&amp;A W-H Buyback Level?</t>
  </si>
  <si>
    <t>Rented to Students (Y/N)</t>
  </si>
  <si>
    <t>% Student Rented</t>
  </si>
  <si>
    <t>Rented to Others (Y/N)</t>
  </si>
  <si>
    <t>%  Rented to Others</t>
  </si>
  <si>
    <t>Access to Water or Piers?</t>
  </si>
  <si>
    <t>BPP</t>
  </si>
  <si>
    <t>Sched/UnSched Structure</t>
  </si>
  <si>
    <t>Aux BPP</t>
  </si>
  <si>
    <r>
      <t xml:space="preserve">Ord or Law BPF 84 64 </t>
    </r>
    <r>
      <rPr>
        <b/>
        <sz val="11"/>
        <color theme="1"/>
        <rFont val="Aptos Narrow"/>
        <family val="2"/>
        <scheme val="minor"/>
      </rPr>
      <t>(2 and 3)</t>
    </r>
  </si>
  <si>
    <t>Business Income (BPF 14 06)</t>
  </si>
  <si>
    <t>Debris Removal New Total Limit PC8</t>
  </si>
  <si>
    <t>Electronic Commerce (BP 05 94)</t>
  </si>
  <si>
    <t>Accounts Receivable</t>
  </si>
  <si>
    <t>Valuable Papers</t>
  </si>
  <si>
    <t>Fine Arts</t>
  </si>
  <si>
    <t>Outdoor Trees, Shrubs and Plants</t>
  </si>
  <si>
    <t>Green Upgrades (BP 1475)</t>
  </si>
  <si>
    <t>Manuscript Coverage</t>
  </si>
  <si>
    <t>Xactvalue ID</t>
  </si>
  <si>
    <t>Cost per SQ FT</t>
  </si>
  <si>
    <t>Latitude</t>
  </si>
  <si>
    <t>Longitude</t>
  </si>
  <si>
    <t>Sprinkler Type (NFPA or 13R)</t>
  </si>
  <si>
    <t>Electrical Wiring Type</t>
  </si>
  <si>
    <t>Remediation Type for Aluminum Wiring</t>
  </si>
  <si>
    <t>Non-UL Approved Electrical Panels? Y/N</t>
  </si>
  <si>
    <t>Fire Extinguishers: working w/current inspection tags? Y/N</t>
  </si>
  <si>
    <t>Burglar Alarms? Y/N</t>
  </si>
  <si>
    <t>% of Smoke Detectors Hardwired</t>
  </si>
  <si>
    <t>CCTV? Y/N</t>
  </si>
  <si>
    <t>Onsite Guard Service Y/N</t>
  </si>
  <si>
    <t>Protection Class</t>
  </si>
  <si>
    <t>If subsidized, what %?</t>
  </si>
  <si>
    <t>Total Revenue</t>
  </si>
  <si>
    <t>Total Annual Fees</t>
  </si>
  <si>
    <t>If rental, avg unit rental per month</t>
  </si>
  <si>
    <t>Credit check all tenants on file</t>
  </si>
  <si>
    <t>Pool Y/N</t>
  </si>
  <si>
    <t>Number of pools</t>
  </si>
  <si>
    <t xml:space="preserve">Property owned or managed? </t>
  </si>
  <si>
    <t>Is property w/in 1000 ft of saltwater?</t>
  </si>
  <si>
    <t>Property in flood zone? Y/N</t>
  </si>
  <si>
    <t>Which Flood Zone?</t>
  </si>
  <si>
    <t>Fire Alarms?
Y/N</t>
  </si>
  <si>
    <t>Subsidized Housing
 Y/N</t>
  </si>
  <si>
    <t>Diving Boards / Diving Platforms 
Y/N</t>
  </si>
  <si>
    <t>Primary Foundation</t>
  </si>
  <si>
    <t>Basement Area Sq FT</t>
  </si>
  <si>
    <t>Attached/Built-in Garage</t>
  </si>
  <si>
    <t>Structures</t>
  </si>
  <si>
    <t>Total Scheduled Limit</t>
  </si>
  <si>
    <t>Total Unscheduled Limit</t>
  </si>
  <si>
    <t>Risk Name:Falls At Snoqualmie Condominium Association</t>
  </si>
  <si>
    <t>Policy Number:910029980383</t>
  </si>
  <si>
    <t>Avg Cost/ Sqft: $218.58</t>
  </si>
  <si>
    <t>No</t>
  </si>
  <si>
    <t>7701 FAIRWAY AVE SE</t>
  </si>
  <si>
    <t>SNOQUALMIE</t>
  </si>
  <si>
    <t>WA</t>
  </si>
  <si>
    <t>98065-8933</t>
  </si>
  <si>
    <t>King</t>
  </si>
  <si>
    <t>RC</t>
  </si>
  <si>
    <t>residentialcondominiumswithoutmercantile</t>
  </si>
  <si>
    <t>Frame</t>
  </si>
  <si>
    <t>Yes</t>
  </si>
  <si>
    <t>Basement</t>
  </si>
  <si>
    <t>ArchitecturalShingles</t>
  </si>
  <si>
    <t>No Waterfront</t>
  </si>
  <si>
    <t>PlasticCoated(Romex)</t>
  </si>
  <si>
    <t>Managed</t>
  </si>
  <si>
    <t>X</t>
  </si>
  <si>
    <t>7703 FAIRWAY AVE SE</t>
  </si>
  <si>
    <t>98065-8934</t>
  </si>
  <si>
    <t>7709 FAIRWAY AVE SE</t>
  </si>
  <si>
    <t>98065-8944</t>
  </si>
  <si>
    <t>7715 FAIRWAY AVE SE</t>
  </si>
  <si>
    <t>98065-8942</t>
  </si>
  <si>
    <t>7717 FAIRWAY AVE SE</t>
  </si>
  <si>
    <t>98065-8937</t>
  </si>
  <si>
    <t>7721 FAIRWAY AVE SE</t>
  </si>
  <si>
    <t>98065-8939</t>
  </si>
  <si>
    <t>7723 FAIRWAY AVE SE</t>
  </si>
  <si>
    <t>98065-8940</t>
  </si>
  <si>
    <t>7719 FAIRWAY AVE SE</t>
  </si>
  <si>
    <t>98065-8938</t>
  </si>
  <si>
    <t>7707 FAIRWAY AVE SE</t>
  </si>
  <si>
    <t>98065-8936</t>
  </si>
  <si>
    <t>7711 FAIRWAY AVE SE</t>
  </si>
  <si>
    <t>98065-8943</t>
  </si>
  <si>
    <t>7713 FAIRWAY AVE SE</t>
  </si>
  <si>
    <t>98065-8941</t>
  </si>
  <si>
    <t>7705 FAIRWAY AVE SE</t>
  </si>
  <si>
    <t>98065-8935</t>
  </si>
  <si>
    <t>Total SQ FT</t>
  </si>
  <si>
    <t>Livable SQ FT</t>
  </si>
  <si>
    <t>Garage SQ FT</t>
  </si>
  <si>
    <t>Sign</t>
  </si>
  <si>
    <t>Mailboxes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</si>
</sst>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3" borderId="0" xfId="0" applyFill="1" applyProtection="1">
      <protection locked="0"/>
    </xf>
    <xf numFmtId="0" fontId="6" fillId="0" borderId="0" xfId="0" applyFont="1"/>
    <xf numFmtId="3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32C3-2428-4251-BE55-DF82EA5779E4}">
  <sheetPr codeName="Sheet1"/>
  <dimension ref="A1:BY20"/>
  <sheetViews>
    <sheetView tabSelected="1" workbookViewId="0">
      <selection activeCell="BA18" sqref="BA18"/>
    </sheetView>
  </sheetViews>
  <sheetFormatPr defaultRowHeight="14.5" x14ac:dyDescent="0.35"/>
  <cols>
    <col min="1" max="1" width="11" customWidth="1"/>
    <col min="3" max="3" width="39.81640625" customWidth="1"/>
    <col min="4" max="4" width="42.54296875" customWidth="1"/>
    <col min="8" max="8" width="17.1796875" customWidth="1"/>
    <col min="10" max="10" width="15.54296875" customWidth="1"/>
    <col min="11" max="12" width="11.81640625" customWidth="1"/>
    <col min="17" max="17" width="9.54296875" customWidth="1"/>
    <col min="19" max="19" width="15.1796875" customWidth="1"/>
    <col min="22" max="22" width="13.6328125" customWidth="1"/>
    <col min="23" max="23" width="22.08984375" customWidth="1"/>
    <col min="41" max="41" width="13.1796875" customWidth="1"/>
    <col min="44" max="44" width="11.81640625" customWidth="1"/>
    <col min="50" max="50" width="11.1796875" customWidth="1"/>
    <col min="51" max="51" width="15.453125" customWidth="1"/>
    <col min="53" max="53" width="11.81640625" customWidth="1"/>
    <col min="54" max="54" width="13.54296875" customWidth="1"/>
    <col min="55" max="55" width="12.453125" customWidth="1"/>
    <col min="56" max="56" width="13.54296875" customWidth="1"/>
    <col min="57" max="57" width="13.1796875" customWidth="1"/>
    <col min="58" max="58" width="15.81640625" customWidth="1"/>
    <col min="59" max="59" width="12.453125" customWidth="1"/>
    <col min="61" max="61" width="11.54296875" customWidth="1"/>
    <col min="63" max="63" width="11.81640625" customWidth="1"/>
    <col min="64" max="64" width="11.54296875" customWidth="1"/>
    <col min="65" max="65" width="14" customWidth="1"/>
    <col min="66" max="66" width="12.1796875" customWidth="1"/>
    <col min="73" max="73" width="14.1796875" customWidth="1"/>
    <col min="74" max="74" width="11.453125" customWidth="1"/>
    <col min="75" max="75" width="12.1796875" customWidth="1"/>
    <col min="76" max="76" width="11.81640625" customWidth="1"/>
  </cols>
  <sheetData>
    <row r="1" spans="1:77" x14ac:dyDescent="0.35">
      <c r="C1" s="1" t="s">
        <v>79</v>
      </c>
    </row>
    <row r="2" spans="1:77" x14ac:dyDescent="0.35">
      <c r="C2" s="1" t="s">
        <v>80</v>
      </c>
    </row>
    <row r="4" spans="1:77" s="5" customFormat="1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18" t="s">
        <v>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22" t="s">
        <v>76</v>
      </c>
      <c r="W4" s="23"/>
      <c r="X4" s="18" t="s">
        <v>1</v>
      </c>
      <c r="Y4" s="18"/>
      <c r="Z4" s="18"/>
      <c r="AA4" s="18"/>
      <c r="AB4" s="2"/>
      <c r="AC4" s="2"/>
      <c r="AD4" s="2"/>
      <c r="AE4" s="2"/>
      <c r="AF4" s="19" t="s">
        <v>2</v>
      </c>
      <c r="AG4" s="19"/>
      <c r="AH4" s="20" t="s">
        <v>3</v>
      </c>
      <c r="AI4" s="21"/>
      <c r="AJ4" s="3"/>
      <c r="AK4" s="2"/>
      <c r="AL4" s="4"/>
      <c r="AM4" s="2"/>
      <c r="AN4" s="3"/>
      <c r="AO4" s="3"/>
      <c r="AP4" s="3"/>
      <c r="AQ4" s="3"/>
      <c r="AR4" s="3"/>
      <c r="AS4" s="3"/>
      <c r="AT4" s="3"/>
      <c r="AU4" s="3"/>
      <c r="AV4" s="3"/>
      <c r="AW4" s="3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s="10" customFormat="1" ht="60" customHeight="1" x14ac:dyDescent="0.3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8" t="s">
        <v>14</v>
      </c>
      <c r="L5" s="8" t="s">
        <v>15</v>
      </c>
      <c r="M5" s="8" t="s">
        <v>121</v>
      </c>
      <c r="N5" s="8" t="s">
        <v>122</v>
      </c>
      <c r="O5" s="8" t="s">
        <v>120</v>
      </c>
      <c r="P5" s="8" t="s">
        <v>16</v>
      </c>
      <c r="Q5" s="8" t="s">
        <v>73</v>
      </c>
      <c r="R5" s="8" t="s">
        <v>74</v>
      </c>
      <c r="S5" s="8" t="s">
        <v>75</v>
      </c>
      <c r="T5" s="8" t="s">
        <v>17</v>
      </c>
      <c r="U5" s="8" t="s">
        <v>18</v>
      </c>
      <c r="V5" s="8" t="s">
        <v>77</v>
      </c>
      <c r="W5" s="8" t="s">
        <v>78</v>
      </c>
      <c r="X5" s="8" t="s">
        <v>19</v>
      </c>
      <c r="Y5" s="8" t="s">
        <v>20</v>
      </c>
      <c r="Z5" s="8" t="s">
        <v>21</v>
      </c>
      <c r="AA5" s="8" t="s">
        <v>22</v>
      </c>
      <c r="AB5" s="6" t="s">
        <v>23</v>
      </c>
      <c r="AC5" s="6" t="s">
        <v>24</v>
      </c>
      <c r="AD5" s="6" t="s">
        <v>25</v>
      </c>
      <c r="AE5" s="6" t="s">
        <v>26</v>
      </c>
      <c r="AF5" s="8" t="s">
        <v>27</v>
      </c>
      <c r="AG5" s="8" t="s">
        <v>28</v>
      </c>
      <c r="AH5" s="8" t="s">
        <v>29</v>
      </c>
      <c r="AI5" s="8" t="s">
        <v>30</v>
      </c>
      <c r="AJ5" s="8" t="s">
        <v>31</v>
      </c>
      <c r="AK5" s="6" t="s">
        <v>32</v>
      </c>
      <c r="AL5" s="7" t="s">
        <v>33</v>
      </c>
      <c r="AM5" s="6" t="s">
        <v>34</v>
      </c>
      <c r="AN5" s="8" t="s">
        <v>35</v>
      </c>
      <c r="AO5" s="7" t="s">
        <v>36</v>
      </c>
      <c r="AP5" s="8" t="s">
        <v>37</v>
      </c>
      <c r="AQ5" s="8" t="s">
        <v>38</v>
      </c>
      <c r="AR5" s="8" t="s">
        <v>39</v>
      </c>
      <c r="AS5" s="8" t="s">
        <v>40</v>
      </c>
      <c r="AT5" s="8" t="s">
        <v>41</v>
      </c>
      <c r="AU5" s="8" t="s">
        <v>42</v>
      </c>
      <c r="AV5" s="8" t="s">
        <v>43</v>
      </c>
      <c r="AW5" s="8" t="s">
        <v>44</v>
      </c>
      <c r="AX5" s="6" t="s">
        <v>45</v>
      </c>
      <c r="AY5" s="9" t="s">
        <v>46</v>
      </c>
      <c r="AZ5" s="6" t="s">
        <v>47</v>
      </c>
      <c r="BA5" s="6" t="s">
        <v>48</v>
      </c>
      <c r="BB5" s="9" t="s">
        <v>49</v>
      </c>
      <c r="BC5" s="6" t="s">
        <v>50</v>
      </c>
      <c r="BD5" s="6" t="s">
        <v>51</v>
      </c>
      <c r="BE5" s="6" t="s">
        <v>52</v>
      </c>
      <c r="BF5" s="6" t="s">
        <v>53</v>
      </c>
      <c r="BG5" s="6" t="s">
        <v>70</v>
      </c>
      <c r="BH5" s="6" t="s">
        <v>54</v>
      </c>
      <c r="BI5" s="6" t="s">
        <v>55</v>
      </c>
      <c r="BJ5" s="6" t="s">
        <v>56</v>
      </c>
      <c r="BK5" s="6" t="s">
        <v>57</v>
      </c>
      <c r="BL5" s="6" t="s">
        <v>58</v>
      </c>
      <c r="BM5" s="6" t="s">
        <v>71</v>
      </c>
      <c r="BN5" s="6" t="s">
        <v>59</v>
      </c>
      <c r="BO5" s="6" t="s">
        <v>60</v>
      </c>
      <c r="BP5" s="6" t="s">
        <v>61</v>
      </c>
      <c r="BQ5" s="6" t="s">
        <v>62</v>
      </c>
      <c r="BR5" s="6" t="s">
        <v>63</v>
      </c>
      <c r="BS5" s="6" t="s">
        <v>64</v>
      </c>
      <c r="BT5" s="6" t="s">
        <v>65</v>
      </c>
      <c r="BU5" s="6" t="s">
        <v>72</v>
      </c>
      <c r="BV5" s="6" t="s">
        <v>66</v>
      </c>
      <c r="BW5" s="6" t="s">
        <v>67</v>
      </c>
      <c r="BX5" s="6" t="s">
        <v>68</v>
      </c>
      <c r="BY5" s="6" t="s">
        <v>69</v>
      </c>
    </row>
    <row r="6" spans="1:77" s="15" customFormat="1" ht="19.75" customHeight="1" x14ac:dyDescent="0.35">
      <c r="A6" s="11">
        <v>1</v>
      </c>
      <c r="B6" s="11">
        <v>1</v>
      </c>
      <c r="C6" s="11" t="s">
        <v>83</v>
      </c>
      <c r="D6" s="11" t="s">
        <v>84</v>
      </c>
      <c r="E6" s="11" t="s">
        <v>85</v>
      </c>
      <c r="F6" s="11" t="s">
        <v>86</v>
      </c>
      <c r="G6" s="11" t="s">
        <v>87</v>
      </c>
      <c r="H6" s="11">
        <v>1490000</v>
      </c>
      <c r="I6" s="11" t="s">
        <v>88</v>
      </c>
      <c r="J6" s="11" t="s">
        <v>89</v>
      </c>
      <c r="K6" s="13" t="s">
        <v>90</v>
      </c>
      <c r="L6" s="13" t="s">
        <v>91</v>
      </c>
      <c r="M6" s="13">
        <v>3969</v>
      </c>
      <c r="N6" s="13">
        <v>1650</v>
      </c>
      <c r="O6" s="13">
        <v>5619</v>
      </c>
      <c r="P6" s="13">
        <v>2</v>
      </c>
      <c r="Q6" s="13" t="s">
        <v>92</v>
      </c>
      <c r="R6" s="13">
        <v>2810</v>
      </c>
      <c r="S6" s="13" t="s">
        <v>91</v>
      </c>
      <c r="T6" s="13">
        <v>2003</v>
      </c>
      <c r="U6" s="13">
        <v>3</v>
      </c>
      <c r="V6" s="17">
        <v>16200</v>
      </c>
      <c r="W6" s="13"/>
      <c r="X6" s="13">
        <v>2003</v>
      </c>
      <c r="Y6" s="13">
        <v>2003</v>
      </c>
      <c r="Z6" s="13">
        <v>2003</v>
      </c>
      <c r="AA6" s="13">
        <v>2016</v>
      </c>
      <c r="AB6" s="11" t="s">
        <v>93</v>
      </c>
      <c r="AC6" s="11"/>
      <c r="AD6" s="11">
        <v>6</v>
      </c>
      <c r="AE6" s="11"/>
      <c r="AF6" s="13" t="s">
        <v>82</v>
      </c>
      <c r="AG6" s="13"/>
      <c r="AH6" s="13" t="s">
        <v>91</v>
      </c>
      <c r="AI6" s="13"/>
      <c r="AJ6" s="13" t="s">
        <v>94</v>
      </c>
      <c r="AK6" s="11"/>
      <c r="AL6" s="12"/>
      <c r="AM6" s="11"/>
      <c r="AN6" s="13">
        <v>262106</v>
      </c>
      <c r="AO6" s="12"/>
      <c r="AP6" s="13"/>
      <c r="AQ6" s="13"/>
      <c r="AR6" s="13"/>
      <c r="AS6" s="13"/>
      <c r="AT6" s="13"/>
      <c r="AU6" s="13"/>
      <c r="AV6" s="13"/>
      <c r="AW6" s="13" t="s">
        <v>82</v>
      </c>
      <c r="AX6" s="11">
        <v>619255793</v>
      </c>
      <c r="AY6" s="14">
        <v>251.20128136679099</v>
      </c>
      <c r="AZ6" s="11">
        <v>47.530909000000001</v>
      </c>
      <c r="BA6" s="11">
        <v>-121.869462</v>
      </c>
      <c r="BB6" s="14"/>
      <c r="BC6" s="11" t="s">
        <v>95</v>
      </c>
      <c r="BD6" s="11"/>
      <c r="BE6" s="11"/>
      <c r="BF6" s="11"/>
      <c r="BG6" s="11" t="s">
        <v>91</v>
      </c>
      <c r="BH6" s="11" t="s">
        <v>82</v>
      </c>
      <c r="BI6" s="11"/>
      <c r="BJ6" s="11" t="s">
        <v>82</v>
      </c>
      <c r="BK6" s="11" t="s">
        <v>82</v>
      </c>
      <c r="BL6" s="11"/>
      <c r="BM6" s="11" t="s">
        <v>82</v>
      </c>
      <c r="BN6" s="11">
        <v>0</v>
      </c>
      <c r="BO6" s="11"/>
      <c r="BP6" s="11"/>
      <c r="BQ6" s="11"/>
      <c r="BR6" s="11"/>
      <c r="BS6" s="11" t="s">
        <v>82</v>
      </c>
      <c r="BT6" s="11">
        <v>0</v>
      </c>
      <c r="BU6" s="11" t="s">
        <v>82</v>
      </c>
      <c r="BV6" s="11" t="s">
        <v>96</v>
      </c>
      <c r="BW6" s="11"/>
      <c r="BX6" s="11"/>
      <c r="BY6" s="11" t="s">
        <v>97</v>
      </c>
    </row>
    <row r="7" spans="1:77" ht="43.5" x14ac:dyDescent="0.35">
      <c r="A7" s="11"/>
      <c r="B7" s="11">
        <v>2</v>
      </c>
      <c r="C7" s="11" t="s">
        <v>98</v>
      </c>
      <c r="D7" s="11" t="s">
        <v>84</v>
      </c>
      <c r="E7" s="11" t="s">
        <v>85</v>
      </c>
      <c r="F7" s="11" t="s">
        <v>99</v>
      </c>
      <c r="G7" s="11" t="s">
        <v>87</v>
      </c>
      <c r="H7" s="11">
        <v>2548000</v>
      </c>
      <c r="I7" s="11" t="s">
        <v>88</v>
      </c>
      <c r="J7" s="11" t="s">
        <v>89</v>
      </c>
      <c r="K7" s="13" t="s">
        <v>90</v>
      </c>
      <c r="L7" s="13" t="s">
        <v>91</v>
      </c>
      <c r="M7" s="13">
        <v>7890</v>
      </c>
      <c r="N7" s="13">
        <v>3300</v>
      </c>
      <c r="O7" s="13">
        <v>11190</v>
      </c>
      <c r="P7" s="13">
        <v>2</v>
      </c>
      <c r="Q7" s="13" t="s">
        <v>92</v>
      </c>
      <c r="R7" s="13">
        <v>5595</v>
      </c>
      <c r="S7" s="13" t="s">
        <v>91</v>
      </c>
      <c r="T7" s="13">
        <v>2003</v>
      </c>
      <c r="U7" s="13">
        <v>6</v>
      </c>
      <c r="V7" s="13"/>
      <c r="W7" s="13"/>
      <c r="X7" s="13">
        <v>2003</v>
      </c>
      <c r="Y7" s="13">
        <v>2003</v>
      </c>
      <c r="Z7" s="13">
        <v>2003</v>
      </c>
      <c r="AA7" s="13">
        <v>2016</v>
      </c>
      <c r="AB7" s="11" t="s">
        <v>93</v>
      </c>
      <c r="AC7" s="11"/>
      <c r="AD7" s="11">
        <v>6</v>
      </c>
      <c r="AE7" s="11"/>
      <c r="AF7" s="13"/>
      <c r="AG7" s="13"/>
      <c r="AH7" s="13" t="s">
        <v>91</v>
      </c>
      <c r="AI7" s="13"/>
      <c r="AJ7" s="13" t="s">
        <v>94</v>
      </c>
      <c r="AK7" s="11"/>
      <c r="AL7" s="12"/>
      <c r="AM7" s="11"/>
      <c r="AN7" s="13">
        <v>450460</v>
      </c>
      <c r="AO7" s="12"/>
      <c r="AP7" s="13"/>
      <c r="AQ7" s="13"/>
      <c r="AR7" s="13"/>
      <c r="AS7" s="13"/>
      <c r="AT7" s="13"/>
      <c r="AU7" s="13"/>
      <c r="AV7" s="13"/>
      <c r="AW7" s="13" t="s">
        <v>82</v>
      </c>
      <c r="AX7" s="11">
        <v>619247889</v>
      </c>
      <c r="AY7" s="14">
        <v>216.782841823056</v>
      </c>
      <c r="AZ7" s="11">
        <v>47.53143</v>
      </c>
      <c r="BA7" s="11">
        <v>-121.868826</v>
      </c>
      <c r="BB7" s="14"/>
      <c r="BC7" s="11" t="s">
        <v>95</v>
      </c>
      <c r="BD7" s="11"/>
      <c r="BE7" s="11"/>
      <c r="BF7" s="11"/>
      <c r="BG7" s="11" t="s">
        <v>91</v>
      </c>
      <c r="BH7" s="11" t="s">
        <v>82</v>
      </c>
      <c r="BI7" s="11"/>
      <c r="BJ7" s="11" t="s">
        <v>82</v>
      </c>
      <c r="BK7" s="11" t="s">
        <v>82</v>
      </c>
      <c r="BL7" s="11"/>
      <c r="BM7" s="11" t="s">
        <v>82</v>
      </c>
      <c r="BN7" s="11">
        <v>0</v>
      </c>
      <c r="BO7" s="11"/>
      <c r="BP7" s="11"/>
      <c r="BQ7" s="11"/>
      <c r="BR7" s="11"/>
      <c r="BS7" s="11" t="s">
        <v>82</v>
      </c>
      <c r="BT7" s="11">
        <v>0</v>
      </c>
      <c r="BU7" s="11" t="s">
        <v>82</v>
      </c>
      <c r="BV7" s="11" t="s">
        <v>96</v>
      </c>
      <c r="BW7" s="11"/>
      <c r="BX7" s="11"/>
      <c r="BY7" s="11" t="s">
        <v>97</v>
      </c>
    </row>
    <row r="8" spans="1:77" ht="43.5" x14ac:dyDescent="0.35">
      <c r="A8" s="11"/>
      <c r="B8" s="11">
        <v>3</v>
      </c>
      <c r="C8" s="11" t="s">
        <v>100</v>
      </c>
      <c r="D8" s="11" t="s">
        <v>84</v>
      </c>
      <c r="E8" s="11" t="s">
        <v>85</v>
      </c>
      <c r="F8" s="11" t="s">
        <v>101</v>
      </c>
      <c r="G8" s="11" t="s">
        <v>87</v>
      </c>
      <c r="H8" s="11">
        <v>2548000</v>
      </c>
      <c r="I8" s="11" t="s">
        <v>88</v>
      </c>
      <c r="J8" s="11" t="s">
        <v>89</v>
      </c>
      <c r="K8" s="13" t="s">
        <v>90</v>
      </c>
      <c r="L8" s="13" t="s">
        <v>91</v>
      </c>
      <c r="M8" s="13">
        <v>7890</v>
      </c>
      <c r="N8" s="13">
        <v>3300</v>
      </c>
      <c r="O8" s="13">
        <v>11190</v>
      </c>
      <c r="P8" s="13">
        <v>2</v>
      </c>
      <c r="Q8" s="13" t="s">
        <v>92</v>
      </c>
      <c r="R8" s="13">
        <v>5595</v>
      </c>
      <c r="S8" s="13" t="s">
        <v>91</v>
      </c>
      <c r="T8" s="13">
        <v>2003</v>
      </c>
      <c r="U8" s="13">
        <v>6</v>
      </c>
      <c r="V8" s="13"/>
      <c r="W8" s="13"/>
      <c r="X8" s="13">
        <v>2003</v>
      </c>
      <c r="Y8" s="13">
        <v>2003</v>
      </c>
      <c r="Z8" s="13">
        <v>2003</v>
      </c>
      <c r="AA8" s="13">
        <v>2016</v>
      </c>
      <c r="AB8" s="11" t="s">
        <v>93</v>
      </c>
      <c r="AC8" s="11"/>
      <c r="AD8" s="11">
        <v>6</v>
      </c>
      <c r="AE8" s="11"/>
      <c r="AF8" s="13"/>
      <c r="AG8" s="13"/>
      <c r="AH8" s="13" t="s">
        <v>91</v>
      </c>
      <c r="AI8" s="13"/>
      <c r="AJ8" s="13" t="s">
        <v>94</v>
      </c>
      <c r="AK8" s="11"/>
      <c r="AL8" s="12"/>
      <c r="AM8" s="11"/>
      <c r="AN8" s="13">
        <v>450460</v>
      </c>
      <c r="AO8" s="12"/>
      <c r="AP8" s="13"/>
      <c r="AQ8" s="13"/>
      <c r="AR8" s="13"/>
      <c r="AS8" s="13"/>
      <c r="AT8" s="13"/>
      <c r="AU8" s="13"/>
      <c r="AV8" s="13"/>
      <c r="AW8" s="13" t="s">
        <v>82</v>
      </c>
      <c r="AX8" s="11">
        <v>619247889</v>
      </c>
      <c r="AY8" s="14">
        <v>216.782841823056</v>
      </c>
      <c r="AZ8" s="11">
        <v>47.530504999999998</v>
      </c>
      <c r="BA8" s="11">
        <v>-121.868826</v>
      </c>
      <c r="BB8" s="14"/>
      <c r="BC8" s="11" t="s">
        <v>95</v>
      </c>
      <c r="BD8" s="11"/>
      <c r="BE8" s="11"/>
      <c r="BF8" s="11"/>
      <c r="BG8" s="11" t="s">
        <v>91</v>
      </c>
      <c r="BH8" s="11" t="s">
        <v>82</v>
      </c>
      <c r="BI8" s="11"/>
      <c r="BJ8" s="11" t="s">
        <v>82</v>
      </c>
      <c r="BK8" s="11" t="s">
        <v>82</v>
      </c>
      <c r="BL8" s="11"/>
      <c r="BM8" s="11" t="s">
        <v>82</v>
      </c>
      <c r="BN8" s="11">
        <v>0</v>
      </c>
      <c r="BO8" s="11"/>
      <c r="BP8" s="11"/>
      <c r="BQ8" s="11"/>
      <c r="BR8" s="11"/>
      <c r="BS8" s="11" t="s">
        <v>82</v>
      </c>
      <c r="BT8" s="11">
        <v>0</v>
      </c>
      <c r="BU8" s="11" t="s">
        <v>82</v>
      </c>
      <c r="BV8" s="11" t="s">
        <v>96</v>
      </c>
      <c r="BW8" s="11"/>
      <c r="BX8" s="11"/>
      <c r="BY8" s="11" t="s">
        <v>97</v>
      </c>
    </row>
    <row r="9" spans="1:77" ht="43.5" x14ac:dyDescent="0.35">
      <c r="A9" s="11"/>
      <c r="B9" s="11">
        <v>4</v>
      </c>
      <c r="C9" s="11" t="s">
        <v>102</v>
      </c>
      <c r="D9" s="11" t="s">
        <v>84</v>
      </c>
      <c r="E9" s="11" t="s">
        <v>85</v>
      </c>
      <c r="F9" s="11" t="s">
        <v>103</v>
      </c>
      <c r="G9" s="11" t="s">
        <v>87</v>
      </c>
      <c r="H9" s="11">
        <v>2548000</v>
      </c>
      <c r="I9" s="11" t="s">
        <v>88</v>
      </c>
      <c r="J9" s="11" t="s">
        <v>89</v>
      </c>
      <c r="K9" s="13" t="s">
        <v>90</v>
      </c>
      <c r="L9" s="13" t="s">
        <v>91</v>
      </c>
      <c r="M9" s="13">
        <v>7890</v>
      </c>
      <c r="N9" s="13">
        <v>3300</v>
      </c>
      <c r="O9" s="13">
        <v>11190</v>
      </c>
      <c r="P9" s="13">
        <v>2</v>
      </c>
      <c r="Q9" s="13" t="s">
        <v>92</v>
      </c>
      <c r="R9" s="13">
        <v>5595</v>
      </c>
      <c r="S9" s="13" t="s">
        <v>91</v>
      </c>
      <c r="T9" s="13">
        <v>2003</v>
      </c>
      <c r="U9" s="13">
        <v>6</v>
      </c>
      <c r="V9" s="13"/>
      <c r="W9" s="13"/>
      <c r="X9" s="13">
        <v>2003</v>
      </c>
      <c r="Y9" s="13">
        <v>2003</v>
      </c>
      <c r="Z9" s="13">
        <v>2003</v>
      </c>
      <c r="AA9" s="13">
        <v>2016</v>
      </c>
      <c r="AB9" s="11" t="s">
        <v>93</v>
      </c>
      <c r="AC9" s="11"/>
      <c r="AD9" s="11">
        <v>6</v>
      </c>
      <c r="AE9" s="11"/>
      <c r="AF9" s="13"/>
      <c r="AG9" s="13"/>
      <c r="AH9" s="13" t="s">
        <v>91</v>
      </c>
      <c r="AI9" s="13"/>
      <c r="AJ9" s="13" t="s">
        <v>94</v>
      </c>
      <c r="AK9" s="11"/>
      <c r="AL9" s="12"/>
      <c r="AM9" s="11"/>
      <c r="AN9" s="13">
        <v>450460</v>
      </c>
      <c r="AO9" s="12"/>
      <c r="AP9" s="13"/>
      <c r="AQ9" s="13"/>
      <c r="AR9" s="13"/>
      <c r="AS9" s="13"/>
      <c r="AT9" s="13"/>
      <c r="AU9" s="13"/>
      <c r="AV9" s="13"/>
      <c r="AW9" s="13" t="s">
        <v>82</v>
      </c>
      <c r="AX9" s="11">
        <v>619247889</v>
      </c>
      <c r="AY9" s="14">
        <v>216.782841823056</v>
      </c>
      <c r="AZ9" s="11">
        <v>47.530307999999998</v>
      </c>
      <c r="BA9" s="11">
        <v>-121.87017899999999</v>
      </c>
      <c r="BB9" s="14"/>
      <c r="BC9" s="11" t="s">
        <v>95</v>
      </c>
      <c r="BD9" s="11"/>
      <c r="BE9" s="11"/>
      <c r="BF9" s="11"/>
      <c r="BG9" s="11" t="s">
        <v>91</v>
      </c>
      <c r="BH9" s="11" t="s">
        <v>82</v>
      </c>
      <c r="BI9" s="11"/>
      <c r="BJ9" s="11" t="s">
        <v>82</v>
      </c>
      <c r="BK9" s="11" t="s">
        <v>82</v>
      </c>
      <c r="BL9" s="11"/>
      <c r="BM9" s="11" t="s">
        <v>82</v>
      </c>
      <c r="BN9" s="11">
        <v>0</v>
      </c>
      <c r="BO9" s="11"/>
      <c r="BP9" s="11"/>
      <c r="BQ9" s="11"/>
      <c r="BR9" s="11"/>
      <c r="BS9" s="11" t="s">
        <v>82</v>
      </c>
      <c r="BT9" s="11">
        <v>0</v>
      </c>
      <c r="BU9" s="11" t="s">
        <v>82</v>
      </c>
      <c r="BV9" s="11" t="s">
        <v>96</v>
      </c>
      <c r="BW9" s="11"/>
      <c r="BX9" s="11"/>
      <c r="BY9" s="11" t="s">
        <v>97</v>
      </c>
    </row>
    <row r="10" spans="1:77" ht="43.5" x14ac:dyDescent="0.35">
      <c r="A10" s="11"/>
      <c r="B10" s="11">
        <v>5</v>
      </c>
      <c r="C10" s="11" t="s">
        <v>104</v>
      </c>
      <c r="D10" s="11" t="s">
        <v>84</v>
      </c>
      <c r="E10" s="11" t="s">
        <v>85</v>
      </c>
      <c r="F10" s="11" t="s">
        <v>105</v>
      </c>
      <c r="G10" s="11" t="s">
        <v>87</v>
      </c>
      <c r="H10" s="11">
        <v>2548000</v>
      </c>
      <c r="I10" s="11" t="s">
        <v>88</v>
      </c>
      <c r="J10" s="11" t="s">
        <v>89</v>
      </c>
      <c r="K10" s="13" t="s">
        <v>90</v>
      </c>
      <c r="L10" s="13" t="s">
        <v>91</v>
      </c>
      <c r="M10" s="13">
        <v>7890</v>
      </c>
      <c r="N10" s="13">
        <v>3300</v>
      </c>
      <c r="O10" s="13">
        <v>11190</v>
      </c>
      <c r="P10" s="13">
        <v>2</v>
      </c>
      <c r="Q10" s="13" t="s">
        <v>92</v>
      </c>
      <c r="R10" s="13">
        <v>5595</v>
      </c>
      <c r="S10" s="13" t="s">
        <v>91</v>
      </c>
      <c r="T10" s="13">
        <v>2003</v>
      </c>
      <c r="U10" s="13">
        <v>6</v>
      </c>
      <c r="V10" s="13"/>
      <c r="W10" s="13"/>
      <c r="X10" s="13">
        <v>2003</v>
      </c>
      <c r="Y10" s="13">
        <v>2003</v>
      </c>
      <c r="Z10" s="13">
        <v>2003</v>
      </c>
      <c r="AA10" s="13">
        <v>2016</v>
      </c>
      <c r="AB10" s="11" t="s">
        <v>93</v>
      </c>
      <c r="AC10" s="11"/>
      <c r="AD10" s="11">
        <v>6</v>
      </c>
      <c r="AE10" s="11"/>
      <c r="AF10" s="13"/>
      <c r="AG10" s="13"/>
      <c r="AH10" s="13" t="s">
        <v>91</v>
      </c>
      <c r="AI10" s="13"/>
      <c r="AJ10" s="13" t="s">
        <v>94</v>
      </c>
      <c r="AK10" s="11"/>
      <c r="AL10" s="12"/>
      <c r="AM10" s="11"/>
      <c r="AN10" s="13">
        <v>450460</v>
      </c>
      <c r="AO10" s="12"/>
      <c r="AP10" s="13"/>
      <c r="AQ10" s="13"/>
      <c r="AR10" s="13"/>
      <c r="AS10" s="13"/>
      <c r="AT10" s="13"/>
      <c r="AU10" s="13"/>
      <c r="AV10" s="13"/>
      <c r="AW10" s="13" t="s">
        <v>82</v>
      </c>
      <c r="AX10" s="11">
        <v>619247889</v>
      </c>
      <c r="AY10" s="14">
        <v>216.782841823056</v>
      </c>
      <c r="AZ10" s="11">
        <v>47.530712999999999</v>
      </c>
      <c r="BA10" s="11">
        <v>-121.870225</v>
      </c>
      <c r="BB10" s="14"/>
      <c r="BC10" s="11" t="s">
        <v>95</v>
      </c>
      <c r="BD10" s="11"/>
      <c r="BE10" s="11"/>
      <c r="BF10" s="11"/>
      <c r="BG10" s="11" t="s">
        <v>91</v>
      </c>
      <c r="BH10" s="11" t="s">
        <v>82</v>
      </c>
      <c r="BI10" s="11"/>
      <c r="BJ10" s="11" t="s">
        <v>82</v>
      </c>
      <c r="BK10" s="11" t="s">
        <v>82</v>
      </c>
      <c r="BL10" s="11"/>
      <c r="BM10" s="11" t="s">
        <v>82</v>
      </c>
      <c r="BN10" s="11">
        <v>0</v>
      </c>
      <c r="BO10" s="11"/>
      <c r="BP10" s="11"/>
      <c r="BQ10" s="11"/>
      <c r="BR10" s="11"/>
      <c r="BS10" s="11" t="s">
        <v>82</v>
      </c>
      <c r="BT10" s="11">
        <v>0</v>
      </c>
      <c r="BU10" s="11" t="s">
        <v>82</v>
      </c>
      <c r="BV10" s="11" t="s">
        <v>96</v>
      </c>
      <c r="BW10" s="11"/>
      <c r="BX10" s="11"/>
      <c r="BY10" s="11" t="s">
        <v>97</v>
      </c>
    </row>
    <row r="11" spans="1:77" ht="43.5" x14ac:dyDescent="0.35">
      <c r="A11" s="11"/>
      <c r="B11" s="11">
        <v>6</v>
      </c>
      <c r="C11" s="11" t="s">
        <v>106</v>
      </c>
      <c r="D11" s="11" t="s">
        <v>84</v>
      </c>
      <c r="E11" s="11" t="s">
        <v>85</v>
      </c>
      <c r="F11" s="11" t="s">
        <v>107</v>
      </c>
      <c r="G11" s="11" t="s">
        <v>87</v>
      </c>
      <c r="H11" s="11">
        <v>2548000</v>
      </c>
      <c r="I11" s="11" t="s">
        <v>88</v>
      </c>
      <c r="J11" s="11" t="s">
        <v>89</v>
      </c>
      <c r="K11" s="13" t="s">
        <v>90</v>
      </c>
      <c r="L11" s="13" t="s">
        <v>91</v>
      </c>
      <c r="M11" s="13">
        <v>7890</v>
      </c>
      <c r="N11" s="13">
        <v>3300</v>
      </c>
      <c r="O11" s="13">
        <v>11190</v>
      </c>
      <c r="P11" s="13">
        <v>2</v>
      </c>
      <c r="Q11" s="13" t="s">
        <v>92</v>
      </c>
      <c r="R11" s="13">
        <v>5595</v>
      </c>
      <c r="S11" s="13" t="s">
        <v>91</v>
      </c>
      <c r="T11" s="13">
        <v>2003</v>
      </c>
      <c r="U11" s="13">
        <v>6</v>
      </c>
      <c r="V11" s="13"/>
      <c r="W11" s="13"/>
      <c r="X11" s="13">
        <v>2003</v>
      </c>
      <c r="Y11" s="13">
        <v>2003</v>
      </c>
      <c r="Z11" s="13">
        <v>2003</v>
      </c>
      <c r="AA11" s="13">
        <v>2016</v>
      </c>
      <c r="AB11" s="11" t="s">
        <v>93</v>
      </c>
      <c r="AC11" s="11"/>
      <c r="AD11" s="11">
        <v>6</v>
      </c>
      <c r="AE11" s="11"/>
      <c r="AF11" s="13"/>
      <c r="AG11" s="13"/>
      <c r="AH11" s="13" t="s">
        <v>91</v>
      </c>
      <c r="AI11" s="13"/>
      <c r="AJ11" s="13" t="s">
        <v>94</v>
      </c>
      <c r="AK11" s="11"/>
      <c r="AL11" s="12"/>
      <c r="AM11" s="11"/>
      <c r="AN11" s="13">
        <v>450460</v>
      </c>
      <c r="AO11" s="12"/>
      <c r="AP11" s="13"/>
      <c r="AQ11" s="13"/>
      <c r="AR11" s="13"/>
      <c r="AS11" s="13"/>
      <c r="AT11" s="13"/>
      <c r="AU11" s="13"/>
      <c r="AV11" s="13"/>
      <c r="AW11" s="13" t="s">
        <v>82</v>
      </c>
      <c r="AX11" s="11">
        <v>619247889</v>
      </c>
      <c r="AY11" s="14">
        <v>216.782841823056</v>
      </c>
      <c r="AZ11" s="11">
        <v>47.531027000000002</v>
      </c>
      <c r="BA11" s="11">
        <v>-121.87031399999999</v>
      </c>
      <c r="BB11" s="14"/>
      <c r="BC11" s="11" t="s">
        <v>95</v>
      </c>
      <c r="BD11" s="11"/>
      <c r="BE11" s="11"/>
      <c r="BF11" s="11"/>
      <c r="BG11" s="11" t="s">
        <v>91</v>
      </c>
      <c r="BH11" s="11" t="s">
        <v>82</v>
      </c>
      <c r="BI11" s="11"/>
      <c r="BJ11" s="11" t="s">
        <v>82</v>
      </c>
      <c r="BK11" s="11" t="s">
        <v>82</v>
      </c>
      <c r="BL11" s="11"/>
      <c r="BM11" s="11" t="s">
        <v>82</v>
      </c>
      <c r="BN11" s="11">
        <v>0</v>
      </c>
      <c r="BO11" s="11"/>
      <c r="BP11" s="11"/>
      <c r="BQ11" s="11"/>
      <c r="BR11" s="11"/>
      <c r="BS11" s="11" t="s">
        <v>82</v>
      </c>
      <c r="BT11" s="11">
        <v>0</v>
      </c>
      <c r="BU11" s="11" t="s">
        <v>82</v>
      </c>
      <c r="BV11" s="11" t="s">
        <v>96</v>
      </c>
      <c r="BW11" s="11"/>
      <c r="BX11" s="11"/>
      <c r="BY11" s="11" t="s">
        <v>97</v>
      </c>
    </row>
    <row r="12" spans="1:77" ht="43.5" x14ac:dyDescent="0.35">
      <c r="A12" s="11"/>
      <c r="B12" s="11">
        <v>7</v>
      </c>
      <c r="C12" s="11" t="s">
        <v>108</v>
      </c>
      <c r="D12" s="11" t="s">
        <v>84</v>
      </c>
      <c r="E12" s="11" t="s">
        <v>85</v>
      </c>
      <c r="F12" s="11" t="s">
        <v>109</v>
      </c>
      <c r="G12" s="11" t="s">
        <v>87</v>
      </c>
      <c r="H12" s="11">
        <v>2548000</v>
      </c>
      <c r="I12" s="11" t="s">
        <v>88</v>
      </c>
      <c r="J12" s="11" t="s">
        <v>89</v>
      </c>
      <c r="K12" s="13" t="s">
        <v>90</v>
      </c>
      <c r="L12" s="13" t="s">
        <v>91</v>
      </c>
      <c r="M12" s="13">
        <v>7890</v>
      </c>
      <c r="N12" s="13">
        <v>3300</v>
      </c>
      <c r="O12" s="13">
        <v>11190</v>
      </c>
      <c r="P12" s="13">
        <v>2</v>
      </c>
      <c r="Q12" s="13" t="s">
        <v>92</v>
      </c>
      <c r="R12" s="13">
        <v>5595</v>
      </c>
      <c r="S12" s="13" t="s">
        <v>91</v>
      </c>
      <c r="T12" s="13">
        <v>2003</v>
      </c>
      <c r="U12" s="13">
        <v>6</v>
      </c>
      <c r="V12" s="13"/>
      <c r="W12" s="13"/>
      <c r="X12" s="13">
        <v>2003</v>
      </c>
      <c r="Y12" s="13">
        <v>2003</v>
      </c>
      <c r="Z12" s="13">
        <v>2003</v>
      </c>
      <c r="AA12" s="13">
        <v>2016</v>
      </c>
      <c r="AB12" s="11" t="s">
        <v>93</v>
      </c>
      <c r="AC12" s="11"/>
      <c r="AD12" s="11">
        <v>6</v>
      </c>
      <c r="AE12" s="11"/>
      <c r="AF12" s="13"/>
      <c r="AG12" s="13"/>
      <c r="AH12" s="13" t="s">
        <v>91</v>
      </c>
      <c r="AI12" s="13"/>
      <c r="AJ12" s="13" t="s">
        <v>94</v>
      </c>
      <c r="AK12" s="11"/>
      <c r="AL12" s="12"/>
      <c r="AM12" s="11"/>
      <c r="AN12" s="13">
        <v>450460</v>
      </c>
      <c r="AO12" s="12"/>
      <c r="AP12" s="13"/>
      <c r="AQ12" s="13"/>
      <c r="AR12" s="13"/>
      <c r="AS12" s="13"/>
      <c r="AT12" s="13"/>
      <c r="AU12" s="13"/>
      <c r="AV12" s="13"/>
      <c r="AW12" s="13" t="s">
        <v>82</v>
      </c>
      <c r="AX12" s="11">
        <v>619247889</v>
      </c>
      <c r="AY12" s="14">
        <v>216.782841823056</v>
      </c>
      <c r="AZ12" s="11">
        <v>47.531292000000001</v>
      </c>
      <c r="BA12" s="11">
        <v>-121.86989199999999</v>
      </c>
      <c r="BB12" s="14"/>
      <c r="BC12" s="11" t="s">
        <v>95</v>
      </c>
      <c r="BD12" s="11"/>
      <c r="BE12" s="11"/>
      <c r="BF12" s="11"/>
      <c r="BG12" s="11" t="s">
        <v>91</v>
      </c>
      <c r="BH12" s="11" t="s">
        <v>82</v>
      </c>
      <c r="BI12" s="11"/>
      <c r="BJ12" s="11" t="s">
        <v>82</v>
      </c>
      <c r="BK12" s="11" t="s">
        <v>82</v>
      </c>
      <c r="BL12" s="11"/>
      <c r="BM12" s="11" t="s">
        <v>82</v>
      </c>
      <c r="BN12" s="11">
        <v>0</v>
      </c>
      <c r="BO12" s="11"/>
      <c r="BP12" s="11"/>
      <c r="BQ12" s="11"/>
      <c r="BR12" s="11"/>
      <c r="BS12" s="11" t="s">
        <v>82</v>
      </c>
      <c r="BT12" s="11">
        <v>0</v>
      </c>
      <c r="BU12" s="11" t="s">
        <v>82</v>
      </c>
      <c r="BV12" s="11" t="s">
        <v>96</v>
      </c>
      <c r="BW12" s="11"/>
      <c r="BX12" s="11"/>
      <c r="BY12" s="11" t="s">
        <v>97</v>
      </c>
    </row>
    <row r="13" spans="1:77" ht="43.5" x14ac:dyDescent="0.35">
      <c r="A13" s="11"/>
      <c r="B13" s="11">
        <v>8</v>
      </c>
      <c r="C13" s="11" t="s">
        <v>110</v>
      </c>
      <c r="D13" s="11" t="s">
        <v>84</v>
      </c>
      <c r="E13" s="11" t="s">
        <v>85</v>
      </c>
      <c r="F13" s="11" t="s">
        <v>111</v>
      </c>
      <c r="G13" s="11" t="s">
        <v>87</v>
      </c>
      <c r="H13" s="11">
        <v>2548000</v>
      </c>
      <c r="I13" s="11" t="s">
        <v>88</v>
      </c>
      <c r="J13" s="11" t="s">
        <v>89</v>
      </c>
      <c r="K13" s="13" t="s">
        <v>90</v>
      </c>
      <c r="L13" s="13" t="s">
        <v>91</v>
      </c>
      <c r="M13" s="13">
        <v>7890</v>
      </c>
      <c r="N13" s="13">
        <v>3300</v>
      </c>
      <c r="O13" s="13">
        <v>11190</v>
      </c>
      <c r="P13" s="13">
        <v>2</v>
      </c>
      <c r="Q13" s="13" t="s">
        <v>92</v>
      </c>
      <c r="R13" s="13">
        <v>5595</v>
      </c>
      <c r="S13" s="13" t="s">
        <v>91</v>
      </c>
      <c r="T13" s="13">
        <v>2003</v>
      </c>
      <c r="U13" s="13">
        <v>6</v>
      </c>
      <c r="V13" s="13"/>
      <c r="W13" s="13"/>
      <c r="X13" s="13">
        <v>2003</v>
      </c>
      <c r="Y13" s="13">
        <v>2003</v>
      </c>
      <c r="Z13" s="13">
        <v>2003</v>
      </c>
      <c r="AA13" s="13">
        <v>2016</v>
      </c>
      <c r="AB13" s="11" t="s">
        <v>93</v>
      </c>
      <c r="AC13" s="11"/>
      <c r="AD13" s="11">
        <v>6</v>
      </c>
      <c r="AE13" s="11"/>
      <c r="AF13" s="13"/>
      <c r="AG13" s="13"/>
      <c r="AH13" s="13" t="s">
        <v>91</v>
      </c>
      <c r="AI13" s="13"/>
      <c r="AJ13" s="13" t="s">
        <v>94</v>
      </c>
      <c r="AK13" s="11"/>
      <c r="AL13" s="12"/>
      <c r="AM13" s="11"/>
      <c r="AN13" s="13">
        <v>450460</v>
      </c>
      <c r="AO13" s="12"/>
      <c r="AP13" s="13"/>
      <c r="AQ13" s="13"/>
      <c r="AR13" s="13"/>
      <c r="AS13" s="13"/>
      <c r="AT13" s="13"/>
      <c r="AU13" s="13"/>
      <c r="AV13" s="13"/>
      <c r="AW13" s="13" t="s">
        <v>82</v>
      </c>
      <c r="AX13" s="11">
        <v>619247889</v>
      </c>
      <c r="AY13" s="14">
        <v>216.782841823056</v>
      </c>
      <c r="AZ13" s="11">
        <v>47.530830999999999</v>
      </c>
      <c r="BA13" s="11">
        <v>-121.86884000000001</v>
      </c>
      <c r="BB13" s="14"/>
      <c r="BC13" s="11" t="s">
        <v>95</v>
      </c>
      <c r="BD13" s="11"/>
      <c r="BE13" s="11"/>
      <c r="BF13" s="11"/>
      <c r="BG13" s="11" t="s">
        <v>91</v>
      </c>
      <c r="BH13" s="11" t="s">
        <v>82</v>
      </c>
      <c r="BI13" s="11"/>
      <c r="BJ13" s="11" t="s">
        <v>82</v>
      </c>
      <c r="BK13" s="11" t="s">
        <v>82</v>
      </c>
      <c r="BL13" s="11"/>
      <c r="BM13" s="11" t="s">
        <v>82</v>
      </c>
      <c r="BN13" s="11">
        <v>0</v>
      </c>
      <c r="BO13" s="11"/>
      <c r="BP13" s="11"/>
      <c r="BQ13" s="11"/>
      <c r="BR13" s="11"/>
      <c r="BS13" s="11" t="s">
        <v>82</v>
      </c>
      <c r="BT13" s="11">
        <v>0</v>
      </c>
      <c r="BU13" s="11" t="s">
        <v>82</v>
      </c>
      <c r="BV13" s="11" t="s">
        <v>96</v>
      </c>
      <c r="BW13" s="11"/>
      <c r="BX13" s="11"/>
      <c r="BY13" s="11" t="s">
        <v>97</v>
      </c>
    </row>
    <row r="14" spans="1:77" ht="43.5" x14ac:dyDescent="0.35">
      <c r="A14" s="11"/>
      <c r="B14" s="11">
        <v>9</v>
      </c>
      <c r="C14" s="11" t="s">
        <v>112</v>
      </c>
      <c r="D14" s="11" t="s">
        <v>84</v>
      </c>
      <c r="E14" s="11" t="s">
        <v>85</v>
      </c>
      <c r="F14" s="11" t="s">
        <v>113</v>
      </c>
      <c r="G14" s="11" t="s">
        <v>87</v>
      </c>
      <c r="H14" s="11">
        <v>2655000</v>
      </c>
      <c r="I14" s="11" t="s">
        <v>88</v>
      </c>
      <c r="J14" s="11" t="s">
        <v>89</v>
      </c>
      <c r="K14" s="13" t="s">
        <v>90</v>
      </c>
      <c r="L14" s="13" t="s">
        <v>91</v>
      </c>
      <c r="M14" s="13">
        <v>8536</v>
      </c>
      <c r="N14" s="13">
        <v>3300</v>
      </c>
      <c r="O14" s="13">
        <v>11836</v>
      </c>
      <c r="P14" s="13">
        <v>2</v>
      </c>
      <c r="Q14" s="13" t="s">
        <v>92</v>
      </c>
      <c r="R14" s="13">
        <v>5918</v>
      </c>
      <c r="S14" s="13" t="s">
        <v>91</v>
      </c>
      <c r="T14" s="13">
        <v>2003</v>
      </c>
      <c r="U14" s="13">
        <v>6</v>
      </c>
      <c r="V14" s="13"/>
      <c r="W14" s="13"/>
      <c r="X14" s="13">
        <v>2003</v>
      </c>
      <c r="Y14" s="13">
        <v>2003</v>
      </c>
      <c r="Z14" s="13">
        <v>2003</v>
      </c>
      <c r="AA14" s="13">
        <v>2016</v>
      </c>
      <c r="AB14" s="11" t="s">
        <v>93</v>
      </c>
      <c r="AC14" s="11"/>
      <c r="AD14" s="11">
        <v>6</v>
      </c>
      <c r="AE14" s="11"/>
      <c r="AF14" s="13"/>
      <c r="AG14" s="13"/>
      <c r="AH14" s="13" t="s">
        <v>91</v>
      </c>
      <c r="AI14" s="13"/>
      <c r="AJ14" s="13" t="s">
        <v>94</v>
      </c>
      <c r="AK14" s="11"/>
      <c r="AL14" s="12"/>
      <c r="AM14" s="11"/>
      <c r="AN14" s="13">
        <v>469392</v>
      </c>
      <c r="AO14" s="12"/>
      <c r="AP14" s="13"/>
      <c r="AQ14" s="13"/>
      <c r="AR14" s="13"/>
      <c r="AS14" s="13"/>
      <c r="AT14" s="13"/>
      <c r="AU14" s="13"/>
      <c r="AV14" s="13"/>
      <c r="AW14" s="13" t="s">
        <v>82</v>
      </c>
      <c r="AX14" s="11">
        <v>619253406</v>
      </c>
      <c r="AY14" s="14">
        <v>213.56032443392999</v>
      </c>
      <c r="AZ14" s="11">
        <v>47.530923000000001</v>
      </c>
      <c r="BA14" s="11">
        <v>-121.86886199999999</v>
      </c>
      <c r="BB14" s="14"/>
      <c r="BC14" s="11" t="s">
        <v>95</v>
      </c>
      <c r="BD14" s="11"/>
      <c r="BE14" s="11"/>
      <c r="BF14" s="11"/>
      <c r="BG14" s="11" t="s">
        <v>91</v>
      </c>
      <c r="BH14" s="11" t="s">
        <v>82</v>
      </c>
      <c r="BI14" s="11"/>
      <c r="BJ14" s="11" t="s">
        <v>82</v>
      </c>
      <c r="BK14" s="11" t="s">
        <v>82</v>
      </c>
      <c r="BL14" s="11"/>
      <c r="BM14" s="11" t="s">
        <v>82</v>
      </c>
      <c r="BN14" s="11">
        <v>0</v>
      </c>
      <c r="BO14" s="11"/>
      <c r="BP14" s="11"/>
      <c r="BQ14" s="11"/>
      <c r="BR14" s="11"/>
      <c r="BS14" s="11" t="s">
        <v>82</v>
      </c>
      <c r="BT14" s="11">
        <v>0</v>
      </c>
      <c r="BU14" s="11" t="s">
        <v>82</v>
      </c>
      <c r="BV14" s="11" t="s">
        <v>96</v>
      </c>
      <c r="BW14" s="11"/>
      <c r="BX14" s="11"/>
      <c r="BY14" s="11" t="s">
        <v>97</v>
      </c>
    </row>
    <row r="15" spans="1:77" ht="43.5" x14ac:dyDescent="0.35">
      <c r="A15" s="11"/>
      <c r="B15" s="11">
        <v>10</v>
      </c>
      <c r="C15" s="11" t="s">
        <v>114</v>
      </c>
      <c r="D15" s="11" t="s">
        <v>84</v>
      </c>
      <c r="E15" s="11" t="s">
        <v>85</v>
      </c>
      <c r="F15" s="11" t="s">
        <v>115</v>
      </c>
      <c r="G15" s="11" t="s">
        <v>87</v>
      </c>
      <c r="H15" s="11">
        <v>2655000</v>
      </c>
      <c r="I15" s="11" t="s">
        <v>88</v>
      </c>
      <c r="J15" s="11" t="s">
        <v>89</v>
      </c>
      <c r="K15" s="13" t="s">
        <v>90</v>
      </c>
      <c r="L15" s="13" t="s">
        <v>91</v>
      </c>
      <c r="M15" s="13">
        <v>8536</v>
      </c>
      <c r="N15" s="13">
        <v>3300</v>
      </c>
      <c r="O15" s="13">
        <v>11836</v>
      </c>
      <c r="P15" s="13">
        <v>2</v>
      </c>
      <c r="Q15" s="13" t="s">
        <v>92</v>
      </c>
      <c r="R15" s="13">
        <v>5918</v>
      </c>
      <c r="S15" s="13" t="s">
        <v>91</v>
      </c>
      <c r="T15" s="13">
        <v>2003</v>
      </c>
      <c r="U15" s="13">
        <v>6</v>
      </c>
      <c r="V15" s="13"/>
      <c r="W15" s="13"/>
      <c r="X15" s="13">
        <v>2003</v>
      </c>
      <c r="Y15" s="13">
        <v>2003</v>
      </c>
      <c r="Z15" s="13">
        <v>2003</v>
      </c>
      <c r="AA15" s="13">
        <v>2016</v>
      </c>
      <c r="AB15" s="11" t="s">
        <v>93</v>
      </c>
      <c r="AC15" s="11"/>
      <c r="AD15" s="11">
        <v>6</v>
      </c>
      <c r="AE15" s="11"/>
      <c r="AF15" s="13"/>
      <c r="AG15" s="13"/>
      <c r="AH15" s="13" t="s">
        <v>91</v>
      </c>
      <c r="AI15" s="13"/>
      <c r="AJ15" s="13" t="s">
        <v>94</v>
      </c>
      <c r="AK15" s="11"/>
      <c r="AL15" s="12"/>
      <c r="AM15" s="11"/>
      <c r="AN15" s="13">
        <v>469392</v>
      </c>
      <c r="AO15" s="12"/>
      <c r="AP15" s="13"/>
      <c r="AQ15" s="13"/>
      <c r="AR15" s="13"/>
      <c r="AS15" s="13"/>
      <c r="AT15" s="13"/>
      <c r="AU15" s="13"/>
      <c r="AV15" s="13"/>
      <c r="AW15" s="13" t="s">
        <v>82</v>
      </c>
      <c r="AX15" s="11">
        <v>619253406</v>
      </c>
      <c r="AY15" s="14">
        <v>213.56032443392999</v>
      </c>
      <c r="AZ15" s="11">
        <v>47.530445999999998</v>
      </c>
      <c r="BA15" s="11">
        <v>-121.869283</v>
      </c>
      <c r="BB15" s="14"/>
      <c r="BC15" s="11" t="s">
        <v>95</v>
      </c>
      <c r="BD15" s="11"/>
      <c r="BE15" s="11"/>
      <c r="BF15" s="11"/>
      <c r="BG15" s="11" t="s">
        <v>91</v>
      </c>
      <c r="BH15" s="11" t="s">
        <v>82</v>
      </c>
      <c r="BI15" s="11"/>
      <c r="BJ15" s="11" t="s">
        <v>82</v>
      </c>
      <c r="BK15" s="11" t="s">
        <v>82</v>
      </c>
      <c r="BL15" s="11"/>
      <c r="BM15" s="11" t="s">
        <v>82</v>
      </c>
      <c r="BN15" s="11">
        <v>0</v>
      </c>
      <c r="BO15" s="11"/>
      <c r="BP15" s="11"/>
      <c r="BQ15" s="11"/>
      <c r="BR15" s="11"/>
      <c r="BS15" s="11" t="s">
        <v>82</v>
      </c>
      <c r="BT15" s="11">
        <v>0</v>
      </c>
      <c r="BU15" s="11" t="s">
        <v>82</v>
      </c>
      <c r="BV15" s="11" t="s">
        <v>96</v>
      </c>
      <c r="BW15" s="11"/>
      <c r="BX15" s="11"/>
      <c r="BY15" s="11" t="s">
        <v>97</v>
      </c>
    </row>
    <row r="16" spans="1:77" ht="43.5" x14ac:dyDescent="0.35">
      <c r="A16" s="11"/>
      <c r="B16" s="11">
        <v>11</v>
      </c>
      <c r="C16" s="11" t="s">
        <v>116</v>
      </c>
      <c r="D16" s="11" t="s">
        <v>84</v>
      </c>
      <c r="E16" s="11" t="s">
        <v>85</v>
      </c>
      <c r="F16" s="11" t="s">
        <v>117</v>
      </c>
      <c r="G16" s="11" t="s">
        <v>87</v>
      </c>
      <c r="H16" s="11">
        <v>2655000</v>
      </c>
      <c r="I16" s="11" t="s">
        <v>88</v>
      </c>
      <c r="J16" s="11" t="s">
        <v>89</v>
      </c>
      <c r="K16" s="13" t="s">
        <v>90</v>
      </c>
      <c r="L16" s="13" t="s">
        <v>91</v>
      </c>
      <c r="M16" s="13">
        <v>8536</v>
      </c>
      <c r="N16" s="13">
        <v>3300</v>
      </c>
      <c r="O16" s="13">
        <v>11836</v>
      </c>
      <c r="P16" s="13">
        <v>2</v>
      </c>
      <c r="Q16" s="13" t="s">
        <v>92</v>
      </c>
      <c r="R16" s="13">
        <v>5918</v>
      </c>
      <c r="S16" s="13" t="s">
        <v>91</v>
      </c>
      <c r="T16" s="13">
        <v>2003</v>
      </c>
      <c r="U16" s="13">
        <v>6</v>
      </c>
      <c r="V16" s="13"/>
      <c r="W16" s="13"/>
      <c r="X16" s="13">
        <v>2003</v>
      </c>
      <c r="Y16" s="13">
        <v>2003</v>
      </c>
      <c r="Z16" s="13">
        <v>2003</v>
      </c>
      <c r="AA16" s="13">
        <v>2016</v>
      </c>
      <c r="AB16" s="11" t="s">
        <v>93</v>
      </c>
      <c r="AC16" s="11"/>
      <c r="AD16" s="11">
        <v>6</v>
      </c>
      <c r="AE16" s="11"/>
      <c r="AF16" s="13"/>
      <c r="AG16" s="13"/>
      <c r="AH16" s="13" t="s">
        <v>91</v>
      </c>
      <c r="AI16" s="13"/>
      <c r="AJ16" s="13" t="s">
        <v>94</v>
      </c>
      <c r="AK16" s="11"/>
      <c r="AL16" s="12"/>
      <c r="AM16" s="11"/>
      <c r="AN16" s="13">
        <v>469392</v>
      </c>
      <c r="AO16" s="12"/>
      <c r="AP16" s="13"/>
      <c r="AQ16" s="13"/>
      <c r="AR16" s="13"/>
      <c r="AS16" s="13"/>
      <c r="AT16" s="13"/>
      <c r="AU16" s="13"/>
      <c r="AV16" s="13"/>
      <c r="AW16" s="13" t="s">
        <v>82</v>
      </c>
      <c r="AX16" s="11">
        <v>619253406</v>
      </c>
      <c r="AY16" s="14">
        <v>213.56032443392999</v>
      </c>
      <c r="AZ16" s="11">
        <v>47.530383999999998</v>
      </c>
      <c r="BA16" s="11">
        <v>-121.869719</v>
      </c>
      <c r="BB16" s="14"/>
      <c r="BC16" s="11" t="s">
        <v>95</v>
      </c>
      <c r="BD16" s="11"/>
      <c r="BE16" s="11"/>
      <c r="BF16" s="11"/>
      <c r="BG16" s="11" t="s">
        <v>91</v>
      </c>
      <c r="BH16" s="11" t="s">
        <v>82</v>
      </c>
      <c r="BI16" s="11"/>
      <c r="BJ16" s="11" t="s">
        <v>82</v>
      </c>
      <c r="BK16" s="11" t="s">
        <v>82</v>
      </c>
      <c r="BL16" s="11"/>
      <c r="BM16" s="11" t="s">
        <v>82</v>
      </c>
      <c r="BN16" s="11">
        <v>0</v>
      </c>
      <c r="BO16" s="11"/>
      <c r="BP16" s="11"/>
      <c r="BQ16" s="11"/>
      <c r="BR16" s="11"/>
      <c r="BS16" s="11" t="s">
        <v>82</v>
      </c>
      <c r="BT16" s="11">
        <v>0</v>
      </c>
      <c r="BU16" s="11" t="s">
        <v>82</v>
      </c>
      <c r="BV16" s="11" t="s">
        <v>96</v>
      </c>
      <c r="BW16" s="11"/>
      <c r="BX16" s="11"/>
      <c r="BY16" s="11" t="s">
        <v>97</v>
      </c>
    </row>
    <row r="17" spans="1:77" ht="43.5" x14ac:dyDescent="0.35">
      <c r="A17" s="11"/>
      <c r="B17" s="11">
        <v>12</v>
      </c>
      <c r="C17" s="11" t="s">
        <v>118</v>
      </c>
      <c r="D17" s="11" t="s">
        <v>84</v>
      </c>
      <c r="E17" s="11" t="s">
        <v>85</v>
      </c>
      <c r="F17" s="11" t="s">
        <v>119</v>
      </c>
      <c r="G17" s="11" t="s">
        <v>87</v>
      </c>
      <c r="H17" s="11">
        <v>2655000</v>
      </c>
      <c r="I17" s="11" t="s">
        <v>88</v>
      </c>
      <c r="J17" s="11" t="s">
        <v>89</v>
      </c>
      <c r="K17" s="13" t="s">
        <v>90</v>
      </c>
      <c r="L17" s="13" t="s">
        <v>91</v>
      </c>
      <c r="M17" s="13">
        <v>8536</v>
      </c>
      <c r="N17" s="13">
        <v>3300</v>
      </c>
      <c r="O17" s="13">
        <v>11836</v>
      </c>
      <c r="P17" s="13">
        <v>2</v>
      </c>
      <c r="Q17" s="13" t="s">
        <v>92</v>
      </c>
      <c r="R17" s="13">
        <v>5918</v>
      </c>
      <c r="S17" s="13" t="s">
        <v>91</v>
      </c>
      <c r="T17" s="13">
        <v>2003</v>
      </c>
      <c r="U17" s="13">
        <v>6</v>
      </c>
      <c r="V17" s="13"/>
      <c r="W17" s="13"/>
      <c r="X17" s="13">
        <v>2003</v>
      </c>
      <c r="Y17" s="13">
        <v>2003</v>
      </c>
      <c r="Z17" s="13">
        <v>2003</v>
      </c>
      <c r="AA17" s="13">
        <v>2016</v>
      </c>
      <c r="AB17" s="11" t="s">
        <v>93</v>
      </c>
      <c r="AC17" s="11"/>
      <c r="AD17" s="11">
        <v>6</v>
      </c>
      <c r="AE17" s="11"/>
      <c r="AF17" s="13"/>
      <c r="AG17" s="13"/>
      <c r="AH17" s="13" t="s">
        <v>91</v>
      </c>
      <c r="AI17" s="13"/>
      <c r="AJ17" s="13" t="s">
        <v>94</v>
      </c>
      <c r="AK17" s="11"/>
      <c r="AL17" s="12"/>
      <c r="AM17" s="11"/>
      <c r="AN17" s="13">
        <v>469392</v>
      </c>
      <c r="AO17" s="12"/>
      <c r="AP17" s="13"/>
      <c r="AQ17" s="13"/>
      <c r="AR17" s="13"/>
      <c r="AS17" s="13"/>
      <c r="AT17" s="13"/>
      <c r="AU17" s="13"/>
      <c r="AV17" s="13"/>
      <c r="AW17" s="13" t="s">
        <v>82</v>
      </c>
      <c r="AX17" s="11">
        <v>619253406</v>
      </c>
      <c r="AY17" s="14">
        <v>213.56032443392999</v>
      </c>
      <c r="AZ17" s="11">
        <v>47.531457000000003</v>
      </c>
      <c r="BA17" s="11">
        <v>-121.86931800000001</v>
      </c>
      <c r="BB17" s="14"/>
      <c r="BC17" s="11" t="s">
        <v>95</v>
      </c>
      <c r="BD17" s="11"/>
      <c r="BE17" s="11"/>
      <c r="BF17" s="11"/>
      <c r="BG17" s="11" t="s">
        <v>91</v>
      </c>
      <c r="BH17" s="11" t="s">
        <v>82</v>
      </c>
      <c r="BI17" s="11"/>
      <c r="BJ17" s="11" t="s">
        <v>82</v>
      </c>
      <c r="BK17" s="11" t="s">
        <v>82</v>
      </c>
      <c r="BL17" s="11"/>
      <c r="BM17" s="11" t="s">
        <v>82</v>
      </c>
      <c r="BN17" s="11">
        <v>0</v>
      </c>
      <c r="BO17" s="11"/>
      <c r="BP17" s="11"/>
      <c r="BQ17" s="11"/>
      <c r="BR17" s="11"/>
      <c r="BS17" s="11" t="s">
        <v>82</v>
      </c>
      <c r="BT17" s="11">
        <v>0</v>
      </c>
      <c r="BU17" s="11" t="s">
        <v>82</v>
      </c>
      <c r="BV17" s="11" t="s">
        <v>96</v>
      </c>
      <c r="BW17" s="11"/>
      <c r="BX17" s="11"/>
      <c r="BY17" s="11" t="s">
        <v>97</v>
      </c>
    </row>
    <row r="18" spans="1:77" ht="29" x14ac:dyDescent="0.35">
      <c r="A18" s="11"/>
      <c r="B18" s="11"/>
      <c r="C18" s="11" t="s">
        <v>118</v>
      </c>
      <c r="D18" s="11" t="s">
        <v>84</v>
      </c>
      <c r="E18" s="11" t="s">
        <v>85</v>
      </c>
      <c r="F18" s="11" t="s">
        <v>119</v>
      </c>
      <c r="G18" s="11" t="s">
        <v>87</v>
      </c>
      <c r="H18" s="11">
        <v>7500</v>
      </c>
      <c r="I18" s="11" t="s">
        <v>88</v>
      </c>
      <c r="J18" s="11" t="s">
        <v>123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1"/>
      <c r="AC18" s="11"/>
      <c r="AD18" s="11"/>
      <c r="AE18" s="11"/>
      <c r="AF18" s="13"/>
      <c r="AG18" s="13"/>
      <c r="AH18" s="13"/>
      <c r="AI18" s="13"/>
      <c r="AJ18" s="13"/>
      <c r="AK18" s="11"/>
      <c r="AL18" s="12"/>
      <c r="AM18" s="11"/>
      <c r="AN18" s="13"/>
      <c r="AO18" s="12"/>
      <c r="AP18" s="13"/>
      <c r="AQ18" s="13"/>
      <c r="AR18" s="13"/>
      <c r="AS18" s="13"/>
      <c r="AT18" s="13"/>
      <c r="AU18" s="13"/>
      <c r="AV18" s="13"/>
      <c r="AW18" s="13"/>
      <c r="AX18" s="11"/>
      <c r="AY18" s="14"/>
      <c r="AZ18" s="11"/>
      <c r="BA18" s="11"/>
      <c r="BB18" s="14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</row>
    <row r="19" spans="1:77" ht="29" x14ac:dyDescent="0.35">
      <c r="A19" s="11"/>
      <c r="B19" s="11"/>
      <c r="C19" s="11" t="s">
        <v>118</v>
      </c>
      <c r="D19" s="11" t="s">
        <v>84</v>
      </c>
      <c r="E19" s="11" t="s">
        <v>85</v>
      </c>
      <c r="F19" s="11" t="s">
        <v>119</v>
      </c>
      <c r="G19" s="11" t="s">
        <v>87</v>
      </c>
      <c r="H19" s="11">
        <v>10000</v>
      </c>
      <c r="I19" s="11" t="s">
        <v>88</v>
      </c>
      <c r="J19" s="11" t="s">
        <v>124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1"/>
      <c r="AC19" s="11"/>
      <c r="AD19" s="11"/>
      <c r="AE19" s="11"/>
      <c r="AF19" s="13"/>
      <c r="AG19" s="13"/>
      <c r="AH19" s="13"/>
      <c r="AI19" s="13"/>
      <c r="AJ19" s="13"/>
      <c r="AK19" s="11"/>
      <c r="AL19" s="12"/>
      <c r="AM19" s="11"/>
      <c r="AN19" s="13"/>
      <c r="AO19" s="12"/>
      <c r="AP19" s="13"/>
      <c r="AQ19" s="13"/>
      <c r="AR19" s="13"/>
      <c r="AS19" s="13"/>
      <c r="AT19" s="13"/>
      <c r="AU19" s="13"/>
      <c r="AV19" s="13"/>
      <c r="AW19" s="13"/>
      <c r="AX19" s="11"/>
      <c r="AY19" s="14"/>
      <c r="AZ19" s="11"/>
      <c r="BA19" s="11"/>
      <c r="BB19" s="14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</row>
    <row r="20" spans="1:77" x14ac:dyDescent="0.35">
      <c r="H20" s="16">
        <f>SUM(H6:H19)</f>
        <v>29963500</v>
      </c>
      <c r="M20">
        <f>SUM(M6:M19)</f>
        <v>93343</v>
      </c>
      <c r="N20">
        <f>SUM(N6:N19)</f>
        <v>37950</v>
      </c>
      <c r="O20">
        <f>SUM(O6:O19)</f>
        <v>131293</v>
      </c>
      <c r="AY20" s="16" t="s">
        <v>81</v>
      </c>
    </row>
  </sheetData>
  <mergeCells count="5">
    <mergeCell ref="K4:U4"/>
    <mergeCell ref="X4:AA4"/>
    <mergeCell ref="AF4:AG4"/>
    <mergeCell ref="AH4:AI4"/>
    <mergeCell ref="V4:W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176820d-ae53-4719-b4a5-f5db7559e290">
      <Terms xmlns="http://schemas.microsoft.com/office/infopath/2007/PartnerControls"/>
    </lcf76f155ced4ddcb4097134ff3c332f>
    <_ip_UnifiedCompliancePolicyProperties xmlns="http://schemas.microsoft.com/sharepoint/v3" xsi:nil="true"/>
    <TaxCatchAll xmlns="f07443f0-4366-4d54-a4ae-66d2b7dc21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340BF0BBBDF64E92551118CCA5E54D" ma:contentTypeVersion="17" ma:contentTypeDescription="Create a new document." ma:contentTypeScope="" ma:versionID="ee5e421428b024a375f5fa18da871e7c">
  <xsd:schema xmlns:xsd="http://www.w3.org/2001/XMLSchema" xmlns:xs="http://www.w3.org/2001/XMLSchema" xmlns:p="http://schemas.microsoft.com/office/2006/metadata/properties" xmlns:ns1="http://schemas.microsoft.com/sharepoint/v3" xmlns:ns2="4176820d-ae53-4719-b4a5-f5db7559e290" xmlns:ns3="f07443f0-4366-4d54-a4ae-66d2b7dc21f1" targetNamespace="http://schemas.microsoft.com/office/2006/metadata/properties" ma:root="true" ma:fieldsID="d38500208b9a476723cc045f15240763" ns1:_="" ns2:_="" ns3:_="">
    <xsd:import namespace="http://schemas.microsoft.com/sharepoint/v3"/>
    <xsd:import namespace="4176820d-ae53-4719-b4a5-f5db7559e290"/>
    <xsd:import namespace="f07443f0-4366-4d54-a4ae-66d2b7dc21f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76820d-ae53-4719-b4a5-f5db7559e2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bb23ffd-079d-4a99-afb0-679bec71c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443f0-4366-4d54-a4ae-66d2b7dc21f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c78d9d4-e518-422b-8897-bd42a44409b7}" ma:internalName="TaxCatchAll" ma:showField="CatchAllData" ma:web="f07443f0-4366-4d54-a4ae-66d2b7dc2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F4C7F-E97E-4818-B02C-EC016663F6B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76820d-ae53-4719-b4a5-f5db7559e290"/>
    <ds:schemaRef ds:uri="f07443f0-4366-4d54-a4ae-66d2b7dc21f1"/>
  </ds:schemaRefs>
</ds:datastoreItem>
</file>

<file path=customXml/itemProps2.xml><?xml version="1.0" encoding="utf-8"?>
<ds:datastoreItem xmlns:ds="http://schemas.openxmlformats.org/officeDocument/2006/customXml" ds:itemID="{105BC57F-115A-4875-B756-3B77621AD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20DB42-273C-4E22-92C9-D505751B1D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76820d-ae53-4719-b4a5-f5db7559e290"/>
    <ds:schemaRef ds:uri="f07443f0-4366-4d54-a4ae-66d2b7dc2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6cb77d9-abb9-4391-b661-af04a886e4bd}" enabled="1" method="Privileged" siteId="{b6b2f512-6fd0-42fe-9659-6c5ee67da4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Castle, Jeanna A</dc:creator>
  <cp:lastModifiedBy>Faucett, Andrea A</cp:lastModifiedBy>
  <dcterms:created xsi:type="dcterms:W3CDTF">2024-12-11T13:22:54Z</dcterms:created>
  <dcterms:modified xsi:type="dcterms:W3CDTF">2025-07-30T13:13:46Z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0x01010088340BF0BBBDF64E92551118CCA5E54D</vt:lpwstr>
  </property>
  <property fmtid="{D5CDD505-2E9C-101B-9397-08002B2CF9AE}" pid="3" name="MediaServiceImageTags">
    <vt:lpwstr/>
  </property>
</Properties>
</file>